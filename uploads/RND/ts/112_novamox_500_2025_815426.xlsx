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765" firstSheet="4" activeTab="5"/>
  </bookViews>
  <sheets>
    <sheet name="TANGGAL DAN JAM" sheetId="13" r:id="rId1"/>
    <sheet name="NO QC" sheetId="1" r:id="rId2"/>
    <sheet name="PENIMBANGAN" sheetId="2" r:id="rId3"/>
    <sheet name="INVEN MESIN" sheetId="3" r:id="rId4"/>
    <sheet name="QC KEMAS" sheetId="4" r:id="rId5"/>
    <sheet name="PROSES" sheetId="5" r:id="rId6"/>
    <sheet name="PENGEMASAN" sheetId="11" r:id="rId7"/>
    <sheet name="IPC" sheetId="7" r:id="rId8"/>
  </sheets>
  <definedNames>
    <definedName name="_xlnm._FilterDatabase" localSheetId="1" hidden="1">'NO QC'!#REF!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<sst xmlns="http://schemas.openxmlformats.org/spreadsheetml/2006/main" count="7697" uniqueCount="829">
  <si>
    <t>Nomor batch</t>
  </si>
  <si>
    <t>DRUM MIXER</t>
  </si>
  <si>
    <t>CETAK</t>
  </si>
  <si>
    <t>SORTIR</t>
  </si>
  <si>
    <t>STRIPING</t>
  </si>
  <si>
    <t>PENANDAAN</t>
  </si>
  <si>
    <t>SEKUNDER</t>
  </si>
  <si>
    <t>Tanggal Mulai</t>
  </si>
  <si>
    <t>Jam Mulai</t>
  </si>
  <si>
    <t>Tanggal Selesai</t>
  </si>
  <si>
    <t>Jam Selesai</t>
  </si>
  <si>
    <t>2501-06-112</t>
  </si>
  <si>
    <t>13.45</t>
  </si>
  <si>
    <t>14.20</t>
  </si>
  <si>
    <t>6.20</t>
  </si>
  <si>
    <t>9.20</t>
  </si>
  <si>
    <t>8.10</t>
  </si>
  <si>
    <t>10.40</t>
  </si>
  <si>
    <t>8.30</t>
  </si>
  <si>
    <t>14.00</t>
  </si>
  <si>
    <t>10.45</t>
  </si>
  <si>
    <t>11.20</t>
  </si>
  <si>
    <t>10.00</t>
  </si>
  <si>
    <t>15.34</t>
  </si>
  <si>
    <t>2501-07-112</t>
  </si>
  <si>
    <t>10.05</t>
  </si>
  <si>
    <t>6.15</t>
  </si>
  <si>
    <t>10.15</t>
  </si>
  <si>
    <t>9.10</t>
  </si>
  <si>
    <t>11.50</t>
  </si>
  <si>
    <t>9.45</t>
  </si>
  <si>
    <t>11.30</t>
  </si>
  <si>
    <t>12.00</t>
  </si>
  <si>
    <t>10.20</t>
  </si>
  <si>
    <t>2501-08-112</t>
  </si>
  <si>
    <t>10.55</t>
  </si>
  <si>
    <t>10.50</t>
  </si>
  <si>
    <t>15.00</t>
  </si>
  <si>
    <t>10.35</t>
  </si>
  <si>
    <t>10.30</t>
  </si>
  <si>
    <t>16.00</t>
  </si>
  <si>
    <t>12.44</t>
  </si>
  <si>
    <t>11.55</t>
  </si>
  <si>
    <t>2501-09-112</t>
  </si>
  <si>
    <t>11.10</t>
  </si>
  <si>
    <t>11.45</t>
  </si>
  <si>
    <t>8.50</t>
  </si>
  <si>
    <t>13.50</t>
  </si>
  <si>
    <t>9.15</t>
  </si>
  <si>
    <t>10.06</t>
  </si>
  <si>
    <t>Terjadi penyimpangan</t>
  </si>
  <si>
    <t>08.00</t>
  </si>
  <si>
    <t>2501-10-112</t>
  </si>
  <si>
    <t>13.00</t>
  </si>
  <si>
    <t>13.35</t>
  </si>
  <si>
    <t>08.10</t>
  </si>
  <si>
    <t>10.16</t>
  </si>
  <si>
    <t>11.00</t>
  </si>
  <si>
    <t>8.40</t>
  </si>
  <si>
    <t>16.05</t>
  </si>
  <si>
    <t>9.40</t>
  </si>
  <si>
    <t>2501-11-112</t>
  </si>
  <si>
    <t>13.55</t>
  </si>
  <si>
    <t>14.30</t>
  </si>
  <si>
    <t>8.20</t>
  </si>
  <si>
    <t>2501-12-112</t>
  </si>
  <si>
    <t>12.35</t>
  </si>
  <si>
    <t>6.25</t>
  </si>
  <si>
    <t>7.50</t>
  </si>
  <si>
    <t>6.10</t>
  </si>
  <si>
    <t>8.55</t>
  </si>
  <si>
    <t>9.30</t>
  </si>
  <si>
    <t>9.55</t>
  </si>
  <si>
    <t>15.15</t>
  </si>
  <si>
    <t>10.10</t>
  </si>
  <si>
    <t>12.10</t>
  </si>
  <si>
    <t>2501-13-112</t>
  </si>
  <si>
    <t>12.50</t>
  </si>
  <si>
    <t>13.25</t>
  </si>
  <si>
    <t>20.00</t>
  </si>
  <si>
    <t>14.10</t>
  </si>
  <si>
    <t>20.10</t>
  </si>
  <si>
    <t>13.10</t>
  </si>
  <si>
    <t>2501-14-112</t>
  </si>
  <si>
    <t>13.40</t>
  </si>
  <si>
    <t>14.15</t>
  </si>
  <si>
    <t>6.50</t>
  </si>
  <si>
    <t>10.25</t>
  </si>
  <si>
    <t>11.25</t>
  </si>
  <si>
    <t>13.08</t>
  </si>
  <si>
    <t>8.00</t>
  </si>
  <si>
    <t>15.20</t>
  </si>
  <si>
    <t>2501-15-112</t>
  </si>
  <si>
    <t>13.15</t>
  </si>
  <si>
    <t>19.30</t>
  </si>
  <si>
    <t>19.35</t>
  </si>
  <si>
    <t>15.30</t>
  </si>
  <si>
    <t>2501-16-112</t>
  </si>
  <si>
    <t>13.30</t>
  </si>
  <si>
    <t>6.30</t>
  </si>
  <si>
    <t>12.24</t>
  </si>
  <si>
    <t>8.15</t>
  </si>
  <si>
    <t>16.50</t>
  </si>
  <si>
    <t>20.15</t>
  </si>
  <si>
    <t>2502-01-112</t>
  </si>
  <si>
    <t>15.45</t>
  </si>
  <si>
    <t>16.20</t>
  </si>
  <si>
    <t>13.3</t>
  </si>
  <si>
    <t>7.20</t>
  </si>
  <si>
    <t>9.50</t>
  </si>
  <si>
    <t>2502-02-112</t>
  </si>
  <si>
    <t>19/2/258</t>
  </si>
  <si>
    <t>13.20</t>
  </si>
  <si>
    <t>20.05</t>
  </si>
  <si>
    <t>2503-01-112</t>
  </si>
  <si>
    <t>12.30</t>
  </si>
  <si>
    <t>15.40</t>
  </si>
  <si>
    <t>15.50</t>
  </si>
  <si>
    <t>16.40</t>
  </si>
  <si>
    <t>14.09</t>
  </si>
  <si>
    <t>Nama Produk</t>
  </si>
  <si>
    <t>: Novamox 500 Kaplet</t>
  </si>
  <si>
    <t>Kode Produk</t>
  </si>
  <si>
    <t>: 03-32-112-11.BR.2411.112.00</t>
  </si>
  <si>
    <t>2504-01-112</t>
  </si>
  <si>
    <t>18.40</t>
  </si>
  <si>
    <t>19.20</t>
  </si>
  <si>
    <t>2504-02-112</t>
  </si>
  <si>
    <t>6.40</t>
  </si>
  <si>
    <t>14.24</t>
  </si>
  <si>
    <t>21.04</t>
  </si>
  <si>
    <t>2504-03-112</t>
  </si>
  <si>
    <t>11.35</t>
  </si>
  <si>
    <t>12.05</t>
  </si>
  <si>
    <t>20.45</t>
  </si>
  <si>
    <t>7.00</t>
  </si>
  <si>
    <t>14.34</t>
  </si>
  <si>
    <t>25.24</t>
  </si>
  <si>
    <t>2504-04-112</t>
  </si>
  <si>
    <t>11.05</t>
  </si>
  <si>
    <t>2504-05-112</t>
  </si>
  <si>
    <t>7.35</t>
  </si>
  <si>
    <t>12.45</t>
  </si>
  <si>
    <t>16.15</t>
  </si>
  <si>
    <t>2504-06-112</t>
  </si>
  <si>
    <t>9.00</t>
  </si>
  <si>
    <t>21.20</t>
  </si>
  <si>
    <t>9.35</t>
  </si>
  <si>
    <t>16.25</t>
  </si>
  <si>
    <t>18.00</t>
  </si>
  <si>
    <t>2504-07-112</t>
  </si>
  <si>
    <t>20.13</t>
  </si>
  <si>
    <t>2504-08-112</t>
  </si>
  <si>
    <t>8.05</t>
  </si>
  <si>
    <t>13.34</t>
  </si>
  <si>
    <t>2504-09-112</t>
  </si>
  <si>
    <t>8.45</t>
  </si>
  <si>
    <t>14.40</t>
  </si>
  <si>
    <t>18.45</t>
  </si>
  <si>
    <t>2504-10-112</t>
  </si>
  <si>
    <t>9.25</t>
  </si>
  <si>
    <t>12.20</t>
  </si>
  <si>
    <t>19.00</t>
  </si>
  <si>
    <t>15.10</t>
  </si>
  <si>
    <t>15.54</t>
  </si>
  <si>
    <t>2504-11-112</t>
  </si>
  <si>
    <t>12.40</t>
  </si>
  <si>
    <t>13.58</t>
  </si>
  <si>
    <t>20.30</t>
  </si>
  <si>
    <t>2504-12-112</t>
  </si>
  <si>
    <t>14.50</t>
  </si>
  <si>
    <t>2504-13-112</t>
  </si>
  <si>
    <t>20.50</t>
  </si>
  <si>
    <t>17.00</t>
  </si>
  <si>
    <t>19.40</t>
  </si>
  <si>
    <t>08.30</t>
  </si>
  <si>
    <t>17.30</t>
  </si>
  <si>
    <t>2504-14-112</t>
  </si>
  <si>
    <t>06.15</t>
  </si>
  <si>
    <t>07.15</t>
  </si>
  <si>
    <t>17.40</t>
  </si>
  <si>
    <t>2504-15-112</t>
  </si>
  <si>
    <t>2504-16-112</t>
  </si>
  <si>
    <t>06.10</t>
  </si>
  <si>
    <t>7.30</t>
  </si>
  <si>
    <t>2504-17-112</t>
  </si>
  <si>
    <t>8.35</t>
  </si>
  <si>
    <t>9.05</t>
  </si>
  <si>
    <t>16.14</t>
  </si>
  <si>
    <t>2504-18-112</t>
  </si>
  <si>
    <t>13.43</t>
  </si>
  <si>
    <t>16.10</t>
  </si>
  <si>
    <t>2504-19-112</t>
  </si>
  <si>
    <t>11.40</t>
  </si>
  <si>
    <t>17.20</t>
  </si>
  <si>
    <t>14.25</t>
  </si>
  <si>
    <t>2504-20-112</t>
  </si>
  <si>
    <t>2504-21-112</t>
  </si>
  <si>
    <t>14.55</t>
  </si>
  <si>
    <t>21.34</t>
  </si>
  <si>
    <t>2504-22-112</t>
  </si>
  <si>
    <t>21.30</t>
  </si>
  <si>
    <t>14.05</t>
  </si>
  <si>
    <t>2504-23-112</t>
  </si>
  <si>
    <t>14.45</t>
  </si>
  <si>
    <t>17.15</t>
  </si>
  <si>
    <t>2504-24-112</t>
  </si>
  <si>
    <t>1.00</t>
  </si>
  <si>
    <t>23.20</t>
  </si>
  <si>
    <t>12.14</t>
  </si>
  <si>
    <t>2504-25-112</t>
  </si>
  <si>
    <t>1.30</t>
  </si>
  <si>
    <t>2.40</t>
  </si>
  <si>
    <t>2504-26-112</t>
  </si>
  <si>
    <t>10.42</t>
  </si>
  <si>
    <t>20.20</t>
  </si>
  <si>
    <t>20.25</t>
  </si>
  <si>
    <t>22.00</t>
  </si>
  <si>
    <t>2504-27-112</t>
  </si>
  <si>
    <t>2.00</t>
  </si>
  <si>
    <t>15.05</t>
  </si>
  <si>
    <t>2504-28-112</t>
  </si>
  <si>
    <t>14.51</t>
  </si>
  <si>
    <t>2504-29-112</t>
  </si>
  <si>
    <t>21.00</t>
  </si>
  <si>
    <t>15.01</t>
  </si>
  <si>
    <t>2505-01-112</t>
  </si>
  <si>
    <t>00.25</t>
  </si>
  <si>
    <t>2505-02-112</t>
  </si>
  <si>
    <t>23.45</t>
  </si>
  <si>
    <t>2505-03-112</t>
  </si>
  <si>
    <t>6.27</t>
  </si>
  <si>
    <t>8.49</t>
  </si>
  <si>
    <t>2505-04-112</t>
  </si>
  <si>
    <t>22.30</t>
  </si>
  <si>
    <t>7.40</t>
  </si>
  <si>
    <t>12.34</t>
  </si>
  <si>
    <t>2505-05-112</t>
  </si>
  <si>
    <t>17.10</t>
  </si>
  <si>
    <t>2505-06-112</t>
  </si>
  <si>
    <t>20.40</t>
  </si>
  <si>
    <t>21.24</t>
  </si>
  <si>
    <t>2505-07-112</t>
  </si>
  <si>
    <t>18.35</t>
  </si>
  <si>
    <t>2505-08-112</t>
  </si>
  <si>
    <t>19.50</t>
  </si>
  <si>
    <t>2505-09-112</t>
  </si>
  <si>
    <t>16.30</t>
  </si>
  <si>
    <t>2505-10-112</t>
  </si>
  <si>
    <t>19.15</t>
  </si>
  <si>
    <t>14.35</t>
  </si>
  <si>
    <t>14.59</t>
  </si>
  <si>
    <t>2505-11-112</t>
  </si>
  <si>
    <t>22.35</t>
  </si>
  <si>
    <t>00.10</t>
  </si>
  <si>
    <t>15.09</t>
  </si>
  <si>
    <t>16.45</t>
  </si>
  <si>
    <t>2505-12-112</t>
  </si>
  <si>
    <t>2.30</t>
  </si>
  <si>
    <t>2505-13-112</t>
  </si>
  <si>
    <t>2.50</t>
  </si>
  <si>
    <t>2505-14-112</t>
  </si>
  <si>
    <t>11.15</t>
  </si>
  <si>
    <t>23.40</t>
  </si>
  <si>
    <t>2505-15-112</t>
  </si>
  <si>
    <t>4.00</t>
  </si>
  <si>
    <t>2505-16-112</t>
  </si>
  <si>
    <t>11.24</t>
  </si>
  <si>
    <t>2505-17-112</t>
  </si>
  <si>
    <t>18.50</t>
  </si>
  <si>
    <t>2505-18-112</t>
  </si>
  <si>
    <t>15.25</t>
  </si>
  <si>
    <t>2505-19-112</t>
  </si>
  <si>
    <t>15.35</t>
  </si>
  <si>
    <t>19.10</t>
  </si>
  <si>
    <t>2505-20-112</t>
  </si>
  <si>
    <t>2505-21-112</t>
  </si>
  <si>
    <t>7.15</t>
  </si>
  <si>
    <t>2505-22-112</t>
  </si>
  <si>
    <t>23.30</t>
  </si>
  <si>
    <t>19.05</t>
  </si>
  <si>
    <t>2505-23-112</t>
  </si>
  <si>
    <t>21.45</t>
  </si>
  <si>
    <t>2505-24-112</t>
  </si>
  <si>
    <t>2505-25-112</t>
  </si>
  <si>
    <t>18.15</t>
  </si>
  <si>
    <t>14.21</t>
  </si>
  <si>
    <t>2505-26-112</t>
  </si>
  <si>
    <t>14.31</t>
  </si>
  <si>
    <t>14.56</t>
  </si>
  <si>
    <t>17.50</t>
  </si>
  <si>
    <t>2505-27-112</t>
  </si>
  <si>
    <t>2505-28-112</t>
  </si>
  <si>
    <t>2505-29-112</t>
  </si>
  <si>
    <t>16.35</t>
  </si>
  <si>
    <t>15.14</t>
  </si>
  <si>
    <t>2505-30-112</t>
  </si>
  <si>
    <t>20.35</t>
  </si>
  <si>
    <t>2505-31-112</t>
  </si>
  <si>
    <t>2505-32-112</t>
  </si>
  <si>
    <t>2505-33-112</t>
  </si>
  <si>
    <t>9.26</t>
  </si>
  <si>
    <t>2505-34-112</t>
  </si>
  <si>
    <t>9.36</t>
  </si>
  <si>
    <t>2505-35-112</t>
  </si>
  <si>
    <t>2506-01-112</t>
  </si>
  <si>
    <t>11.19</t>
  </si>
  <si>
    <t>2506-02-112</t>
  </si>
  <si>
    <t>18.10</t>
  </si>
  <si>
    <t>7.45</t>
  </si>
  <si>
    <t>11.29</t>
  </si>
  <si>
    <t>2506-03-112</t>
  </si>
  <si>
    <t>2506-04-112</t>
  </si>
  <si>
    <t>76/25</t>
  </si>
  <si>
    <t>2506-05-112</t>
  </si>
  <si>
    <t>2506-06-112</t>
  </si>
  <si>
    <t>2506-07-112</t>
  </si>
  <si>
    <t>8.25</t>
  </si>
  <si>
    <t>2506-08-112</t>
  </si>
  <si>
    <t>2506-09-112</t>
  </si>
  <si>
    <t>7.55</t>
  </si>
  <si>
    <t>2506-10-112</t>
  </si>
  <si>
    <t>2506-11-112</t>
  </si>
  <si>
    <t>2507-01-112</t>
  </si>
  <si>
    <t>2507-02-112</t>
  </si>
  <si>
    <t>2507-03-112</t>
  </si>
  <si>
    <t>2507-04-112</t>
  </si>
  <si>
    <t>2507-05-112</t>
  </si>
  <si>
    <t>2507-06-112</t>
  </si>
  <si>
    <t>2507-07-112</t>
  </si>
  <si>
    <t>2507-08-112</t>
  </si>
  <si>
    <t>00.30</t>
  </si>
  <si>
    <t>2507-09-112</t>
  </si>
  <si>
    <t>2507-10-112</t>
  </si>
  <si>
    <t>2507-11-112</t>
  </si>
  <si>
    <t>21.40</t>
  </si>
  <si>
    <t>2507-12-112</t>
  </si>
  <si>
    <t>2507-13-112</t>
  </si>
  <si>
    <t>2507-14-112</t>
  </si>
  <si>
    <t>2507-15-112</t>
  </si>
  <si>
    <t>17.34</t>
  </si>
  <si>
    <t>2507-16-112</t>
  </si>
  <si>
    <t>14.33</t>
  </si>
  <si>
    <t>2507-17-112</t>
  </si>
  <si>
    <t>15.24</t>
  </si>
  <si>
    <t>2507-18-112</t>
  </si>
  <si>
    <t>18.30</t>
  </si>
  <si>
    <t>2508-01-112</t>
  </si>
  <si>
    <t>09.50</t>
  </si>
  <si>
    <t>07.10</t>
  </si>
  <si>
    <t>11.33</t>
  </si>
  <si>
    <t>2508-02-112</t>
  </si>
  <si>
    <t>2508-03-112</t>
  </si>
  <si>
    <t>06.30</t>
  </si>
  <si>
    <t>2508-04-112</t>
  </si>
  <si>
    <t>06.20</t>
  </si>
  <si>
    <t>06.28</t>
  </si>
  <si>
    <t>2508-05-112</t>
  </si>
  <si>
    <t>07.30</t>
  </si>
  <si>
    <t>08.38</t>
  </si>
  <si>
    <t>09.00</t>
  </si>
  <si>
    <t>2508-06-112</t>
  </si>
  <si>
    <t>08.20</t>
  </si>
  <si>
    <t>08.55</t>
  </si>
  <si>
    <t>08.40</t>
  </si>
  <si>
    <t>07.35</t>
  </si>
  <si>
    <t>13.19</t>
  </si>
  <si>
    <t>2508-07-112</t>
  </si>
  <si>
    <t>09.35</t>
  </si>
  <si>
    <t>2508-08-112</t>
  </si>
  <si>
    <t>09.20</t>
  </si>
  <si>
    <t>09.55</t>
  </si>
  <si>
    <t>2508-09-110</t>
  </si>
  <si>
    <t>08.50</t>
  </si>
  <si>
    <t>15.55</t>
  </si>
  <si>
    <t>2508-10-112</t>
  </si>
  <si>
    <t>PENGKAJIAN MUTU PRODUK</t>
  </si>
  <si>
    <t>: 03-32-112-11.BR.2405.112.00</t>
  </si>
  <si>
    <t>Catatan</t>
  </si>
  <si>
    <t>: Penimbangan Microcrystalline Cellulose PH 102 diovermatch 0,540 kg</t>
  </si>
  <si>
    <t>Nomor Batch</t>
  </si>
  <si>
    <t>Penimbangan Bahan Baku</t>
  </si>
  <si>
    <t>Amoxicillin Trihydrate Compacted</t>
  </si>
  <si>
    <t>Produsen</t>
  </si>
  <si>
    <t>Suppier</t>
  </si>
  <si>
    <t>Microcel PH 102</t>
  </si>
  <si>
    <t>Sodium Starch Glycolate</t>
  </si>
  <si>
    <t>Magnesium Stearate</t>
  </si>
  <si>
    <t>Colloidal Silicon Dioxide</t>
  </si>
  <si>
    <t>Essence Strawberry Powder</t>
  </si>
  <si>
    <t>Talk</t>
  </si>
  <si>
    <t>115 Kg</t>
  </si>
  <si>
    <t>18,74 Kg</t>
  </si>
  <si>
    <t>2,3 Kg</t>
  </si>
  <si>
    <t>2 Kg</t>
  </si>
  <si>
    <t>1 Kg</t>
  </si>
  <si>
    <t>0,5 Kg</t>
  </si>
  <si>
    <t>2501-01-112</t>
  </si>
  <si>
    <t>BAX 777</t>
  </si>
  <si>
    <t>Inner Mongolia</t>
  </si>
  <si>
    <t>BPX 449</t>
  </si>
  <si>
    <t>BPX 392</t>
  </si>
  <si>
    <t>BPX 414</t>
  </si>
  <si>
    <t>BPX 443</t>
  </si>
  <si>
    <t>BPX 433</t>
  </si>
  <si>
    <t>BPX 421</t>
  </si>
  <si>
    <t>2501-02-112</t>
  </si>
  <si>
    <t>2501-03-112</t>
  </si>
  <si>
    <t>2501-04-112</t>
  </si>
  <si>
    <t>2501-05-112</t>
  </si>
  <si>
    <t>BAX 778</t>
  </si>
  <si>
    <t>BPX 470</t>
  </si>
  <si>
    <t>BAY 038</t>
  </si>
  <si>
    <t>Sinnopharm Weiqida Pharmaceutical Co., Ltd</t>
  </si>
  <si>
    <t>PT.GCM</t>
  </si>
  <si>
    <t>BPX 471</t>
  </si>
  <si>
    <t>BPX 475</t>
  </si>
  <si>
    <t>BPX 423</t>
  </si>
  <si>
    <t>BPY 012</t>
  </si>
  <si>
    <t>BAY 200</t>
  </si>
  <si>
    <t>Inner Mongolia Changseng Pharmaceutical Co., Ltd</t>
  </si>
  <si>
    <t>BPY 073</t>
  </si>
  <si>
    <t>BPX 476</t>
  </si>
  <si>
    <t>BPY 050</t>
  </si>
  <si>
    <t>BPY 056</t>
  </si>
  <si>
    <t>BPY 002</t>
  </si>
  <si>
    <t>BPY 059</t>
  </si>
  <si>
    <t>140 kg = 200.000 kaplet</t>
  </si>
  <si>
    <t>BAY 201</t>
  </si>
  <si>
    <t>BAY 202</t>
  </si>
  <si>
    <t>BPY 066</t>
  </si>
  <si>
    <t>BAY 203</t>
  </si>
  <si>
    <t>BAY 204</t>
  </si>
  <si>
    <t>BPY 118</t>
  </si>
  <si>
    <t>BAY 205</t>
  </si>
  <si>
    <t>BPY 079</t>
  </si>
  <si>
    <t>BPY 051</t>
  </si>
  <si>
    <t>BAY 206</t>
  </si>
  <si>
    <t>BAY 255</t>
  </si>
  <si>
    <t>The United Laboratories (Inner Mongolia)</t>
  </si>
  <si>
    <t>PT.SSN</t>
  </si>
  <si>
    <t>BPY 091</t>
  </si>
  <si>
    <t>BAY 257</t>
  </si>
  <si>
    <t>BPY 135</t>
  </si>
  <si>
    <t>BAY 258</t>
  </si>
  <si>
    <t>PT. SSN</t>
  </si>
  <si>
    <t>BAY 259</t>
  </si>
  <si>
    <t>BAY 260</t>
  </si>
  <si>
    <t>BPY 106</t>
  </si>
  <si>
    <t>Faci Asia Pacific Pte Ltd</t>
  </si>
  <si>
    <t>BAY 263</t>
  </si>
  <si>
    <t>BPY 145</t>
  </si>
  <si>
    <t>BAY 264</t>
  </si>
  <si>
    <t>BAY 265</t>
  </si>
  <si>
    <t>BPY 151</t>
  </si>
  <si>
    <t>BAY 267</t>
  </si>
  <si>
    <t>BPY 164</t>
  </si>
  <si>
    <t>Mane Indonesia</t>
  </si>
  <si>
    <t>BPY 080</t>
  </si>
  <si>
    <t>BAY 350</t>
  </si>
  <si>
    <t>Li Qiao International Co., Limited</t>
  </si>
  <si>
    <t>BPY 166</t>
  </si>
  <si>
    <t>BPY170</t>
  </si>
  <si>
    <t>Mingtai Chemical Co., Ltd</t>
  </si>
  <si>
    <t>BAY351</t>
  </si>
  <si>
    <t>BPY080</t>
  </si>
  <si>
    <t>BPY167</t>
  </si>
  <si>
    <t>Anhui Sunhere Pharmaceutical Excipients Co. Ltd</t>
  </si>
  <si>
    <t>BPY066</t>
  </si>
  <si>
    <t>BAY352</t>
  </si>
  <si>
    <t>BAY354</t>
  </si>
  <si>
    <t>BPY159</t>
  </si>
  <si>
    <t>Yungzip Chemical Ind, Co., Ltd</t>
  </si>
  <si>
    <t>BAY 355</t>
  </si>
  <si>
    <t>BPY 105</t>
  </si>
  <si>
    <t>Pingdu Talc Mine</t>
  </si>
  <si>
    <t>BAY 356</t>
  </si>
  <si>
    <t>BPY105</t>
  </si>
  <si>
    <t>BPY180</t>
  </si>
  <si>
    <t>MingtainChemical Co., Ltd</t>
  </si>
  <si>
    <t>BAY357</t>
  </si>
  <si>
    <t>BAY 359</t>
  </si>
  <si>
    <t>BPY 196</t>
  </si>
  <si>
    <t>BPY 161</t>
  </si>
  <si>
    <t>Faci Asia Pasific Pte Ltd</t>
  </si>
  <si>
    <t>BPY 180</t>
  </si>
  <si>
    <t>BAY 360</t>
  </si>
  <si>
    <t>BAY 437</t>
  </si>
  <si>
    <t>Inner Mongolia Changseng</t>
  </si>
  <si>
    <t>BPY 224</t>
  </si>
  <si>
    <t>BPY 222</t>
  </si>
  <si>
    <t>BPY 246</t>
  </si>
  <si>
    <t>BPY 198</t>
  </si>
  <si>
    <t>BAY 438</t>
  </si>
  <si>
    <t>BAY441</t>
  </si>
  <si>
    <t>BPY 271</t>
  </si>
  <si>
    <t>BPY 223</t>
  </si>
  <si>
    <t>BAY512</t>
  </si>
  <si>
    <t>BPY268</t>
  </si>
  <si>
    <t>BAY513</t>
  </si>
  <si>
    <t>BAY514</t>
  </si>
  <si>
    <t>BAY515</t>
  </si>
  <si>
    <t>BPY269</t>
  </si>
  <si>
    <t>BAY516</t>
  </si>
  <si>
    <t>BPY303</t>
  </si>
  <si>
    <t>BAY517</t>
  </si>
  <si>
    <t>BAY520</t>
  </si>
  <si>
    <t>BPY 311</t>
  </si>
  <si>
    <t>BPY 300</t>
  </si>
  <si>
    <t>BPY 272</t>
  </si>
  <si>
    <t>BPY 299</t>
  </si>
  <si>
    <t>BPY 263</t>
  </si>
  <si>
    <t>BPY 276</t>
  </si>
  <si>
    <t>BAY 521</t>
  </si>
  <si>
    <t>BPY 312</t>
  </si>
  <si>
    <t>BAY 575</t>
  </si>
  <si>
    <t>BPY 333</t>
  </si>
  <si>
    <t>BAY 576</t>
  </si>
  <si>
    <t>2508-09-112</t>
  </si>
  <si>
    <t>101.18</t>
  </si>
  <si>
    <t>13.82</t>
  </si>
  <si>
    <t>2300 g</t>
  </si>
  <si>
    <t>2000 g</t>
  </si>
  <si>
    <t>1000 g</t>
  </si>
  <si>
    <t>500 g</t>
  </si>
  <si>
    <t>18.03</t>
  </si>
  <si>
    <t>96.97</t>
  </si>
  <si>
    <t>2504-21-115</t>
  </si>
  <si>
    <t>No Batch</t>
  </si>
  <si>
    <t>Drum Mixer</t>
  </si>
  <si>
    <t>Cetak</t>
  </si>
  <si>
    <t>Sortir</t>
  </si>
  <si>
    <t>Strip</t>
  </si>
  <si>
    <t>Penandaan Kemas</t>
  </si>
  <si>
    <t>Merek Mesin</t>
  </si>
  <si>
    <t>Mesin</t>
  </si>
  <si>
    <t>Kecepatan Mesin Cetak</t>
  </si>
  <si>
    <t>Identitas Ruang</t>
  </si>
  <si>
    <t>Ruang</t>
  </si>
  <si>
    <t>Suhu Roller I (°C)</t>
  </si>
  <si>
    <t>Suhu Roller II (°C)</t>
  </si>
  <si>
    <t>Kecepatan Mesin Strip</t>
  </si>
  <si>
    <t>EYH 600</t>
  </si>
  <si>
    <t>ZP 1129</t>
  </si>
  <si>
    <t>I</t>
  </si>
  <si>
    <t>21 Hz</t>
  </si>
  <si>
    <t>Strip I</t>
  </si>
  <si>
    <t>NA</t>
  </si>
  <si>
    <t>Hipack</t>
  </si>
  <si>
    <t>36 Hz</t>
  </si>
  <si>
    <t>Kodifikasi</t>
  </si>
  <si>
    <t>Model PXR D460W/ Hitachi</t>
  </si>
  <si>
    <t>ZP 1100</t>
  </si>
  <si>
    <t>II</t>
  </si>
  <si>
    <t>32 Hz</t>
  </si>
  <si>
    <t>37 Hz</t>
  </si>
  <si>
    <t>Cadmach</t>
  </si>
  <si>
    <t>III</t>
  </si>
  <si>
    <t>40 Hz</t>
  </si>
  <si>
    <t>Strip IV</t>
  </si>
  <si>
    <t>IV</t>
  </si>
  <si>
    <t>Chentai</t>
  </si>
  <si>
    <t>28 Hz</t>
  </si>
  <si>
    <t>Strip II</t>
  </si>
  <si>
    <t>Strip III</t>
  </si>
  <si>
    <t>Sortir (2X)</t>
  </si>
  <si>
    <t>Strip III (4X)</t>
  </si>
  <si>
    <t>Strip III (5X)</t>
  </si>
  <si>
    <t>22 Hz</t>
  </si>
  <si>
    <t>Strip III (2 X)</t>
  </si>
  <si>
    <t>Ayak</t>
  </si>
  <si>
    <t>Sortir (3X)</t>
  </si>
  <si>
    <t>2404-16-112</t>
  </si>
  <si>
    <t>Front Foil NOVAMOX 500</t>
  </si>
  <si>
    <t>Back Foil 295 mm X 500 m</t>
  </si>
  <si>
    <t>Dus NOVAMOX 500 Kaplet</t>
  </si>
  <si>
    <t>Brosur NOVAMOX 500 Kaplet</t>
  </si>
  <si>
    <t>Corr Box ST 100</t>
  </si>
  <si>
    <t>Kontrol Pengemas</t>
  </si>
  <si>
    <t>FX 606</t>
  </si>
  <si>
    <t>FX 601</t>
  </si>
  <si>
    <t>KX 736</t>
  </si>
  <si>
    <t>LX 567</t>
  </si>
  <si>
    <t>CBX 066</t>
  </si>
  <si>
    <t>SLPW 004</t>
  </si>
  <si>
    <t>KX 783</t>
  </si>
  <si>
    <t>LX 596</t>
  </si>
  <si>
    <r>
      <rPr>
        <sz val="10"/>
        <color theme="1"/>
        <rFont val="Times New Roman"/>
        <charset val="134"/>
      </rPr>
      <t>Ditemukan reject (separuh) 1 strip dalam 1</t>
    </r>
    <r>
      <rPr>
        <sz val="10"/>
        <color theme="1"/>
        <rFont val="Arial"/>
        <charset val="134"/>
      </rPr>
      <t>θ</t>
    </r>
    <r>
      <rPr>
        <sz val="10"/>
        <color theme="1"/>
        <rFont val="Times New Roman"/>
        <charset val="134"/>
      </rPr>
      <t>; opt melakukan pemeriksaan hasil kemas 1</t>
    </r>
    <r>
      <rPr>
        <sz val="10"/>
        <color theme="1"/>
        <rFont val="Arial"/>
        <charset val="134"/>
      </rPr>
      <t>θ</t>
    </r>
    <r>
      <rPr>
        <sz val="10"/>
        <color theme="1"/>
        <rFont val="Times New Roman"/>
        <charset val="134"/>
      </rPr>
      <t xml:space="preserve"> (100 dus); sampling ulang oleh ipc (9 dus) dari 100 dus (ms).</t>
    </r>
  </si>
  <si>
    <t>Hasil kemas kurang dari range teoritis</t>
  </si>
  <si>
    <t>FX 632</t>
  </si>
  <si>
    <t>FX 626</t>
  </si>
  <si>
    <t>Hasil kemas actual kurang dari hasil teoritis</t>
  </si>
  <si>
    <t>FY 068</t>
  </si>
  <si>
    <t>Hasil kemas tidak sesuai teoritis</t>
  </si>
  <si>
    <t>Hasil kemas aktual kurang dari hasil teoritis</t>
  </si>
  <si>
    <t>KY 036</t>
  </si>
  <si>
    <t>FX 603</t>
  </si>
  <si>
    <t>LY 030</t>
  </si>
  <si>
    <t>FY 632</t>
  </si>
  <si>
    <t>KY 050</t>
  </si>
  <si>
    <t>FX 637</t>
  </si>
  <si>
    <t>KY 105</t>
  </si>
  <si>
    <t>LY 082</t>
  </si>
  <si>
    <t>Ditemukan reject (separuh) 1 strip dalam 1θ; opt melakukan pemeriksaan hasil kemas 1θ (100 dus); sampling ulang oleh ipc (9 dus) dari 100 dus (ms).</t>
  </si>
  <si>
    <t>FY 140</t>
  </si>
  <si>
    <t>CBX 068</t>
  </si>
  <si>
    <t>Ditemukan reject (kosong) 1 strip dalam 1θ; opt melakukan pemeriksaan hasil kemas 1θ (100 dus); sampling ulang oleh ipc (9 dus) dari 100 dus (ms).</t>
  </si>
  <si>
    <t>FY 124</t>
  </si>
  <si>
    <t>KY 117</t>
  </si>
  <si>
    <t>CBY 017</t>
  </si>
  <si>
    <t>Ditemukan reject (SEPARUH) 1 strip dalam 1θ; opt melakukan pemeriksaan hasil kemas 1θ (100 dus); sampling ulang oleh ipc (9 dus) dari 100 dus (ms).</t>
  </si>
  <si>
    <t>KY 270</t>
  </si>
  <si>
    <t>LY 198</t>
  </si>
  <si>
    <t>SLPY 001</t>
  </si>
  <si>
    <t>Ditemukan reject (Tumpuk) 1 strip dalam 1θ; opt melakukan pemeriksaan hasil kemas 1θ (100 dus); sampling ulang oleh ipc (9 dus) dari 100 dus (ms).</t>
  </si>
  <si>
    <t>FY 187</t>
  </si>
  <si>
    <t>Ditemukan reject (Kosong) 1 strip dalam 1θ; opt melakukan pemeriksaan hasil kemas 1θ (100 dus); sampling ulang oleh ipc (9 dus) dari 100 dus (ms).</t>
  </si>
  <si>
    <t>KY 307</t>
  </si>
  <si>
    <t>LY 229</t>
  </si>
  <si>
    <t>FY 264</t>
  </si>
  <si>
    <t>FY 239</t>
  </si>
  <si>
    <t>KY327</t>
  </si>
  <si>
    <t>LY243</t>
  </si>
  <si>
    <t>FY239</t>
  </si>
  <si>
    <t>FY264</t>
  </si>
  <si>
    <t>KY307</t>
  </si>
  <si>
    <t>LY229</t>
  </si>
  <si>
    <t>FY 265</t>
  </si>
  <si>
    <t>KY 327</t>
  </si>
  <si>
    <t>LY 243</t>
  </si>
  <si>
    <t>KY375</t>
  </si>
  <si>
    <t>FY265</t>
  </si>
  <si>
    <t>LY276</t>
  </si>
  <si>
    <t>KY 372</t>
  </si>
  <si>
    <t>KY 375</t>
  </si>
  <si>
    <t>LY 276</t>
  </si>
  <si>
    <t>CBY 021</t>
  </si>
  <si>
    <t>FY 317</t>
  </si>
  <si>
    <t>FY298</t>
  </si>
  <si>
    <t>CBY031</t>
  </si>
  <si>
    <t>FY346</t>
  </si>
  <si>
    <t>KY 461</t>
  </si>
  <si>
    <t>LY335</t>
  </si>
  <si>
    <t>FY307</t>
  </si>
  <si>
    <t>FY 307</t>
  </si>
  <si>
    <t>KY 470</t>
  </si>
  <si>
    <t>FY 473</t>
  </si>
  <si>
    <t>CBY 049</t>
  </si>
  <si>
    <t>FY 367</t>
  </si>
  <si>
    <t>Proses</t>
  </si>
  <si>
    <t>Tanggal Pembuatan</t>
  </si>
  <si>
    <t>Tanggal Daluarsa</t>
  </si>
  <si>
    <t>Waktu pencampuran Drum Mixer</t>
  </si>
  <si>
    <t>Hasil Drum mixer</t>
  </si>
  <si>
    <t>Hasil Cetak</t>
  </si>
  <si>
    <t>Hasil Sortir</t>
  </si>
  <si>
    <t>Hasil Kemas</t>
  </si>
  <si>
    <t>(menit)</t>
  </si>
  <si>
    <t>(%)</t>
  </si>
  <si>
    <t>100.19</t>
  </si>
  <si>
    <t>99.88</t>
  </si>
  <si>
    <t>99.60</t>
  </si>
  <si>
    <t>99.79</t>
  </si>
  <si>
    <t>99.92</t>
  </si>
  <si>
    <t>99.63</t>
  </si>
  <si>
    <t>100.17</t>
  </si>
  <si>
    <t>99.96</t>
  </si>
  <si>
    <t>99.76</t>
  </si>
  <si>
    <t>99.94</t>
  </si>
  <si>
    <t>99.9</t>
  </si>
  <si>
    <t>99.7</t>
  </si>
  <si>
    <t>99.64</t>
  </si>
  <si>
    <t>100.15</t>
  </si>
  <si>
    <t>95.57</t>
  </si>
  <si>
    <t>Penyimpangan : 06022025/Prod/Novamox 500</t>
  </si>
  <si>
    <t>100.21</t>
  </si>
  <si>
    <t>90.0</t>
  </si>
  <si>
    <t>93.71</t>
  </si>
  <si>
    <t>Penyimpangan : 10022025/Prod/Novamox 500</t>
  </si>
  <si>
    <t>62.02</t>
  </si>
  <si>
    <t>95.22</t>
  </si>
  <si>
    <t>Penyimpangan : 11022025/Prod/Novamox 500</t>
  </si>
  <si>
    <t>99.53</t>
  </si>
  <si>
    <t>99.91</t>
  </si>
  <si>
    <t>92.47</t>
  </si>
  <si>
    <t>93.56</t>
  </si>
  <si>
    <t>Penyimpangan : 040322025/Prod/Novamox 500</t>
  </si>
  <si>
    <t>94.22</t>
  </si>
  <si>
    <t>95.11</t>
  </si>
  <si>
    <t>97.02</t>
  </si>
  <si>
    <t>100.2</t>
  </si>
  <si>
    <t>99.87</t>
  </si>
  <si>
    <t>94.94</t>
  </si>
  <si>
    <t>94.87</t>
  </si>
  <si>
    <t>Penyimpangan : 060322025/Prod/Novamox 500</t>
  </si>
  <si>
    <t>94.16</t>
  </si>
  <si>
    <t>94.47</t>
  </si>
  <si>
    <t>96.41</t>
  </si>
  <si>
    <t>97.95</t>
  </si>
  <si>
    <t>91.42</t>
  </si>
  <si>
    <t>91.8</t>
  </si>
  <si>
    <t>Penyimpangan : 080322025/Prod/Novamox 500</t>
  </si>
  <si>
    <t>92.8</t>
  </si>
  <si>
    <t>93.52</t>
  </si>
  <si>
    <t>94.49</t>
  </si>
  <si>
    <t>97.41</t>
  </si>
  <si>
    <t>99.15</t>
  </si>
  <si>
    <t>94.32</t>
  </si>
  <si>
    <t>94.67</t>
  </si>
  <si>
    <t>Penyimpangan : 070322025/Prod/Novamox 500</t>
  </si>
  <si>
    <t>94.92</t>
  </si>
  <si>
    <t>95.61</t>
  </si>
  <si>
    <t>100,20</t>
  </si>
  <si>
    <t>99,88</t>
  </si>
  <si>
    <t>96,23</t>
  </si>
  <si>
    <t>96,13</t>
  </si>
  <si>
    <t>100.32</t>
  </si>
  <si>
    <t>99.95</t>
  </si>
  <si>
    <t>100.27</t>
  </si>
  <si>
    <t>99.47</t>
  </si>
  <si>
    <t>100.1</t>
  </si>
  <si>
    <t>2503-01-115</t>
  </si>
  <si>
    <t>99.72</t>
  </si>
  <si>
    <t>99.84</t>
  </si>
  <si>
    <t>100.16</t>
  </si>
  <si>
    <t>99.50</t>
  </si>
  <si>
    <t>100.18</t>
  </si>
  <si>
    <t>99.89</t>
  </si>
  <si>
    <t>99.45</t>
  </si>
  <si>
    <t>100.05</t>
  </si>
  <si>
    <t>100.14</t>
  </si>
  <si>
    <t>99.52</t>
  </si>
  <si>
    <t>100.13</t>
  </si>
  <si>
    <t>99.30</t>
  </si>
  <si>
    <t>99.49</t>
  </si>
  <si>
    <t>99.93</t>
  </si>
  <si>
    <t>99.54</t>
  </si>
  <si>
    <t>PERHITUNGAN STATISTIK</t>
  </si>
  <si>
    <t>Parameter</t>
  </si>
  <si>
    <t>Bobot 
Rata-Rata</t>
  </si>
  <si>
    <t>Kekerasan</t>
  </si>
  <si>
    <t>Kerapuhan</t>
  </si>
  <si>
    <t>Waktu 
Hancur</t>
  </si>
  <si>
    <t xml:space="preserve">Keseragaman Bobot </t>
  </si>
  <si>
    <t>Disolusi</t>
  </si>
  <si>
    <t>Kadar Antara Ii</t>
  </si>
  <si>
    <t xml:space="preserve">Cemaran Mikroba </t>
  </si>
  <si>
    <t xml:space="preserve">Identifikasi </t>
  </si>
  <si>
    <t>1910-2070</t>
  </si>
  <si>
    <t>665-735 (mg/kap)</t>
  </si>
  <si>
    <t>6,0-16,0 (kp)</t>
  </si>
  <si>
    <t xml:space="preserve"> ≤ 1,0 (%)</t>
  </si>
  <si>
    <t>≤ 15 (menit)</t>
  </si>
  <si>
    <t>≤ 15,0 (AV)</t>
  </si>
  <si>
    <t>≥ 80% (Q+5) 30 menit (%)</t>
  </si>
  <si>
    <t>90,0 - 120,0 (%)</t>
  </si>
  <si>
    <t>Angka Lempeng Total</t>
  </si>
  <si>
    <t>Angka Kapang Khamir</t>
  </si>
  <si>
    <t>Escherichia coli</t>
  </si>
  <si>
    <t>Harga Rf Bercak Baku</t>
  </si>
  <si>
    <t>Harga Rf Bercak Sampel</t>
  </si>
  <si>
    <t>≤10³ (cfu/gr)</t>
  </si>
  <si>
    <t>≤10² (cfu/gr)</t>
  </si>
  <si>
    <t>Negatif/gr</t>
  </si>
  <si>
    <t>Min</t>
  </si>
  <si>
    <t>Max</t>
  </si>
  <si>
    <t>Average</t>
  </si>
  <si>
    <t>SD</t>
  </si>
  <si>
    <t>LCL</t>
  </si>
  <si>
    <t>UCL</t>
  </si>
  <si>
    <t>Pengemasan</t>
  </si>
  <si>
    <t>Data Analisis</t>
  </si>
  <si>
    <t>Nomor  Batch</t>
  </si>
  <si>
    <t>Hasil Dus</t>
  </si>
  <si>
    <t>Bobot</t>
  </si>
  <si>
    <t>Waktu Hancur</t>
  </si>
  <si>
    <t xml:space="preserve">Keseragaman Sediaan </t>
  </si>
  <si>
    <t>Kadar Antara</t>
  </si>
  <si>
    <t>Cemaran Mikroba</t>
  </si>
  <si>
    <t>Identifikasi</t>
  </si>
  <si>
    <t>AV</t>
  </si>
  <si>
    <t>cfu/gr</t>
  </si>
  <si>
    <t>**</t>
  </si>
  <si>
    <t>Rata2</t>
  </si>
  <si>
    <t>≤ 15,0</t>
  </si>
  <si>
    <t xml:space="preserve">≤10³ </t>
  </si>
  <si>
    <t>≤10²</t>
  </si>
  <si>
    <t>rf Bercak Baku</t>
  </si>
  <si>
    <t>rf Bercak Sampel</t>
  </si>
  <si>
    <t>&lt; 10</t>
  </si>
  <si>
    <t>&lt;10</t>
  </si>
  <si>
    <t>Negatif</t>
  </si>
  <si>
    <t>2507-19-112</t>
  </si>
  <si>
    <t>2507-20-112</t>
  </si>
  <si>
    <t>2507-21-112</t>
  </si>
  <si>
    <t>2507-22-112</t>
  </si>
  <si>
    <t>2507-23-112</t>
  </si>
  <si>
    <t>Pemerian Granul</t>
  </si>
  <si>
    <t>Warna Kaplet sedian inti</t>
  </si>
  <si>
    <t>Bentuk Sediaan</t>
  </si>
  <si>
    <t>Emboss</t>
  </si>
  <si>
    <t>Panjang</t>
  </si>
  <si>
    <t>Lebar</t>
  </si>
  <si>
    <t>Tebal</t>
  </si>
  <si>
    <t>Partikel Asing</t>
  </si>
  <si>
    <t>Warna</t>
  </si>
  <si>
    <t>Punch Atas</t>
  </si>
  <si>
    <t>Punch Bawah</t>
  </si>
  <si>
    <t>18,00 ± 0,5</t>
  </si>
  <si>
    <t>8,55 ± 0,5</t>
  </si>
  <si>
    <t>5,50-6,50</t>
  </si>
  <si>
    <t>Putih Bintik Merah</t>
  </si>
  <si>
    <t>Kaplet</t>
  </si>
  <si>
    <t>Nova</t>
  </si>
  <si>
    <t>AMO 500</t>
  </si>
  <si>
    <t>Tidak Ada</t>
  </si>
  <si>
    <t>8.6</t>
  </si>
  <si>
    <t>5.9</t>
  </si>
  <si>
    <t>5.966</t>
  </si>
  <si>
    <t>2505-0-112</t>
  </si>
  <si>
    <t>AMO 501</t>
  </si>
  <si>
    <t>AMO 502</t>
  </si>
  <si>
    <t>AMO 503</t>
  </si>
  <si>
    <t>AMO 504</t>
  </si>
  <si>
    <t>AMO 505</t>
  </si>
  <si>
    <t>AMO 506</t>
  </si>
  <si>
    <t>AMO 507</t>
  </si>
  <si>
    <t>AMO 508</t>
  </si>
  <si>
    <t>AMO 509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</si>
</sst>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"/>
    <numFmt numFmtId="181" formatCode="0_ "/>
    <numFmt numFmtId="182" formatCode="0.0_ "/>
    <numFmt numFmtId="183" formatCode="0.00_ "/>
    <numFmt numFmtId="184" formatCode="mmm\-yy"/>
    <numFmt numFmtId="185" formatCode="dd\-mmm\-yy"/>
  </numFmts>
  <fonts count="39">
    <font>
      <sz val="11"/>
      <color theme="1"/>
      <name val="Calibri"/>
      <charset val="134"/>
      <scheme val="minor"/>
    </font>
    <font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Times New Roman"/>
      <charset val="134"/>
    </font>
    <font>
      <sz val="9"/>
      <color rgb="FF0070C0"/>
      <name val="Trebuchet MS"/>
      <charset val="134"/>
    </font>
    <font>
      <b/>
      <sz val="9"/>
      <color theme="1"/>
      <name val="Times New Roman"/>
      <charset val="134"/>
    </font>
    <font>
      <sz val="10"/>
      <name val="Times New Roman"/>
      <charset val="134"/>
    </font>
    <font>
      <sz val="9"/>
      <color indexed="8"/>
      <name val="Times New Roman"/>
      <charset val="134"/>
    </font>
    <font>
      <sz val="9"/>
      <color rgb="FF000000"/>
      <name val="Times New Roman"/>
      <charset val="134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85641041291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8808252204962"/>
        <bgColor indexed="64"/>
      </patternFill>
    </fill>
    <fill>
      <patternFill patternType="solid">
        <fgColor theme="0" tint="-0.148655659657582"/>
        <bgColor indexed="64"/>
      </patternFill>
    </fill>
    <fill>
      <patternFill patternType="solid">
        <fgColor theme="0" tint="-0.148106326487014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0" tint="-0.14813684499649"/>
        <bgColor indexed="64"/>
      </patternFill>
    </fill>
    <fill>
      <patternFill patternType="solid">
        <fgColor theme="0" tint="-0.148350474562822"/>
        <bgColor indexed="64"/>
      </patternFill>
    </fill>
    <fill>
      <patternFill patternType="solid">
        <fgColor theme="0" tint="-0.148533585619678"/>
        <bgColor indexed="64"/>
      </patternFill>
    </fill>
    <fill>
      <patternFill patternType="solid">
        <fgColor theme="0" tint="-0.14859462263863"/>
        <bgColor indexed="64"/>
      </patternFill>
    </fill>
    <fill>
      <patternFill patternType="solid">
        <fgColor theme="0" tint="-0.148075807977538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auto="1"/>
      </left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 style="medium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rgb="FF50505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50505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4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0" borderId="4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8" borderId="47" applyNumberFormat="0" applyAlignment="0" applyProtection="0">
      <alignment vertical="center"/>
    </xf>
    <xf numFmtId="0" fontId="27" fillId="19" borderId="48" applyNumberFormat="0" applyAlignment="0" applyProtection="0">
      <alignment vertical="center"/>
    </xf>
    <xf numFmtId="0" fontId="28" fillId="19" borderId="47" applyNumberFormat="0" applyAlignment="0" applyProtection="0">
      <alignment vertical="center"/>
    </xf>
    <xf numFmtId="0" fontId="29" fillId="20" borderId="49" applyNumberFormat="0" applyAlignment="0" applyProtection="0">
      <alignment vertical="center"/>
    </xf>
    <xf numFmtId="0" fontId="30" fillId="0" borderId="50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7" fillId="0" borderId="0"/>
  </cellStyleXfs>
  <cellXfs count="2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58" fontId="5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58" fontId="5" fillId="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6" fillId="5" borderId="0" xfId="0" applyFont="1" applyFill="1" applyAlignment="1">
      <alignment horizontal="center"/>
    </xf>
    <xf numFmtId="0" fontId="0" fillId="0" borderId="0" xfId="0" applyAlignment="1"/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3" fillId="0" borderId="7" xfId="0" applyFont="1" applyBorder="1" applyAlignment="1"/>
    <xf numFmtId="1" fontId="3" fillId="0" borderId="7" xfId="0" applyNumberFormat="1" applyFont="1" applyBorder="1" applyAlignment="1">
      <alignment horizontal="center"/>
    </xf>
    <xf numFmtId="180" fontId="3" fillId="0" borderId="7" xfId="0" applyNumberFormat="1" applyFont="1" applyBorder="1" applyAlignment="1">
      <alignment horizontal="center"/>
    </xf>
    <xf numFmtId="0" fontId="3" fillId="6" borderId="7" xfId="0" applyFont="1" applyFill="1" applyBorder="1" applyAlignment="1"/>
    <xf numFmtId="1" fontId="3" fillId="6" borderId="7" xfId="0" applyNumberFormat="1" applyFont="1" applyFill="1" applyBorder="1" applyAlignment="1">
      <alignment horizontal="center"/>
    </xf>
    <xf numFmtId="180" fontId="3" fillId="6" borderId="7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81" fontId="3" fillId="0" borderId="16" xfId="0" applyNumberFormat="1" applyFont="1" applyBorder="1" applyAlignment="1">
      <alignment horizontal="center" vertical="center"/>
    </xf>
    <xf numFmtId="182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178" fontId="2" fillId="0" borderId="8" xfId="4" applyFont="1" applyBorder="1" applyAlignment="1">
      <alignment horizontal="center" vertical="center"/>
    </xf>
    <xf numFmtId="183" fontId="3" fillId="0" borderId="16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0" borderId="8" xfId="0" applyFont="1" applyBorder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3" fontId="3" fillId="0" borderId="8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58" fontId="3" fillId="0" borderId="16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83" fontId="1" fillId="0" borderId="8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/>
    <xf numFmtId="0" fontId="10" fillId="0" borderId="6" xfId="0" applyFont="1" applyBorder="1" applyAlignment="1">
      <alignment horizontal="center" vertical="center"/>
    </xf>
    <xf numFmtId="185" fontId="10" fillId="0" borderId="8" xfId="0" applyNumberFormat="1" applyFont="1" applyBorder="1" applyAlignment="1">
      <alignment horizontal="center" vertical="center"/>
    </xf>
    <xf numFmtId="184" fontId="5" fillId="0" borderId="8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58" fontId="5" fillId="0" borderId="9" xfId="0" applyNumberFormat="1" applyFont="1" applyBorder="1" applyAlignment="1">
      <alignment horizontal="center" vertical="center"/>
    </xf>
    <xf numFmtId="58" fontId="5" fillId="0" borderId="27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58" fontId="5" fillId="0" borderId="16" xfId="0" applyNumberFormat="1" applyFont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58" fontId="1" fillId="0" borderId="8" xfId="0" applyNumberFormat="1" applyFont="1" applyBorder="1" applyAlignment="1">
      <alignment horizontal="center" vertical="center"/>
    </xf>
    <xf numFmtId="0" fontId="1" fillId="0" borderId="0" xfId="0" applyFont="1" applyFill="1">
      <alignment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58" fontId="1" fillId="0" borderId="9" xfId="0" applyNumberFormat="1" applyFont="1" applyBorder="1" applyAlignment="1">
      <alignment horizontal="center" vertical="center"/>
    </xf>
    <xf numFmtId="58" fontId="1" fillId="0" borderId="16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49" fontId="3" fillId="9" borderId="6" xfId="0" applyNumberFormat="1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wrapText="1"/>
    </xf>
    <xf numFmtId="0" fontId="7" fillId="13" borderId="34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58" fontId="1" fillId="0" borderId="17" xfId="0" applyNumberFormat="1" applyFont="1" applyBorder="1" applyAlignment="1">
      <alignment horizontal="center" vertical="center"/>
    </xf>
    <xf numFmtId="58" fontId="1" fillId="0" borderId="40" xfId="0" applyNumberFormat="1" applyFont="1" applyBorder="1" applyAlignment="1">
      <alignment horizontal="center" vertical="center"/>
    </xf>
    <xf numFmtId="58" fontId="1" fillId="0" borderId="41" xfId="0" applyNumberFormat="1" applyFont="1" applyBorder="1" applyAlignment="1">
      <alignment horizontal="center" vertical="center"/>
    </xf>
    <xf numFmtId="185" fontId="3" fillId="0" borderId="0" xfId="0" applyNumberFormat="1" applyFont="1" applyAlignment="1">
      <alignment horizontal="left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42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85" fontId="4" fillId="0" borderId="0" xfId="0" applyNumberFormat="1" applyFont="1" applyAlignment="1">
      <alignment horizontal="left" vertical="center"/>
    </xf>
    <xf numFmtId="0" fontId="7" fillId="9" borderId="4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7" xfId="0" applyFont="1" applyFill="1" applyBorder="1">
      <alignment vertical="center"/>
    </xf>
    <xf numFmtId="0" fontId="1" fillId="0" borderId="33" xfId="0" applyFont="1" applyBorder="1" applyAlignment="1">
      <alignment horizontal="center" vertical="center"/>
    </xf>
    <xf numFmtId="58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61"/>
  <sheetViews>
    <sheetView zoomScale="110" zoomScaleNormal="110" topLeftCell="A3" workbookViewId="0">
      <pane xSplit="1" ySplit="2" topLeftCell="K131" activePane="bottomRight" state="frozen"/>
      <selection/>
      <selection pane="topRight"/>
      <selection pane="bottomLeft"/>
      <selection pane="bottomRight" activeCell="A144" sqref="A144"/>
    </sheetView>
  </sheetViews>
  <sheetFormatPr defaultColWidth="9.10185185185185" defaultRowHeight="14.4"/>
  <cols>
    <col min="1" max="1" width="10.4351851851852" customWidth="1"/>
    <col min="2" max="2" width="11.4351851851852"/>
    <col min="3" max="3" width="9.33333333333333"/>
    <col min="4" max="4" width="11.4351851851852"/>
    <col min="6" max="6" width="11.4351851851852"/>
    <col min="8" max="8" width="11.4351851851852"/>
    <col min="10" max="10" width="11.4351851851852"/>
    <col min="12" max="12" width="11.4351851851852"/>
    <col min="14" max="14" width="11.4351851851852"/>
    <col min="16" max="16" width="11.4351851851852" style="27"/>
    <col min="18" max="18" width="11.4351851851852"/>
    <col min="20" max="20" width="11.4351851851852"/>
    <col min="21" max="21" width="9.33333333333333"/>
    <col min="22" max="22" width="11.4351851851852"/>
    <col min="23" max="23" width="9.33333333333333"/>
    <col min="24" max="24" width="11.4444444444444"/>
  </cols>
  <sheetData>
    <row r="2" ht="15.15"/>
    <row r="3" ht="15.15" spans="1:25">
      <c r="A3" s="215" t="s">
        <v>0</v>
      </c>
      <c r="B3" s="215" t="s">
        <v>1</v>
      </c>
      <c r="C3" s="215"/>
      <c r="D3" s="215"/>
      <c r="E3" s="215"/>
      <c r="F3" s="215" t="s">
        <v>2</v>
      </c>
      <c r="G3" s="215"/>
      <c r="H3" s="215"/>
      <c r="I3" s="215"/>
      <c r="J3" s="215" t="s">
        <v>3</v>
      </c>
      <c r="K3" s="215"/>
      <c r="L3" s="215"/>
      <c r="M3" s="215"/>
      <c r="N3" s="215" t="s">
        <v>4</v>
      </c>
      <c r="O3" s="215"/>
      <c r="P3" s="215"/>
      <c r="Q3" s="215"/>
      <c r="R3" s="215" t="s">
        <v>5</v>
      </c>
      <c r="S3" s="215"/>
      <c r="T3" s="215"/>
      <c r="U3" s="215"/>
      <c r="V3" s="215" t="s">
        <v>6</v>
      </c>
      <c r="W3" s="215"/>
      <c r="X3" s="215"/>
      <c r="Y3" s="215"/>
    </row>
    <row r="4" ht="15.15" spans="1:25">
      <c r="A4" s="216"/>
      <c r="B4" s="216" t="s">
        <v>7</v>
      </c>
      <c r="C4" s="216" t="s">
        <v>8</v>
      </c>
      <c r="D4" s="216" t="s">
        <v>9</v>
      </c>
      <c r="E4" s="216" t="s">
        <v>10</v>
      </c>
      <c r="F4" s="216" t="s">
        <v>7</v>
      </c>
      <c r="G4" s="216" t="s">
        <v>8</v>
      </c>
      <c r="H4" s="216" t="s">
        <v>9</v>
      </c>
      <c r="I4" s="216" t="s">
        <v>10</v>
      </c>
      <c r="J4" s="216" t="s">
        <v>7</v>
      </c>
      <c r="K4" s="216" t="s">
        <v>8</v>
      </c>
      <c r="L4" s="216" t="s">
        <v>9</v>
      </c>
      <c r="M4" s="216" t="s">
        <v>10</v>
      </c>
      <c r="N4" s="216" t="s">
        <v>7</v>
      </c>
      <c r="O4" s="216" t="s">
        <v>8</v>
      </c>
      <c r="P4" s="215" t="s">
        <v>9</v>
      </c>
      <c r="Q4" s="216" t="s">
        <v>10</v>
      </c>
      <c r="R4" s="216" t="s">
        <v>7</v>
      </c>
      <c r="S4" s="216" t="s">
        <v>8</v>
      </c>
      <c r="T4" s="216" t="s">
        <v>9</v>
      </c>
      <c r="U4" s="216" t="s">
        <v>10</v>
      </c>
      <c r="V4" s="216" t="s">
        <v>7</v>
      </c>
      <c r="W4" s="216" t="s">
        <v>8</v>
      </c>
      <c r="X4" s="216" t="s">
        <v>9</v>
      </c>
      <c r="Y4" s="216" t="s">
        <v>10</v>
      </c>
    </row>
    <row r="5" spans="1:25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pans="1: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>
      <c r="A13" s="25" t="s">
        <v>11</v>
      </c>
      <c r="B13" s="112">
        <v>45660</v>
      </c>
      <c r="C13" s="25" t="s">
        <v>12</v>
      </c>
      <c r="D13" s="112">
        <v>45660</v>
      </c>
      <c r="E13" s="25" t="s">
        <v>13</v>
      </c>
      <c r="F13" s="112">
        <v>45661</v>
      </c>
      <c r="G13" s="25" t="s">
        <v>14</v>
      </c>
      <c r="H13" s="112">
        <v>45663</v>
      </c>
      <c r="I13" s="25" t="s">
        <v>15</v>
      </c>
      <c r="J13" s="112">
        <v>45664</v>
      </c>
      <c r="K13" s="25" t="s">
        <v>16</v>
      </c>
      <c r="L13" s="112">
        <v>45664</v>
      </c>
      <c r="M13" s="25" t="s">
        <v>17</v>
      </c>
      <c r="N13" s="112">
        <v>45664</v>
      </c>
      <c r="O13" s="25" t="s">
        <v>18</v>
      </c>
      <c r="P13" s="112">
        <v>45664</v>
      </c>
      <c r="Q13" s="25" t="s">
        <v>19</v>
      </c>
      <c r="R13" s="112">
        <v>45661</v>
      </c>
      <c r="S13" s="25" t="s">
        <v>20</v>
      </c>
      <c r="T13" s="112">
        <v>45661</v>
      </c>
      <c r="U13" s="25" t="s">
        <v>21</v>
      </c>
      <c r="V13" s="112">
        <v>45664</v>
      </c>
      <c r="W13" s="25" t="s">
        <v>22</v>
      </c>
      <c r="X13" s="112">
        <v>45664</v>
      </c>
      <c r="Y13" s="25" t="s">
        <v>23</v>
      </c>
    </row>
    <row r="14" spans="1:25">
      <c r="A14" s="25" t="s">
        <v>24</v>
      </c>
      <c r="B14" s="112">
        <v>45661</v>
      </c>
      <c r="C14" s="25" t="s">
        <v>25</v>
      </c>
      <c r="D14" s="112">
        <v>45661</v>
      </c>
      <c r="E14" s="25" t="s">
        <v>17</v>
      </c>
      <c r="F14" s="112">
        <v>45663</v>
      </c>
      <c r="G14" s="25" t="s">
        <v>26</v>
      </c>
      <c r="H14" s="112">
        <v>45663</v>
      </c>
      <c r="I14" s="25" t="s">
        <v>27</v>
      </c>
      <c r="J14" s="112">
        <v>45664</v>
      </c>
      <c r="K14" s="25" t="s">
        <v>28</v>
      </c>
      <c r="L14" s="112">
        <v>45664</v>
      </c>
      <c r="M14" s="25" t="s">
        <v>29</v>
      </c>
      <c r="N14" s="112">
        <v>45664</v>
      </c>
      <c r="O14" s="25" t="s">
        <v>30</v>
      </c>
      <c r="P14" s="112">
        <v>45665</v>
      </c>
      <c r="Q14" s="25" t="s">
        <v>30</v>
      </c>
      <c r="R14" s="112">
        <v>45661</v>
      </c>
      <c r="S14" s="25" t="s">
        <v>31</v>
      </c>
      <c r="T14" s="112">
        <v>45661</v>
      </c>
      <c r="U14" s="25" t="s">
        <v>32</v>
      </c>
      <c r="V14" s="112">
        <v>45664</v>
      </c>
      <c r="W14" s="25" t="s">
        <v>22</v>
      </c>
      <c r="X14" s="112">
        <v>45665</v>
      </c>
      <c r="Y14" s="25" t="s">
        <v>33</v>
      </c>
    </row>
    <row r="15" spans="1:25">
      <c r="A15" s="25" t="s">
        <v>34</v>
      </c>
      <c r="B15" s="112">
        <v>45661</v>
      </c>
      <c r="C15" s="25" t="s">
        <v>35</v>
      </c>
      <c r="D15" s="112">
        <v>45661</v>
      </c>
      <c r="E15" s="25" t="s">
        <v>31</v>
      </c>
      <c r="F15" s="112">
        <v>45663</v>
      </c>
      <c r="G15" s="25" t="s">
        <v>36</v>
      </c>
      <c r="H15" s="112">
        <v>45663</v>
      </c>
      <c r="I15" s="25" t="s">
        <v>37</v>
      </c>
      <c r="J15" s="112">
        <v>45664</v>
      </c>
      <c r="K15" s="25" t="s">
        <v>38</v>
      </c>
      <c r="L15" s="112">
        <v>45665</v>
      </c>
      <c r="M15" s="25" t="s">
        <v>39</v>
      </c>
      <c r="N15" s="112">
        <v>45665</v>
      </c>
      <c r="O15" s="25" t="s">
        <v>22</v>
      </c>
      <c r="P15" s="112">
        <v>45665</v>
      </c>
      <c r="Q15" s="25" t="s">
        <v>40</v>
      </c>
      <c r="R15" s="112">
        <v>45661</v>
      </c>
      <c r="S15" s="25" t="s">
        <v>32</v>
      </c>
      <c r="T15" s="112">
        <v>45661</v>
      </c>
      <c r="U15" s="25" t="s">
        <v>41</v>
      </c>
      <c r="V15" s="112">
        <v>45665</v>
      </c>
      <c r="W15" s="25" t="s">
        <v>42</v>
      </c>
      <c r="X15" s="112">
        <v>45665</v>
      </c>
      <c r="Y15" s="25" t="s">
        <v>40</v>
      </c>
    </row>
    <row r="16" spans="1:26">
      <c r="A16" s="29" t="s">
        <v>43</v>
      </c>
      <c r="B16" s="112">
        <v>45666</v>
      </c>
      <c r="C16" s="25" t="s">
        <v>44</v>
      </c>
      <c r="D16" s="112">
        <v>45666</v>
      </c>
      <c r="E16" s="25" t="s">
        <v>45</v>
      </c>
      <c r="F16" s="112">
        <v>45667</v>
      </c>
      <c r="G16" s="25" t="s">
        <v>46</v>
      </c>
      <c r="H16" s="112">
        <v>45667</v>
      </c>
      <c r="I16" s="25" t="s">
        <v>47</v>
      </c>
      <c r="J16" s="112">
        <v>45668</v>
      </c>
      <c r="K16" s="25" t="s">
        <v>48</v>
      </c>
      <c r="L16" s="112">
        <v>45668</v>
      </c>
      <c r="M16" s="25" t="s">
        <v>21</v>
      </c>
      <c r="N16" s="112">
        <v>45670</v>
      </c>
      <c r="O16" s="25" t="s">
        <v>18</v>
      </c>
      <c r="P16" s="112">
        <v>45694</v>
      </c>
      <c r="Q16" s="112" t="s">
        <v>37</v>
      </c>
      <c r="R16" s="112">
        <v>45666</v>
      </c>
      <c r="S16" s="112" t="s">
        <v>28</v>
      </c>
      <c r="T16" s="112">
        <v>45666</v>
      </c>
      <c r="U16" s="25" t="s">
        <v>49</v>
      </c>
      <c r="V16" s="112">
        <v>45670</v>
      </c>
      <c r="W16" s="112" t="s">
        <v>16</v>
      </c>
      <c r="X16" s="112">
        <v>45694</v>
      </c>
      <c r="Y16" s="25" t="s">
        <v>23</v>
      </c>
      <c r="Z16" s="3" t="s">
        <v>50</v>
      </c>
    </row>
    <row r="17" spans="1:26">
      <c r="A17" s="132"/>
      <c r="B17" s="112"/>
      <c r="C17" s="25"/>
      <c r="D17" s="112"/>
      <c r="E17" s="25"/>
      <c r="F17" s="112"/>
      <c r="G17" s="25"/>
      <c r="H17" s="112"/>
      <c r="I17" s="25"/>
      <c r="J17" s="112">
        <v>45674</v>
      </c>
      <c r="K17" s="25" t="s">
        <v>51</v>
      </c>
      <c r="L17" s="112">
        <v>45678</v>
      </c>
      <c r="M17" s="25" t="s">
        <v>40</v>
      </c>
      <c r="N17" s="112"/>
      <c r="O17" s="25"/>
      <c r="P17" s="112"/>
      <c r="Q17" s="25"/>
      <c r="R17" s="112"/>
      <c r="S17" s="25"/>
      <c r="T17" s="112"/>
      <c r="U17" s="112"/>
      <c r="V17" s="112"/>
      <c r="W17" s="112"/>
      <c r="X17" s="112"/>
      <c r="Y17" s="25"/>
      <c r="Z17" s="3"/>
    </row>
    <row r="18" spans="1:26">
      <c r="A18" s="25" t="s">
        <v>52</v>
      </c>
      <c r="B18" s="112">
        <v>45666</v>
      </c>
      <c r="C18" s="25" t="s">
        <v>53</v>
      </c>
      <c r="D18" s="112">
        <v>45666</v>
      </c>
      <c r="E18" s="25" t="s">
        <v>54</v>
      </c>
      <c r="F18" s="112">
        <v>45668</v>
      </c>
      <c r="G18" s="25" t="s">
        <v>14</v>
      </c>
      <c r="H18" s="112">
        <v>45668</v>
      </c>
      <c r="I18" s="25" t="s">
        <v>39</v>
      </c>
      <c r="J18" s="112">
        <v>45679</v>
      </c>
      <c r="K18" s="25" t="s">
        <v>55</v>
      </c>
      <c r="L18" s="112">
        <v>45693</v>
      </c>
      <c r="M18" s="25" t="s">
        <v>22</v>
      </c>
      <c r="N18" s="112">
        <v>45670</v>
      </c>
      <c r="O18" s="25" t="s">
        <v>18</v>
      </c>
      <c r="P18" s="112">
        <v>45698</v>
      </c>
      <c r="Q18" s="25" t="s">
        <v>40</v>
      </c>
      <c r="R18" s="112">
        <v>45666</v>
      </c>
      <c r="S18" s="25" t="s">
        <v>56</v>
      </c>
      <c r="T18" s="112">
        <v>45666</v>
      </c>
      <c r="U18" s="112" t="s">
        <v>57</v>
      </c>
      <c r="V18" s="112">
        <v>45670</v>
      </c>
      <c r="W18" s="112" t="s">
        <v>58</v>
      </c>
      <c r="X18" s="112">
        <v>45698</v>
      </c>
      <c r="Y18" s="25" t="s">
        <v>59</v>
      </c>
      <c r="Z18" s="3" t="s">
        <v>50</v>
      </c>
    </row>
    <row r="19" spans="1:26">
      <c r="A19" s="25"/>
      <c r="B19" s="112"/>
      <c r="C19" s="25"/>
      <c r="D19" s="112"/>
      <c r="E19" s="25"/>
      <c r="F19" s="112"/>
      <c r="G19" s="25"/>
      <c r="H19" s="112"/>
      <c r="I19" s="25"/>
      <c r="J19" s="112">
        <v>45668</v>
      </c>
      <c r="K19" s="25" t="s">
        <v>29</v>
      </c>
      <c r="L19" s="112">
        <v>45670</v>
      </c>
      <c r="M19" s="25" t="s">
        <v>60</v>
      </c>
      <c r="N19" s="112"/>
      <c r="O19" s="25"/>
      <c r="P19" s="112"/>
      <c r="Q19" s="25"/>
      <c r="R19" s="112"/>
      <c r="S19" s="25"/>
      <c r="T19" s="112"/>
      <c r="U19" s="25"/>
      <c r="V19" s="112"/>
      <c r="W19" s="25"/>
      <c r="X19" s="112"/>
      <c r="Y19" s="25"/>
      <c r="Z19" s="3"/>
    </row>
    <row r="20" spans="1:26">
      <c r="A20" s="25" t="s">
        <v>61</v>
      </c>
      <c r="B20" s="112">
        <v>45666</v>
      </c>
      <c r="C20" s="25" t="s">
        <v>62</v>
      </c>
      <c r="D20" s="112">
        <v>45666</v>
      </c>
      <c r="E20" s="25" t="s">
        <v>63</v>
      </c>
      <c r="F20" s="112">
        <v>45668</v>
      </c>
      <c r="G20" s="25" t="s">
        <v>14</v>
      </c>
      <c r="H20" s="112">
        <v>45668</v>
      </c>
      <c r="I20" s="25" t="s">
        <v>20</v>
      </c>
      <c r="J20" s="112">
        <v>45693</v>
      </c>
      <c r="K20" s="25" t="s">
        <v>27</v>
      </c>
      <c r="L20" s="112">
        <v>45698</v>
      </c>
      <c r="M20" s="25" t="s">
        <v>19</v>
      </c>
      <c r="N20" s="112">
        <v>45670</v>
      </c>
      <c r="O20" s="25" t="s">
        <v>64</v>
      </c>
      <c r="P20" s="112">
        <v>45699</v>
      </c>
      <c r="Q20" s="25" t="s">
        <v>37</v>
      </c>
      <c r="R20" s="112">
        <v>45666</v>
      </c>
      <c r="S20" s="25" t="s">
        <v>44</v>
      </c>
      <c r="T20" s="112">
        <v>45666</v>
      </c>
      <c r="U20" s="25" t="s">
        <v>29</v>
      </c>
      <c r="V20" s="112">
        <v>45670</v>
      </c>
      <c r="W20" s="25" t="s">
        <v>18</v>
      </c>
      <c r="X20" s="112">
        <v>45699</v>
      </c>
      <c r="Y20" s="25" t="s">
        <v>23</v>
      </c>
      <c r="Z20" s="3" t="s">
        <v>50</v>
      </c>
    </row>
    <row r="21" spans="1:25">
      <c r="A21" s="25"/>
      <c r="B21" s="25"/>
      <c r="C21" s="25"/>
      <c r="D21" s="25"/>
      <c r="E21" s="25"/>
      <c r="F21" s="25"/>
      <c r="G21" s="25"/>
      <c r="H21" s="25"/>
      <c r="I21" s="25"/>
      <c r="J21" s="112">
        <v>45670</v>
      </c>
      <c r="K21" s="25" t="s">
        <v>16</v>
      </c>
      <c r="L21" s="112">
        <v>45670</v>
      </c>
      <c r="M21" s="25" t="s">
        <v>36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>
      <c r="A22" s="29" t="s">
        <v>65</v>
      </c>
      <c r="B22" s="112">
        <v>45667</v>
      </c>
      <c r="C22" s="25" t="s">
        <v>57</v>
      </c>
      <c r="D22" s="112">
        <v>45667</v>
      </c>
      <c r="E22" s="25" t="s">
        <v>66</v>
      </c>
      <c r="F22" s="112">
        <v>45668</v>
      </c>
      <c r="G22" s="25" t="s">
        <v>67</v>
      </c>
      <c r="H22" s="112">
        <v>45670</v>
      </c>
      <c r="I22" s="25" t="s">
        <v>68</v>
      </c>
      <c r="J22" s="112">
        <v>45717</v>
      </c>
      <c r="K22" s="25" t="s">
        <v>69</v>
      </c>
      <c r="L22" s="112">
        <v>45717</v>
      </c>
      <c r="M22" s="25" t="s">
        <v>53</v>
      </c>
      <c r="N22" s="112">
        <v>45720</v>
      </c>
      <c r="O22" s="25" t="s">
        <v>18</v>
      </c>
      <c r="P22" s="112">
        <v>45720</v>
      </c>
      <c r="Q22" s="25" t="s">
        <v>37</v>
      </c>
      <c r="R22" s="112">
        <v>45667</v>
      </c>
      <c r="S22" s="25" t="s">
        <v>70</v>
      </c>
      <c r="T22" s="112">
        <v>45667</v>
      </c>
      <c r="U22" s="25" t="s">
        <v>71</v>
      </c>
      <c r="V22" s="112">
        <v>45720</v>
      </c>
      <c r="W22" s="25" t="s">
        <v>72</v>
      </c>
      <c r="X22" s="112">
        <v>45720</v>
      </c>
      <c r="Y22" s="25" t="s">
        <v>73</v>
      </c>
    </row>
    <row r="23" spans="1:25">
      <c r="A23" s="132"/>
      <c r="B23" s="25"/>
      <c r="C23" s="25"/>
      <c r="D23" s="25"/>
      <c r="E23" s="25"/>
      <c r="F23" s="25"/>
      <c r="G23" s="25"/>
      <c r="H23" s="25"/>
      <c r="I23" s="25"/>
      <c r="J23" s="112">
        <v>45715</v>
      </c>
      <c r="K23" s="25" t="s">
        <v>74</v>
      </c>
      <c r="L23" s="112">
        <v>45715</v>
      </c>
      <c r="M23" s="25" t="s">
        <v>75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>
      <c r="A24" s="132"/>
      <c r="B24" s="25"/>
      <c r="C24" s="25"/>
      <c r="D24" s="25"/>
      <c r="E24" s="25"/>
      <c r="F24" s="25"/>
      <c r="G24" s="25"/>
      <c r="H24" s="25"/>
      <c r="I24" s="25"/>
      <c r="J24" s="112">
        <v>45714</v>
      </c>
      <c r="K24" s="25" t="s">
        <v>16</v>
      </c>
      <c r="L24" s="112">
        <v>45714</v>
      </c>
      <c r="M24" s="25" t="s">
        <v>29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>
      <c r="A25" s="135"/>
      <c r="B25" s="25"/>
      <c r="C25" s="25"/>
      <c r="D25" s="25"/>
      <c r="E25" s="25"/>
      <c r="F25" s="25"/>
      <c r="G25" s="25"/>
      <c r="H25" s="25"/>
      <c r="I25" s="25"/>
      <c r="J25" s="112">
        <v>45698</v>
      </c>
      <c r="K25" s="25" t="s">
        <v>31</v>
      </c>
      <c r="L25" s="112">
        <v>45713</v>
      </c>
      <c r="M25" s="25" t="s">
        <v>32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>
      <c r="A26" s="217" t="s">
        <v>76</v>
      </c>
      <c r="B26" s="218">
        <v>45667</v>
      </c>
      <c r="C26" s="25" t="s">
        <v>77</v>
      </c>
      <c r="D26" s="112">
        <v>45667</v>
      </c>
      <c r="E26" s="25" t="s">
        <v>78</v>
      </c>
      <c r="F26" s="112">
        <v>45670</v>
      </c>
      <c r="G26" s="25" t="s">
        <v>14</v>
      </c>
      <c r="H26" s="112">
        <v>45675</v>
      </c>
      <c r="I26" s="25" t="s">
        <v>31</v>
      </c>
      <c r="J26" s="112">
        <v>45721</v>
      </c>
      <c r="K26" s="25" t="s">
        <v>19</v>
      </c>
      <c r="L26" s="112">
        <v>45722</v>
      </c>
      <c r="M26" s="25" t="s">
        <v>18</v>
      </c>
      <c r="N26" s="112">
        <v>45722</v>
      </c>
      <c r="O26" s="25" t="s">
        <v>19</v>
      </c>
      <c r="P26" s="112">
        <v>45722</v>
      </c>
      <c r="Q26" s="25" t="s">
        <v>79</v>
      </c>
      <c r="R26" s="112">
        <v>45667</v>
      </c>
      <c r="S26" s="25" t="s">
        <v>60</v>
      </c>
      <c r="T26" s="112">
        <v>45667</v>
      </c>
      <c r="U26" s="25" t="s">
        <v>27</v>
      </c>
      <c r="V26" s="112">
        <v>45722</v>
      </c>
      <c r="W26" s="25" t="s">
        <v>80</v>
      </c>
      <c r="X26" s="112">
        <v>45722</v>
      </c>
      <c r="Y26" s="25" t="s">
        <v>81</v>
      </c>
    </row>
    <row r="27" spans="1:25">
      <c r="A27" s="4"/>
      <c r="B27" s="219"/>
      <c r="C27" s="25"/>
      <c r="D27" s="25"/>
      <c r="E27" s="25"/>
      <c r="F27" s="25"/>
      <c r="G27" s="25"/>
      <c r="H27" s="25"/>
      <c r="I27" s="25"/>
      <c r="J27" s="112">
        <v>45719</v>
      </c>
      <c r="K27" s="25" t="s">
        <v>69</v>
      </c>
      <c r="L27" s="112">
        <v>45719</v>
      </c>
      <c r="M27" s="25" t="s">
        <v>53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>
      <c r="A28" s="4"/>
      <c r="B28" s="219"/>
      <c r="C28" s="25"/>
      <c r="D28" s="25"/>
      <c r="E28" s="25"/>
      <c r="F28" s="25"/>
      <c r="G28" s="25"/>
      <c r="H28" s="25"/>
      <c r="I28" s="25"/>
      <c r="J28" s="112">
        <v>45715</v>
      </c>
      <c r="K28" s="25" t="s">
        <v>16</v>
      </c>
      <c r="L28" s="112">
        <v>45715</v>
      </c>
      <c r="M28" s="25" t="s">
        <v>22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>
      <c r="A29" s="4"/>
      <c r="B29" s="219"/>
      <c r="C29" s="25"/>
      <c r="D29" s="25"/>
      <c r="E29" s="25"/>
      <c r="F29" s="25"/>
      <c r="G29" s="25"/>
      <c r="H29" s="25"/>
      <c r="I29" s="25"/>
      <c r="J29" s="112">
        <v>45714</v>
      </c>
      <c r="K29" s="25" t="s">
        <v>82</v>
      </c>
      <c r="L29" s="112">
        <v>45714</v>
      </c>
      <c r="M29" s="25" t="s">
        <v>40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>
      <c r="A30" s="220"/>
      <c r="B30" s="219"/>
      <c r="C30" s="25"/>
      <c r="D30" s="25"/>
      <c r="E30" s="25"/>
      <c r="F30" s="25"/>
      <c r="G30" s="25"/>
      <c r="H30" s="25"/>
      <c r="I30" s="25"/>
      <c r="J30" s="112">
        <v>45713</v>
      </c>
      <c r="K30" s="25" t="s">
        <v>82</v>
      </c>
      <c r="L30" s="112">
        <v>45713</v>
      </c>
      <c r="M30" s="25" t="s">
        <v>37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>
      <c r="A31" s="29" t="s">
        <v>83</v>
      </c>
      <c r="B31" s="112">
        <v>45667</v>
      </c>
      <c r="C31" s="25" t="s">
        <v>84</v>
      </c>
      <c r="D31" s="112">
        <v>45667</v>
      </c>
      <c r="E31" s="25" t="s">
        <v>85</v>
      </c>
      <c r="F31" s="112">
        <v>45675</v>
      </c>
      <c r="G31" s="25" t="s">
        <v>15</v>
      </c>
      <c r="H31" s="112">
        <v>45677</v>
      </c>
      <c r="I31" s="25" t="s">
        <v>39</v>
      </c>
      <c r="J31" s="112">
        <v>45723</v>
      </c>
      <c r="K31" s="25" t="s">
        <v>53</v>
      </c>
      <c r="L31" s="112">
        <v>45723</v>
      </c>
      <c r="M31" s="25" t="s">
        <v>86</v>
      </c>
      <c r="N31" s="112">
        <v>45724</v>
      </c>
      <c r="O31" s="25" t="s">
        <v>18</v>
      </c>
      <c r="P31" s="112">
        <v>45724</v>
      </c>
      <c r="Q31" s="25" t="s">
        <v>53</v>
      </c>
      <c r="R31" s="112">
        <v>45667</v>
      </c>
      <c r="S31" s="25" t="s">
        <v>87</v>
      </c>
      <c r="T31" s="112">
        <v>45667</v>
      </c>
      <c r="U31" s="25" t="s">
        <v>57</v>
      </c>
      <c r="V31" s="112">
        <v>45724</v>
      </c>
      <c r="W31" s="25" t="s">
        <v>88</v>
      </c>
      <c r="X31" s="112">
        <v>45724</v>
      </c>
      <c r="Y31" s="25" t="s">
        <v>89</v>
      </c>
    </row>
    <row r="32" spans="1:25">
      <c r="A32" s="132"/>
      <c r="B32" s="25"/>
      <c r="C32" s="25"/>
      <c r="D32" s="25"/>
      <c r="E32" s="25"/>
      <c r="F32" s="25"/>
      <c r="G32" s="25"/>
      <c r="H32" s="25"/>
      <c r="I32" s="25"/>
      <c r="J32" s="112">
        <v>45722</v>
      </c>
      <c r="K32" s="25" t="s">
        <v>90</v>
      </c>
      <c r="L32" s="112">
        <v>45722</v>
      </c>
      <c r="M32" s="25" t="s">
        <v>53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>
      <c r="A33" s="132"/>
      <c r="B33" s="25"/>
      <c r="C33" s="25"/>
      <c r="D33" s="25"/>
      <c r="E33" s="25"/>
      <c r="F33" s="25"/>
      <c r="G33" s="25"/>
      <c r="H33" s="25"/>
      <c r="I33" s="25"/>
      <c r="J33" s="112">
        <v>45721</v>
      </c>
      <c r="K33" s="25" t="s">
        <v>16</v>
      </c>
      <c r="L33" s="112">
        <v>45721</v>
      </c>
      <c r="M33" s="25" t="s">
        <v>19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>
      <c r="A34" s="132"/>
      <c r="B34" s="25"/>
      <c r="C34" s="25"/>
      <c r="D34" s="25"/>
      <c r="E34" s="25"/>
      <c r="F34" s="25"/>
      <c r="G34" s="25"/>
      <c r="H34" s="25"/>
      <c r="I34" s="25"/>
      <c r="J34" s="112">
        <v>45715</v>
      </c>
      <c r="K34" s="25" t="s">
        <v>90</v>
      </c>
      <c r="L34" s="112">
        <v>45717</v>
      </c>
      <c r="M34" s="25" t="s">
        <v>19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>
      <c r="A35" s="135"/>
      <c r="B35" s="25"/>
      <c r="C35" s="25"/>
      <c r="D35" s="25"/>
      <c r="E35" s="25"/>
      <c r="F35" s="25"/>
      <c r="G35" s="25"/>
      <c r="H35" s="25"/>
      <c r="I35" s="25"/>
      <c r="J35" s="112">
        <v>45713</v>
      </c>
      <c r="K35" s="25" t="s">
        <v>91</v>
      </c>
      <c r="L35" s="112">
        <v>45714</v>
      </c>
      <c r="M35" s="25" t="s">
        <v>73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>
      <c r="A36" s="29" t="s">
        <v>92</v>
      </c>
      <c r="B36" s="112">
        <v>45758</v>
      </c>
      <c r="C36" s="25" t="s">
        <v>25</v>
      </c>
      <c r="D36" s="112">
        <v>45668</v>
      </c>
      <c r="E36" s="25" t="s">
        <v>38</v>
      </c>
      <c r="F36" s="112">
        <v>45675</v>
      </c>
      <c r="G36" s="25" t="s">
        <v>48</v>
      </c>
      <c r="H36" s="112">
        <v>45677</v>
      </c>
      <c r="I36" s="25" t="s">
        <v>63</v>
      </c>
      <c r="J36" s="112">
        <v>45722</v>
      </c>
      <c r="K36" s="25" t="s">
        <v>93</v>
      </c>
      <c r="L36" s="112">
        <v>45723</v>
      </c>
      <c r="M36" s="25" t="s">
        <v>32</v>
      </c>
      <c r="N36" s="112">
        <v>45723</v>
      </c>
      <c r="O36" s="25" t="s">
        <v>63</v>
      </c>
      <c r="P36" s="112">
        <v>45723</v>
      </c>
      <c r="Q36" s="25" t="s">
        <v>94</v>
      </c>
      <c r="R36" s="112">
        <v>45668</v>
      </c>
      <c r="S36" s="25" t="s">
        <v>16</v>
      </c>
      <c r="T36" s="112">
        <v>45668</v>
      </c>
      <c r="U36" s="25" t="s">
        <v>46</v>
      </c>
      <c r="V36" s="112">
        <v>45723</v>
      </c>
      <c r="W36" s="25" t="s">
        <v>73</v>
      </c>
      <c r="X36" s="112">
        <v>45723</v>
      </c>
      <c r="Y36" s="25" t="s">
        <v>95</v>
      </c>
    </row>
    <row r="37" spans="1:25">
      <c r="A37" s="132"/>
      <c r="B37" s="25"/>
      <c r="C37" s="25"/>
      <c r="D37" s="25"/>
      <c r="E37" s="25"/>
      <c r="F37" s="25"/>
      <c r="G37" s="25"/>
      <c r="H37" s="25"/>
      <c r="I37" s="25"/>
      <c r="J37" s="112">
        <v>45721</v>
      </c>
      <c r="K37" s="25" t="s">
        <v>69</v>
      </c>
      <c r="L37" s="112">
        <v>45721</v>
      </c>
      <c r="M37" s="25" t="s">
        <v>19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135"/>
      <c r="B38" s="25"/>
      <c r="C38" s="25"/>
      <c r="D38" s="25"/>
      <c r="E38" s="25"/>
      <c r="F38" s="25"/>
      <c r="G38" s="25"/>
      <c r="H38" s="25"/>
      <c r="I38" s="25"/>
      <c r="J38" s="112">
        <v>45714</v>
      </c>
      <c r="K38" s="25" t="s">
        <v>96</v>
      </c>
      <c r="L38" s="112">
        <v>45719</v>
      </c>
      <c r="M38" s="25" t="s">
        <v>53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9" t="s">
        <v>97</v>
      </c>
      <c r="B39" s="112">
        <v>45758</v>
      </c>
      <c r="C39" s="25" t="s">
        <v>35</v>
      </c>
      <c r="D39" s="112">
        <v>45668</v>
      </c>
      <c r="E39" s="25" t="s">
        <v>88</v>
      </c>
      <c r="F39" s="112">
        <v>45677</v>
      </c>
      <c r="G39" s="25" t="s">
        <v>64</v>
      </c>
      <c r="H39" s="112">
        <v>45677</v>
      </c>
      <c r="I39" s="25" t="s">
        <v>98</v>
      </c>
      <c r="J39" s="112">
        <v>45720</v>
      </c>
      <c r="K39" s="25" t="s">
        <v>99</v>
      </c>
      <c r="L39" s="112">
        <v>45720</v>
      </c>
      <c r="M39" s="25" t="s">
        <v>53</v>
      </c>
      <c r="N39" s="112">
        <v>45730</v>
      </c>
      <c r="O39" s="25" t="s">
        <v>18</v>
      </c>
      <c r="P39" s="112">
        <v>45730</v>
      </c>
      <c r="Q39" s="25" t="s">
        <v>37</v>
      </c>
      <c r="R39" s="112">
        <v>45696</v>
      </c>
      <c r="S39" s="25" t="s">
        <v>32</v>
      </c>
      <c r="T39" s="112">
        <v>45696</v>
      </c>
      <c r="U39" s="25" t="s">
        <v>100</v>
      </c>
      <c r="V39" s="112">
        <v>45730</v>
      </c>
      <c r="W39" s="25" t="s">
        <v>101</v>
      </c>
      <c r="X39" s="112">
        <v>45730</v>
      </c>
      <c r="Y39" s="25" t="s">
        <v>102</v>
      </c>
    </row>
    <row r="40" spans="1:25">
      <c r="A40" s="132"/>
      <c r="B40" s="25"/>
      <c r="C40" s="25"/>
      <c r="D40" s="25"/>
      <c r="E40" s="25"/>
      <c r="F40" s="25"/>
      <c r="G40" s="25"/>
      <c r="H40" s="25"/>
      <c r="I40" s="25"/>
      <c r="J40" s="112">
        <v>45722</v>
      </c>
      <c r="K40" s="25" t="s">
        <v>63</v>
      </c>
      <c r="L40" s="112">
        <v>45722</v>
      </c>
      <c r="M40" s="25" t="s">
        <v>103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132"/>
      <c r="B41" s="25"/>
      <c r="C41" s="25"/>
      <c r="D41" s="25"/>
      <c r="E41" s="25"/>
      <c r="F41" s="25"/>
      <c r="G41" s="25"/>
      <c r="H41" s="25"/>
      <c r="I41" s="25"/>
      <c r="J41" s="112">
        <v>45724</v>
      </c>
      <c r="K41" s="25" t="s">
        <v>18</v>
      </c>
      <c r="L41" s="112">
        <v>45724</v>
      </c>
      <c r="M41" s="25" t="s">
        <v>37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132"/>
      <c r="B42" s="25"/>
      <c r="C42" s="25"/>
      <c r="D42" s="25"/>
      <c r="E42" s="25"/>
      <c r="F42" s="25"/>
      <c r="G42" s="25"/>
      <c r="H42" s="25"/>
      <c r="I42" s="25"/>
      <c r="J42" s="112">
        <v>45726</v>
      </c>
      <c r="K42" s="25" t="s">
        <v>16</v>
      </c>
      <c r="L42" s="112">
        <v>45726</v>
      </c>
      <c r="M42" s="25" t="s">
        <v>98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132"/>
      <c r="B43" s="25"/>
      <c r="C43" s="25"/>
      <c r="D43" s="25"/>
      <c r="E43" s="25"/>
      <c r="F43" s="25"/>
      <c r="G43" s="25"/>
      <c r="H43" s="25"/>
      <c r="I43" s="25"/>
      <c r="J43" s="112">
        <v>45727</v>
      </c>
      <c r="K43" s="25" t="s">
        <v>16</v>
      </c>
      <c r="L43" s="112">
        <v>45727</v>
      </c>
      <c r="M43" s="25" t="s">
        <v>96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135"/>
      <c r="B44" s="25"/>
      <c r="C44" s="25"/>
      <c r="D44" s="25"/>
      <c r="E44" s="25"/>
      <c r="F44" s="25"/>
      <c r="G44" s="25"/>
      <c r="H44" s="25"/>
      <c r="I44" s="25"/>
      <c r="J44" s="112">
        <v>45728</v>
      </c>
      <c r="K44" s="25" t="s">
        <v>28</v>
      </c>
      <c r="L44" s="112">
        <v>45728</v>
      </c>
      <c r="M44" s="25" t="s">
        <v>57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="31" customFormat="1" spans="1:25">
      <c r="A45" s="30"/>
      <c r="B45" s="30"/>
      <c r="C45" s="30"/>
      <c r="D45" s="30"/>
      <c r="E45" s="30"/>
      <c r="F45" s="30"/>
      <c r="G45" s="30"/>
      <c r="H45" s="30"/>
      <c r="I45" s="30"/>
      <c r="J45" s="221"/>
      <c r="K45" s="30"/>
      <c r="L45" s="221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6">
      <c r="A46" s="25" t="s">
        <v>104</v>
      </c>
      <c r="B46" s="112">
        <v>45701</v>
      </c>
      <c r="C46" s="25" t="s">
        <v>105</v>
      </c>
      <c r="D46" s="112">
        <v>45701</v>
      </c>
      <c r="E46" s="25" t="s">
        <v>106</v>
      </c>
      <c r="F46" s="112">
        <v>45706</v>
      </c>
      <c r="G46" s="25" t="s">
        <v>107</v>
      </c>
      <c r="H46" s="112">
        <v>45707</v>
      </c>
      <c r="I46" s="25" t="s">
        <v>31</v>
      </c>
      <c r="J46" s="112">
        <v>45708</v>
      </c>
      <c r="K46" s="25" t="s">
        <v>108</v>
      </c>
      <c r="L46" s="112">
        <v>45708</v>
      </c>
      <c r="M46" s="25" t="s">
        <v>60</v>
      </c>
      <c r="N46" s="112">
        <v>45708</v>
      </c>
      <c r="O46" s="25" t="s">
        <v>108</v>
      </c>
      <c r="P46" s="112">
        <v>45708</v>
      </c>
      <c r="Q46" s="25" t="s">
        <v>98</v>
      </c>
      <c r="R46" s="112">
        <v>45702</v>
      </c>
      <c r="S46" s="25" t="s">
        <v>16</v>
      </c>
      <c r="T46" s="112">
        <v>45702</v>
      </c>
      <c r="U46" s="25" t="s">
        <v>109</v>
      </c>
      <c r="V46" s="112">
        <v>45708</v>
      </c>
      <c r="W46" s="25" t="s">
        <v>16</v>
      </c>
      <c r="X46" s="112">
        <v>45709</v>
      </c>
      <c r="Y46" s="25" t="s">
        <v>46</v>
      </c>
      <c r="Z46" s="3"/>
    </row>
    <row r="47" spans="1:26">
      <c r="A47" s="25" t="s">
        <v>110</v>
      </c>
      <c r="B47" s="112">
        <v>45706</v>
      </c>
      <c r="C47" s="25" t="s">
        <v>38</v>
      </c>
      <c r="D47" s="112">
        <v>45706</v>
      </c>
      <c r="E47" s="25" t="s">
        <v>44</v>
      </c>
      <c r="F47" s="112">
        <v>45707</v>
      </c>
      <c r="G47" s="25" t="s">
        <v>20</v>
      </c>
      <c r="H47" s="112">
        <v>45707</v>
      </c>
      <c r="I47" s="25" t="s">
        <v>105</v>
      </c>
      <c r="J47" s="112">
        <v>45708</v>
      </c>
      <c r="K47" s="25" t="s">
        <v>36</v>
      </c>
      <c r="L47" s="112">
        <v>45708</v>
      </c>
      <c r="M47" s="25" t="s">
        <v>45</v>
      </c>
      <c r="N47" s="112">
        <v>45708</v>
      </c>
      <c r="O47" s="25" t="s">
        <v>19</v>
      </c>
      <c r="P47" s="112">
        <v>45708</v>
      </c>
      <c r="Q47" s="25" t="s">
        <v>79</v>
      </c>
      <c r="R47" s="112">
        <v>45707</v>
      </c>
      <c r="S47" s="25" t="s">
        <v>44</v>
      </c>
      <c r="T47" s="112" t="s">
        <v>111</v>
      </c>
      <c r="U47" s="25" t="s">
        <v>112</v>
      </c>
      <c r="V47" s="112">
        <v>45708</v>
      </c>
      <c r="W47" s="25" t="s">
        <v>63</v>
      </c>
      <c r="X47" s="112">
        <v>45708</v>
      </c>
      <c r="Y47" s="25" t="s">
        <v>113</v>
      </c>
      <c r="Z47" s="3"/>
    </row>
    <row r="48" s="31" customFormat="1" spans="1: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>
      <c r="A49" s="25" t="s">
        <v>114</v>
      </c>
      <c r="B49" s="112">
        <v>45775</v>
      </c>
      <c r="C49" s="25" t="s">
        <v>31</v>
      </c>
      <c r="D49" s="112">
        <v>45775</v>
      </c>
      <c r="E49" s="25" t="s">
        <v>115</v>
      </c>
      <c r="F49" s="112">
        <v>45754</v>
      </c>
      <c r="G49" s="25" t="s">
        <v>116</v>
      </c>
      <c r="H49" s="112">
        <v>45755</v>
      </c>
      <c r="I49" s="25" t="s">
        <v>71</v>
      </c>
      <c r="J49" s="112">
        <v>45755</v>
      </c>
      <c r="K49" s="25" t="s">
        <v>117</v>
      </c>
      <c r="L49" s="112">
        <v>45755</v>
      </c>
      <c r="M49" s="25" t="s">
        <v>118</v>
      </c>
      <c r="N49" s="112">
        <v>45756</v>
      </c>
      <c r="O49" s="25" t="s">
        <v>99</v>
      </c>
      <c r="P49" s="112">
        <v>45756</v>
      </c>
      <c r="Q49" s="25" t="s">
        <v>32</v>
      </c>
      <c r="R49" s="112">
        <v>42091</v>
      </c>
      <c r="S49" s="25" t="s">
        <v>82</v>
      </c>
      <c r="T49" s="112">
        <v>45744</v>
      </c>
      <c r="U49" s="25" t="s">
        <v>119</v>
      </c>
      <c r="V49" s="112">
        <v>45756</v>
      </c>
      <c r="W49" s="25" t="s">
        <v>16</v>
      </c>
      <c r="X49" s="112">
        <v>45756</v>
      </c>
      <c r="Y49" s="25" t="s">
        <v>63</v>
      </c>
    </row>
    <row r="50" s="31" customFormat="1" spans="1: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="3" customFormat="1" ht="15" customHeight="1" spans="1:16">
      <c r="A51" s="6" t="s">
        <v>120</v>
      </c>
      <c r="B51" s="7" t="s">
        <v>121</v>
      </c>
      <c r="C51" s="83"/>
      <c r="D51" s="84"/>
      <c r="E51" s="84"/>
      <c r="F51" s="84"/>
      <c r="G51" s="84"/>
      <c r="H51" s="84"/>
      <c r="P51" s="4"/>
    </row>
    <row r="52" s="3" customFormat="1" ht="15" customHeight="1" spans="1:16">
      <c r="A52" s="6" t="s">
        <v>122</v>
      </c>
      <c r="B52" s="7" t="s">
        <v>123</v>
      </c>
      <c r="C52" s="83"/>
      <c r="D52" s="84"/>
      <c r="E52" s="84"/>
      <c r="F52" s="84"/>
      <c r="G52" s="84"/>
      <c r="H52" s="84"/>
      <c r="P52" s="4"/>
    </row>
    <row r="53" ht="15.15" spans="1:25">
      <c r="A53" s="215" t="s">
        <v>0</v>
      </c>
      <c r="B53" s="215" t="s">
        <v>1</v>
      </c>
      <c r="C53" s="215"/>
      <c r="D53" s="215"/>
      <c r="E53" s="215"/>
      <c r="F53" s="215" t="s">
        <v>2</v>
      </c>
      <c r="G53" s="215"/>
      <c r="H53" s="215"/>
      <c r="I53" s="215"/>
      <c r="J53" s="215" t="s">
        <v>3</v>
      </c>
      <c r="K53" s="215"/>
      <c r="L53" s="215"/>
      <c r="M53" s="215"/>
      <c r="N53" s="215" t="s">
        <v>4</v>
      </c>
      <c r="O53" s="215"/>
      <c r="P53" s="215"/>
      <c r="Q53" s="215"/>
      <c r="R53" s="215" t="s">
        <v>5</v>
      </c>
      <c r="S53" s="215"/>
      <c r="T53" s="215"/>
      <c r="U53" s="215"/>
      <c r="V53" s="215" t="s">
        <v>6</v>
      </c>
      <c r="W53" s="215"/>
      <c r="X53" s="215"/>
      <c r="Y53" s="215"/>
    </row>
    <row r="54" ht="15.15" spans="1:25">
      <c r="A54" s="216"/>
      <c r="B54" s="216" t="s">
        <v>7</v>
      </c>
      <c r="C54" s="216" t="s">
        <v>8</v>
      </c>
      <c r="D54" s="216" t="s">
        <v>9</v>
      </c>
      <c r="E54" s="216" t="s">
        <v>10</v>
      </c>
      <c r="F54" s="216" t="s">
        <v>7</v>
      </c>
      <c r="G54" s="216" t="s">
        <v>8</v>
      </c>
      <c r="H54" s="216" t="s">
        <v>9</v>
      </c>
      <c r="I54" s="216" t="s">
        <v>10</v>
      </c>
      <c r="J54" s="216" t="s">
        <v>7</v>
      </c>
      <c r="K54" s="216" t="s">
        <v>8</v>
      </c>
      <c r="L54" s="216" t="s">
        <v>9</v>
      </c>
      <c r="M54" s="216" t="s">
        <v>10</v>
      </c>
      <c r="N54" s="216" t="s">
        <v>7</v>
      </c>
      <c r="O54" s="216" t="s">
        <v>8</v>
      </c>
      <c r="P54" s="215" t="s">
        <v>9</v>
      </c>
      <c r="Q54" s="216" t="s">
        <v>10</v>
      </c>
      <c r="R54" s="216" t="s">
        <v>7</v>
      </c>
      <c r="S54" s="216" t="s">
        <v>8</v>
      </c>
      <c r="T54" s="216" t="s">
        <v>9</v>
      </c>
      <c r="U54" s="216" t="s">
        <v>10</v>
      </c>
      <c r="V54" s="216" t="s">
        <v>7</v>
      </c>
      <c r="W54" s="216" t="s">
        <v>8</v>
      </c>
      <c r="X54" s="216" t="s">
        <v>9</v>
      </c>
      <c r="Y54" s="216" t="s">
        <v>10</v>
      </c>
    </row>
    <row r="55" spans="1:26">
      <c r="A55" s="112" t="s">
        <v>124</v>
      </c>
      <c r="B55" s="112">
        <v>45755</v>
      </c>
      <c r="C55" s="112" t="s">
        <v>27</v>
      </c>
      <c r="D55" s="112">
        <v>45755</v>
      </c>
      <c r="E55" s="25" t="s">
        <v>20</v>
      </c>
      <c r="F55" s="112">
        <v>45756</v>
      </c>
      <c r="G55" s="25" t="s">
        <v>26</v>
      </c>
      <c r="H55" s="112">
        <v>45756</v>
      </c>
      <c r="I55" s="25" t="s">
        <v>27</v>
      </c>
      <c r="J55" s="112">
        <v>45756</v>
      </c>
      <c r="K55" s="25" t="s">
        <v>125</v>
      </c>
      <c r="L55" s="112">
        <v>45756</v>
      </c>
      <c r="M55" s="25" t="s">
        <v>126</v>
      </c>
      <c r="N55" s="112">
        <v>45757</v>
      </c>
      <c r="O55" s="25" t="s">
        <v>99</v>
      </c>
      <c r="P55" s="112">
        <v>45757</v>
      </c>
      <c r="Q55" s="25" t="s">
        <v>32</v>
      </c>
      <c r="R55" s="112">
        <v>45755</v>
      </c>
      <c r="S55" s="25" t="s">
        <v>29</v>
      </c>
      <c r="T55" s="112">
        <v>45755</v>
      </c>
      <c r="U55" s="25" t="s">
        <v>12</v>
      </c>
      <c r="V55" s="112">
        <v>45757</v>
      </c>
      <c r="W55" s="25" t="s">
        <v>16</v>
      </c>
      <c r="X55" s="112">
        <v>45757</v>
      </c>
      <c r="Y55" s="25" t="s">
        <v>82</v>
      </c>
      <c r="Z55" s="3"/>
    </row>
    <row r="56" spans="1:26">
      <c r="A56" s="112" t="s">
        <v>127</v>
      </c>
      <c r="B56" s="112">
        <v>45755</v>
      </c>
      <c r="C56" s="112" t="s">
        <v>35</v>
      </c>
      <c r="D56" s="112">
        <v>45755</v>
      </c>
      <c r="E56" s="25" t="s">
        <v>88</v>
      </c>
      <c r="F56" s="112">
        <v>45756</v>
      </c>
      <c r="G56" s="25" t="s">
        <v>36</v>
      </c>
      <c r="H56" s="112">
        <v>45756</v>
      </c>
      <c r="I56" s="25" t="s">
        <v>96</v>
      </c>
      <c r="J56" s="112">
        <v>45756</v>
      </c>
      <c r="K56" s="25" t="s">
        <v>94</v>
      </c>
      <c r="L56" s="112">
        <v>45757</v>
      </c>
      <c r="M56" s="25" t="s">
        <v>128</v>
      </c>
      <c r="N56" s="112">
        <v>45757</v>
      </c>
      <c r="O56" s="25" t="s">
        <v>98</v>
      </c>
      <c r="P56" s="112">
        <v>45757</v>
      </c>
      <c r="Q56" s="25" t="s">
        <v>79</v>
      </c>
      <c r="R56" s="112">
        <v>45755</v>
      </c>
      <c r="S56" s="25" t="s">
        <v>62</v>
      </c>
      <c r="T56" s="112">
        <v>45755</v>
      </c>
      <c r="U56" s="25" t="s">
        <v>129</v>
      </c>
      <c r="V56" s="112">
        <v>45757</v>
      </c>
      <c r="W56" s="25" t="s">
        <v>80</v>
      </c>
      <c r="X56" s="112">
        <v>45757</v>
      </c>
      <c r="Y56" s="25" t="s">
        <v>130</v>
      </c>
      <c r="Z56" s="3"/>
    </row>
    <row r="57" spans="1:26">
      <c r="A57" s="112" t="s">
        <v>131</v>
      </c>
      <c r="B57" s="112">
        <v>45755</v>
      </c>
      <c r="C57" s="112" t="s">
        <v>132</v>
      </c>
      <c r="D57" s="112">
        <v>45755</v>
      </c>
      <c r="E57" s="25" t="s">
        <v>133</v>
      </c>
      <c r="F57" s="112">
        <v>45756</v>
      </c>
      <c r="G57" s="25" t="s">
        <v>98</v>
      </c>
      <c r="H57" s="112">
        <v>45756</v>
      </c>
      <c r="I57" s="25" t="s">
        <v>134</v>
      </c>
      <c r="J57" s="112">
        <v>45757</v>
      </c>
      <c r="K57" s="25" t="s">
        <v>135</v>
      </c>
      <c r="L57" s="112">
        <v>45757</v>
      </c>
      <c r="M57" s="25" t="s">
        <v>15</v>
      </c>
      <c r="N57" s="112">
        <v>45757</v>
      </c>
      <c r="O57" s="25" t="s">
        <v>19</v>
      </c>
      <c r="P57" s="112">
        <v>45757</v>
      </c>
      <c r="Q57" s="25" t="s">
        <v>79</v>
      </c>
      <c r="R57" s="112">
        <v>45755</v>
      </c>
      <c r="S57" s="25" t="s">
        <v>136</v>
      </c>
      <c r="T57" s="112">
        <v>45755</v>
      </c>
      <c r="U57" s="25" t="s">
        <v>137</v>
      </c>
      <c r="V57" s="112">
        <v>45757</v>
      </c>
      <c r="W57" s="25" t="s">
        <v>13</v>
      </c>
      <c r="X57" s="112">
        <v>45757</v>
      </c>
      <c r="Y57" s="25" t="s">
        <v>113</v>
      </c>
      <c r="Z57" s="3"/>
    </row>
    <row r="58" spans="1:26">
      <c r="A58" s="112" t="s">
        <v>138</v>
      </c>
      <c r="B58" s="112">
        <v>45391</v>
      </c>
      <c r="C58" s="112" t="s">
        <v>139</v>
      </c>
      <c r="D58" s="112">
        <v>45756</v>
      </c>
      <c r="E58" s="25" t="s">
        <v>132</v>
      </c>
      <c r="F58" s="112">
        <v>45757</v>
      </c>
      <c r="G58" s="25" t="s">
        <v>26</v>
      </c>
      <c r="H58" s="112">
        <v>45757</v>
      </c>
      <c r="I58" s="25" t="s">
        <v>115</v>
      </c>
      <c r="J58" s="112">
        <v>45757</v>
      </c>
      <c r="K58" s="25" t="s">
        <v>63</v>
      </c>
      <c r="L58" s="112">
        <v>45757</v>
      </c>
      <c r="M58" s="25" t="s">
        <v>40</v>
      </c>
      <c r="N58" s="112">
        <v>45758</v>
      </c>
      <c r="O58" s="25" t="s">
        <v>99</v>
      </c>
      <c r="P58" s="112">
        <v>45758</v>
      </c>
      <c r="Q58" s="25" t="s">
        <v>53</v>
      </c>
      <c r="R58" s="112">
        <v>45756</v>
      </c>
      <c r="S58" s="25" t="s">
        <v>16</v>
      </c>
      <c r="T58" s="112">
        <v>45756</v>
      </c>
      <c r="U58" s="25" t="s">
        <v>48</v>
      </c>
      <c r="V58" s="112">
        <v>45758</v>
      </c>
      <c r="W58" s="25" t="s">
        <v>101</v>
      </c>
      <c r="X58" s="112">
        <v>45758</v>
      </c>
      <c r="Y58" s="25" t="s">
        <v>23</v>
      </c>
      <c r="Z58" s="3"/>
    </row>
    <row r="59" spans="1:26">
      <c r="A59" s="112" t="s">
        <v>140</v>
      </c>
      <c r="B59" s="112">
        <v>45757</v>
      </c>
      <c r="C59" s="112" t="s">
        <v>68</v>
      </c>
      <c r="D59" s="112">
        <v>45757</v>
      </c>
      <c r="E59" s="25" t="s">
        <v>64</v>
      </c>
      <c r="F59" s="112">
        <v>45758</v>
      </c>
      <c r="G59" s="25" t="s">
        <v>26</v>
      </c>
      <c r="H59" s="112">
        <v>45758</v>
      </c>
      <c r="I59" s="25" t="s">
        <v>98</v>
      </c>
      <c r="J59" s="112">
        <v>45759</v>
      </c>
      <c r="K59" s="25" t="s">
        <v>54</v>
      </c>
      <c r="L59" s="112">
        <v>45759</v>
      </c>
      <c r="M59" s="25" t="s">
        <v>37</v>
      </c>
      <c r="N59" s="112">
        <v>45761</v>
      </c>
      <c r="O59" s="25" t="s">
        <v>141</v>
      </c>
      <c r="P59" s="112">
        <v>45761</v>
      </c>
      <c r="Q59" s="25" t="s">
        <v>142</v>
      </c>
      <c r="R59" s="112">
        <v>45757</v>
      </c>
      <c r="S59" s="25" t="s">
        <v>63</v>
      </c>
      <c r="T59" s="112">
        <v>45757</v>
      </c>
      <c r="U59" s="25" t="s">
        <v>143</v>
      </c>
      <c r="V59" s="112">
        <v>45761</v>
      </c>
      <c r="W59" s="25" t="s">
        <v>16</v>
      </c>
      <c r="X59" s="112">
        <v>45761</v>
      </c>
      <c r="Y59" s="25" t="s">
        <v>23</v>
      </c>
      <c r="Z59" s="3"/>
    </row>
    <row r="60" spans="1:26">
      <c r="A60" s="112" t="s">
        <v>144</v>
      </c>
      <c r="B60" s="112">
        <v>45757</v>
      </c>
      <c r="C60" s="112" t="s">
        <v>18</v>
      </c>
      <c r="D60" s="112">
        <v>45757</v>
      </c>
      <c r="E60" s="25" t="s">
        <v>145</v>
      </c>
      <c r="F60" s="112">
        <v>45758</v>
      </c>
      <c r="G60" s="25" t="s">
        <v>85</v>
      </c>
      <c r="H60" s="112">
        <v>45758</v>
      </c>
      <c r="I60" s="25" t="s">
        <v>146</v>
      </c>
      <c r="J60" s="112">
        <v>45761</v>
      </c>
      <c r="K60" s="25" t="s">
        <v>147</v>
      </c>
      <c r="L60" s="112">
        <v>45761</v>
      </c>
      <c r="M60" s="25" t="s">
        <v>57</v>
      </c>
      <c r="N60" s="112">
        <v>45761</v>
      </c>
      <c r="O60" s="25" t="s">
        <v>19</v>
      </c>
      <c r="P60" s="112">
        <v>45761</v>
      </c>
      <c r="Q60" s="25" t="s">
        <v>79</v>
      </c>
      <c r="R60" s="112">
        <v>45757</v>
      </c>
      <c r="S60" s="25" t="s">
        <v>148</v>
      </c>
      <c r="T60" s="112">
        <v>45757</v>
      </c>
      <c r="U60" s="25" t="s">
        <v>149</v>
      </c>
      <c r="V60" s="112">
        <v>45761</v>
      </c>
      <c r="W60" s="25" t="s">
        <v>85</v>
      </c>
      <c r="X60" s="112">
        <v>45761</v>
      </c>
      <c r="Y60" s="25" t="s">
        <v>113</v>
      </c>
      <c r="Z60" s="3"/>
    </row>
    <row r="61" spans="1:26">
      <c r="A61" s="112" t="s">
        <v>150</v>
      </c>
      <c r="B61" s="112">
        <v>45757</v>
      </c>
      <c r="C61" s="112" t="s">
        <v>15</v>
      </c>
      <c r="D61" s="112">
        <v>45757</v>
      </c>
      <c r="E61" s="25" t="s">
        <v>109</v>
      </c>
      <c r="F61" s="112">
        <v>45759</v>
      </c>
      <c r="G61" s="25" t="s">
        <v>90</v>
      </c>
      <c r="H61" s="112">
        <v>45759</v>
      </c>
      <c r="I61" s="25" t="s">
        <v>63</v>
      </c>
      <c r="J61" s="112">
        <v>45762</v>
      </c>
      <c r="K61" s="25" t="s">
        <v>69</v>
      </c>
      <c r="L61" s="112">
        <v>45762</v>
      </c>
      <c r="M61" s="25" t="s">
        <v>46</v>
      </c>
      <c r="N61" s="112">
        <v>45762</v>
      </c>
      <c r="O61" s="25" t="s">
        <v>99</v>
      </c>
      <c r="P61" s="112">
        <v>45762</v>
      </c>
      <c r="Q61" s="25" t="s">
        <v>32</v>
      </c>
      <c r="R61" s="112">
        <v>45757</v>
      </c>
      <c r="S61" s="25" t="s">
        <v>125</v>
      </c>
      <c r="T61" s="112">
        <v>45757</v>
      </c>
      <c r="U61" s="25" t="s">
        <v>151</v>
      </c>
      <c r="V61" s="112">
        <v>45762</v>
      </c>
      <c r="W61" s="25" t="s">
        <v>16</v>
      </c>
      <c r="X61" s="112">
        <v>45762</v>
      </c>
      <c r="Y61" s="25" t="s">
        <v>53</v>
      </c>
      <c r="Z61" s="3"/>
    </row>
    <row r="62" spans="1:26">
      <c r="A62" s="112" t="s">
        <v>152</v>
      </c>
      <c r="B62" s="112">
        <v>45758</v>
      </c>
      <c r="C62" s="112" t="s">
        <v>141</v>
      </c>
      <c r="D62" s="112">
        <v>45758</v>
      </c>
      <c r="E62" s="25" t="s">
        <v>153</v>
      </c>
      <c r="F62" s="112">
        <v>45761</v>
      </c>
      <c r="G62" s="25" t="s">
        <v>26</v>
      </c>
      <c r="H62" s="112">
        <v>45761</v>
      </c>
      <c r="I62" s="25" t="s">
        <v>115</v>
      </c>
      <c r="J62" s="112">
        <v>45762</v>
      </c>
      <c r="K62" s="25" t="s">
        <v>74</v>
      </c>
      <c r="L62" s="112">
        <v>45762</v>
      </c>
      <c r="M62" s="25" t="s">
        <v>53</v>
      </c>
      <c r="N62" s="112">
        <v>45762</v>
      </c>
      <c r="O62" s="25" t="s">
        <v>19</v>
      </c>
      <c r="P62" s="112">
        <v>45762</v>
      </c>
      <c r="Q62" s="25" t="s">
        <v>79</v>
      </c>
      <c r="R62" s="112">
        <v>45758</v>
      </c>
      <c r="S62" s="25" t="s">
        <v>154</v>
      </c>
      <c r="T62" s="112">
        <v>45758</v>
      </c>
      <c r="U62" s="25" t="s">
        <v>80</v>
      </c>
      <c r="V62" s="112">
        <v>45762</v>
      </c>
      <c r="W62" s="25" t="s">
        <v>13</v>
      </c>
      <c r="X62" s="112">
        <v>45762</v>
      </c>
      <c r="Y62" s="25" t="s">
        <v>81</v>
      </c>
      <c r="Z62" s="3"/>
    </row>
    <row r="63" spans="1:26">
      <c r="A63" s="112" t="s">
        <v>155</v>
      </c>
      <c r="B63" s="112">
        <v>45758</v>
      </c>
      <c r="C63" s="112" t="s">
        <v>101</v>
      </c>
      <c r="D63" s="112">
        <v>45758</v>
      </c>
      <c r="E63" s="25" t="s">
        <v>156</v>
      </c>
      <c r="F63" s="112">
        <v>45761</v>
      </c>
      <c r="G63" s="25" t="s">
        <v>98</v>
      </c>
      <c r="H63" s="112">
        <v>45761</v>
      </c>
      <c r="I63" s="25" t="s">
        <v>134</v>
      </c>
      <c r="J63" s="112">
        <v>45762</v>
      </c>
      <c r="K63" s="25" t="s">
        <v>157</v>
      </c>
      <c r="L63" s="112">
        <v>45762</v>
      </c>
      <c r="M63" s="25" t="s">
        <v>158</v>
      </c>
      <c r="N63" s="112">
        <v>45763</v>
      </c>
      <c r="O63" s="25" t="s">
        <v>99</v>
      </c>
      <c r="P63" s="112">
        <v>45763</v>
      </c>
      <c r="Q63" s="25" t="s">
        <v>32</v>
      </c>
      <c r="R63" s="112">
        <v>45758</v>
      </c>
      <c r="S63" s="25" t="s">
        <v>13</v>
      </c>
      <c r="T63" s="112">
        <v>45758</v>
      </c>
      <c r="U63" s="25" t="s">
        <v>37</v>
      </c>
      <c r="V63" s="112">
        <v>45763</v>
      </c>
      <c r="W63" s="25" t="s">
        <v>16</v>
      </c>
      <c r="X63" s="112">
        <v>45763</v>
      </c>
      <c r="Y63" s="25" t="s">
        <v>63</v>
      </c>
      <c r="Z63" s="3"/>
    </row>
    <row r="64" spans="1:26">
      <c r="A64" s="112" t="s">
        <v>159</v>
      </c>
      <c r="B64" s="112">
        <v>45758</v>
      </c>
      <c r="C64" s="112" t="s">
        <v>70</v>
      </c>
      <c r="D64" s="112">
        <v>45758</v>
      </c>
      <c r="E64" s="25" t="s">
        <v>160</v>
      </c>
      <c r="F64" s="112">
        <v>45762</v>
      </c>
      <c r="G64" s="25" t="s">
        <v>26</v>
      </c>
      <c r="H64" s="112">
        <v>45762</v>
      </c>
      <c r="I64" s="25" t="s">
        <v>115</v>
      </c>
      <c r="J64" s="112">
        <v>45763</v>
      </c>
      <c r="K64" s="25" t="s">
        <v>139</v>
      </c>
      <c r="L64" s="112">
        <v>45763</v>
      </c>
      <c r="M64" s="25" t="s">
        <v>161</v>
      </c>
      <c r="N64" s="112">
        <v>45763</v>
      </c>
      <c r="O64" s="25" t="s">
        <v>19</v>
      </c>
      <c r="P64" s="112">
        <v>45763</v>
      </c>
      <c r="Q64" s="25" t="s">
        <v>162</v>
      </c>
      <c r="R64" s="112">
        <v>45758</v>
      </c>
      <c r="S64" s="25" t="s">
        <v>163</v>
      </c>
      <c r="T64" s="112">
        <v>45758</v>
      </c>
      <c r="U64" s="25" t="s">
        <v>164</v>
      </c>
      <c r="V64" s="112">
        <v>45763</v>
      </c>
      <c r="W64" s="25" t="s">
        <v>85</v>
      </c>
      <c r="X64" s="112">
        <v>45763</v>
      </c>
      <c r="Y64" s="25" t="s">
        <v>113</v>
      </c>
      <c r="Z64" s="3"/>
    </row>
    <row r="65" spans="1:26">
      <c r="A65" s="112" t="s">
        <v>165</v>
      </c>
      <c r="B65" s="112">
        <v>45761</v>
      </c>
      <c r="C65" s="112" t="s">
        <v>16</v>
      </c>
      <c r="D65" s="112">
        <v>45761</v>
      </c>
      <c r="E65" s="25" t="s">
        <v>58</v>
      </c>
      <c r="F65" s="112">
        <v>45762</v>
      </c>
      <c r="G65" s="25" t="s">
        <v>57</v>
      </c>
      <c r="H65" s="112">
        <v>45762</v>
      </c>
      <c r="I65" s="25" t="s">
        <v>96</v>
      </c>
      <c r="J65" s="112">
        <v>45763</v>
      </c>
      <c r="K65" s="25" t="s">
        <v>166</v>
      </c>
      <c r="L65" s="112">
        <v>45763</v>
      </c>
      <c r="M65" s="25" t="s">
        <v>118</v>
      </c>
      <c r="N65" s="112">
        <v>45763</v>
      </c>
      <c r="O65" s="25" t="s">
        <v>19</v>
      </c>
      <c r="P65" s="112">
        <v>45763</v>
      </c>
      <c r="Q65" s="25" t="s">
        <v>79</v>
      </c>
      <c r="R65" s="112">
        <v>45761</v>
      </c>
      <c r="S65" s="25" t="s">
        <v>167</v>
      </c>
      <c r="T65" s="112">
        <v>45761</v>
      </c>
      <c r="U65" s="25" t="s">
        <v>157</v>
      </c>
      <c r="V65" s="112">
        <v>45763</v>
      </c>
      <c r="W65" s="25" t="s">
        <v>157</v>
      </c>
      <c r="X65" s="112">
        <v>45763</v>
      </c>
      <c r="Y65" s="25" t="s">
        <v>168</v>
      </c>
      <c r="Z65" s="3"/>
    </row>
    <row r="66" spans="1:26">
      <c r="A66" s="112" t="s">
        <v>169</v>
      </c>
      <c r="B66" s="112">
        <v>45761</v>
      </c>
      <c r="C66" s="112" t="s">
        <v>46</v>
      </c>
      <c r="D66" s="112">
        <v>45761</v>
      </c>
      <c r="E66" s="25" t="s">
        <v>15</v>
      </c>
      <c r="F66" s="112">
        <v>45762</v>
      </c>
      <c r="G66" s="25" t="s">
        <v>98</v>
      </c>
      <c r="H66" s="112">
        <v>45762</v>
      </c>
      <c r="I66" s="25" t="s">
        <v>134</v>
      </c>
      <c r="J66" s="112">
        <v>45763</v>
      </c>
      <c r="K66" s="25" t="s">
        <v>37</v>
      </c>
      <c r="L66" s="112">
        <v>45763</v>
      </c>
      <c r="M66" s="25" t="s">
        <v>118</v>
      </c>
      <c r="N66" s="112">
        <v>45764</v>
      </c>
      <c r="O66" s="25" t="s">
        <v>99</v>
      </c>
      <c r="P66" s="112">
        <v>45764</v>
      </c>
      <c r="Q66" s="25" t="s">
        <v>32</v>
      </c>
      <c r="R66" s="112">
        <v>45761</v>
      </c>
      <c r="S66" s="25" t="s">
        <v>170</v>
      </c>
      <c r="T66" s="112">
        <v>45761</v>
      </c>
      <c r="U66" s="25" t="s">
        <v>116</v>
      </c>
      <c r="V66" s="112">
        <v>45764</v>
      </c>
      <c r="W66" s="25" t="s">
        <v>90</v>
      </c>
      <c r="X66" s="112">
        <v>45764</v>
      </c>
      <c r="Y66" s="25" t="s">
        <v>154</v>
      </c>
      <c r="Z66" s="3"/>
    </row>
    <row r="67" spans="1:26">
      <c r="A67" s="112" t="s">
        <v>171</v>
      </c>
      <c r="B67" s="112">
        <v>45761</v>
      </c>
      <c r="C67" s="112" t="s">
        <v>71</v>
      </c>
      <c r="D67" s="112">
        <v>45761</v>
      </c>
      <c r="E67" s="25" t="s">
        <v>22</v>
      </c>
      <c r="F67" s="112">
        <v>45762</v>
      </c>
      <c r="G67" s="25" t="s">
        <v>59</v>
      </c>
      <c r="H67" s="112">
        <v>45762</v>
      </c>
      <c r="I67" s="25" t="s">
        <v>172</v>
      </c>
      <c r="J67" s="112">
        <v>45763</v>
      </c>
      <c r="K67" s="25" t="s">
        <v>173</v>
      </c>
      <c r="L67" s="112">
        <v>45763</v>
      </c>
      <c r="M67" s="25" t="s">
        <v>174</v>
      </c>
      <c r="N67" s="112">
        <v>45764</v>
      </c>
      <c r="O67" s="25" t="s">
        <v>175</v>
      </c>
      <c r="P67" s="112">
        <v>45764</v>
      </c>
      <c r="Q67" s="25" t="s">
        <v>142</v>
      </c>
      <c r="R67" s="112">
        <v>45761</v>
      </c>
      <c r="S67" s="25" t="s">
        <v>117</v>
      </c>
      <c r="T67" s="112">
        <v>45761</v>
      </c>
      <c r="U67" s="25" t="s">
        <v>176</v>
      </c>
      <c r="V67" s="112">
        <v>45764</v>
      </c>
      <c r="W67" s="25" t="s">
        <v>161</v>
      </c>
      <c r="X67" s="112">
        <v>45764</v>
      </c>
      <c r="Y67" s="25" t="s">
        <v>149</v>
      </c>
      <c r="Z67" s="3"/>
    </row>
    <row r="68" spans="1:26">
      <c r="A68" s="112" t="s">
        <v>177</v>
      </c>
      <c r="B68" s="112">
        <v>45761</v>
      </c>
      <c r="C68" s="112" t="s">
        <v>74</v>
      </c>
      <c r="D68" s="112">
        <v>45761</v>
      </c>
      <c r="E68" s="25" t="s">
        <v>17</v>
      </c>
      <c r="F68" s="112">
        <v>45763</v>
      </c>
      <c r="G68" s="25" t="s">
        <v>178</v>
      </c>
      <c r="H68" s="112">
        <v>45763</v>
      </c>
      <c r="I68" s="25" t="s">
        <v>33</v>
      </c>
      <c r="J68" s="112">
        <v>45764</v>
      </c>
      <c r="K68" s="25" t="s">
        <v>179</v>
      </c>
      <c r="L68" s="112">
        <v>45764</v>
      </c>
      <c r="M68" s="25" t="s">
        <v>175</v>
      </c>
      <c r="N68" s="112">
        <v>45764</v>
      </c>
      <c r="O68" s="25" t="s">
        <v>19</v>
      </c>
      <c r="P68" s="112">
        <v>45764</v>
      </c>
      <c r="Q68" s="25" t="s">
        <v>79</v>
      </c>
      <c r="R68" s="112">
        <v>45761</v>
      </c>
      <c r="S68" s="25" t="s">
        <v>180</v>
      </c>
      <c r="T68" s="112">
        <v>45761</v>
      </c>
      <c r="U68" s="25" t="s">
        <v>79</v>
      </c>
      <c r="V68" s="112">
        <v>45764</v>
      </c>
      <c r="W68" s="25" t="s">
        <v>85</v>
      </c>
      <c r="X68" s="112">
        <v>45764</v>
      </c>
      <c r="Y68" s="25" t="s">
        <v>103</v>
      </c>
      <c r="Z68" s="3"/>
    </row>
    <row r="69" spans="1:26">
      <c r="A69" s="112" t="s">
        <v>181</v>
      </c>
      <c r="B69" s="112">
        <v>45761</v>
      </c>
      <c r="C69" s="112" t="s">
        <v>36</v>
      </c>
      <c r="D69" s="112">
        <v>45761</v>
      </c>
      <c r="E69" s="25" t="s">
        <v>21</v>
      </c>
      <c r="F69" s="112">
        <v>45763</v>
      </c>
      <c r="G69" s="25" t="s">
        <v>26</v>
      </c>
      <c r="H69" s="112">
        <v>45763</v>
      </c>
      <c r="I69" s="25" t="s">
        <v>115</v>
      </c>
      <c r="J69" s="112">
        <v>45764</v>
      </c>
      <c r="K69" s="25" t="s">
        <v>156</v>
      </c>
      <c r="L69" s="112">
        <v>45764</v>
      </c>
      <c r="M69" s="25" t="s">
        <v>27</v>
      </c>
      <c r="N69" s="112">
        <v>45764</v>
      </c>
      <c r="O69" s="25" t="s">
        <v>19</v>
      </c>
      <c r="P69" s="112">
        <v>45764</v>
      </c>
      <c r="Q69" s="25" t="s">
        <v>79</v>
      </c>
      <c r="R69" s="112">
        <v>45762</v>
      </c>
      <c r="S69" s="25" t="s">
        <v>18</v>
      </c>
      <c r="T69" s="112">
        <v>45762</v>
      </c>
      <c r="U69" s="25" t="s">
        <v>60</v>
      </c>
      <c r="V69" s="112">
        <v>45766</v>
      </c>
      <c r="W69" s="25" t="s">
        <v>16</v>
      </c>
      <c r="X69" s="112">
        <v>45766</v>
      </c>
      <c r="Y69" s="25" t="s">
        <v>145</v>
      </c>
      <c r="Z69" s="3"/>
    </row>
    <row r="70" spans="1:26">
      <c r="A70" s="112" t="s">
        <v>182</v>
      </c>
      <c r="B70" s="112">
        <v>45761</v>
      </c>
      <c r="C70" s="112" t="s">
        <v>31</v>
      </c>
      <c r="D70" s="112">
        <v>45761</v>
      </c>
      <c r="E70" s="25" t="s">
        <v>32</v>
      </c>
      <c r="F70" s="112">
        <v>45763</v>
      </c>
      <c r="G70" s="25" t="s">
        <v>57</v>
      </c>
      <c r="H70" s="112">
        <v>45763</v>
      </c>
      <c r="I70" s="25" t="s">
        <v>96</v>
      </c>
      <c r="J70" s="112">
        <v>45766</v>
      </c>
      <c r="K70" s="25" t="s">
        <v>183</v>
      </c>
      <c r="L70" s="112">
        <v>45766</v>
      </c>
      <c r="M70" s="25" t="s">
        <v>184</v>
      </c>
      <c r="N70" s="112">
        <v>45766</v>
      </c>
      <c r="O70" s="25" t="s">
        <v>141</v>
      </c>
      <c r="P70" s="112">
        <v>45766</v>
      </c>
      <c r="Q70" s="25" t="s">
        <v>53</v>
      </c>
      <c r="R70" s="112">
        <v>45762</v>
      </c>
      <c r="S70" s="25" t="s">
        <v>109</v>
      </c>
      <c r="T70" s="112">
        <v>45762</v>
      </c>
      <c r="U70" s="25" t="s">
        <v>20</v>
      </c>
      <c r="V70" s="112">
        <v>45766</v>
      </c>
      <c r="W70" s="25" t="s">
        <v>15</v>
      </c>
      <c r="X70" s="112">
        <v>45766</v>
      </c>
      <c r="Y70" s="25" t="s">
        <v>37</v>
      </c>
      <c r="Z70" s="3"/>
    </row>
    <row r="71" spans="1:26">
      <c r="A71" s="112" t="s">
        <v>185</v>
      </c>
      <c r="B71" s="112">
        <v>45766</v>
      </c>
      <c r="C71" s="112" t="s">
        <v>186</v>
      </c>
      <c r="D71" s="112">
        <v>45766</v>
      </c>
      <c r="E71" s="25" t="s">
        <v>187</v>
      </c>
      <c r="F71" s="112">
        <v>45768</v>
      </c>
      <c r="G71" s="25" t="s">
        <v>26</v>
      </c>
      <c r="H71" s="112">
        <v>45798</v>
      </c>
      <c r="I71" s="25" t="s">
        <v>115</v>
      </c>
      <c r="J71" s="112">
        <v>45768</v>
      </c>
      <c r="K71" s="25" t="s">
        <v>37</v>
      </c>
      <c r="L71" s="112">
        <v>45768</v>
      </c>
      <c r="M71" s="25" t="s">
        <v>176</v>
      </c>
      <c r="N71" s="112">
        <v>45769</v>
      </c>
      <c r="O71" s="25" t="s">
        <v>99</v>
      </c>
      <c r="P71" s="112">
        <v>45769</v>
      </c>
      <c r="Q71" s="25" t="s">
        <v>32</v>
      </c>
      <c r="R71" s="112">
        <v>45766</v>
      </c>
      <c r="S71" s="25" t="s">
        <v>91</v>
      </c>
      <c r="T71" s="112">
        <v>45766</v>
      </c>
      <c r="U71" s="25" t="s">
        <v>188</v>
      </c>
      <c r="V71" s="112">
        <v>45769</v>
      </c>
      <c r="W71" s="25" t="s">
        <v>20</v>
      </c>
      <c r="X71" s="112">
        <v>45769</v>
      </c>
      <c r="Y71" s="25" t="s">
        <v>40</v>
      </c>
      <c r="Z71" s="3"/>
    </row>
    <row r="72" spans="1:26">
      <c r="A72" s="112" t="s">
        <v>189</v>
      </c>
      <c r="B72" s="112">
        <v>45766</v>
      </c>
      <c r="C72" s="112" t="s">
        <v>48</v>
      </c>
      <c r="D72" s="112">
        <v>45766</v>
      </c>
      <c r="E72" s="25" t="s">
        <v>30</v>
      </c>
      <c r="F72" s="112">
        <v>45768</v>
      </c>
      <c r="G72" s="25" t="s">
        <v>141</v>
      </c>
      <c r="H72" s="112">
        <v>45768</v>
      </c>
      <c r="I72" s="25" t="s">
        <v>31</v>
      </c>
      <c r="J72" s="112">
        <v>45769</v>
      </c>
      <c r="K72" s="25" t="s">
        <v>31</v>
      </c>
      <c r="L72" s="112">
        <v>45769</v>
      </c>
      <c r="M72" s="25" t="s">
        <v>63</v>
      </c>
      <c r="N72" s="112">
        <v>45769</v>
      </c>
      <c r="O72" s="25" t="s">
        <v>98</v>
      </c>
      <c r="P72" s="112">
        <v>45769</v>
      </c>
      <c r="Q72" s="25" t="s">
        <v>81</v>
      </c>
      <c r="R72" s="112">
        <v>45768</v>
      </c>
      <c r="S72" s="25" t="s">
        <v>190</v>
      </c>
      <c r="T72" s="112">
        <v>45768</v>
      </c>
      <c r="U72" s="25" t="s">
        <v>85</v>
      </c>
      <c r="V72" s="112">
        <v>45769</v>
      </c>
      <c r="W72" s="25" t="s">
        <v>191</v>
      </c>
      <c r="X72" s="112">
        <v>45770</v>
      </c>
      <c r="Y72" s="25" t="s">
        <v>22</v>
      </c>
      <c r="Z72" s="3"/>
    </row>
    <row r="73" spans="1:26">
      <c r="A73" s="112" t="s">
        <v>192</v>
      </c>
      <c r="B73" s="112">
        <v>45768</v>
      </c>
      <c r="C73" s="112" t="s">
        <v>44</v>
      </c>
      <c r="D73" s="112">
        <v>45768</v>
      </c>
      <c r="E73" s="25" t="s">
        <v>193</v>
      </c>
      <c r="F73" s="112">
        <v>45769</v>
      </c>
      <c r="G73" s="25" t="s">
        <v>26</v>
      </c>
      <c r="H73" s="112">
        <v>45769</v>
      </c>
      <c r="I73" s="25" t="s">
        <v>115</v>
      </c>
      <c r="J73" s="112">
        <v>45769</v>
      </c>
      <c r="K73" s="25" t="s">
        <v>170</v>
      </c>
      <c r="L73" s="112">
        <v>45769</v>
      </c>
      <c r="M73" s="25" t="s">
        <v>194</v>
      </c>
      <c r="N73" s="112">
        <v>45770</v>
      </c>
      <c r="O73" s="25" t="s">
        <v>101</v>
      </c>
      <c r="P73" s="112">
        <v>45770</v>
      </c>
      <c r="Q73" s="25" t="s">
        <v>53</v>
      </c>
      <c r="R73" s="112">
        <v>45768</v>
      </c>
      <c r="S73" s="25" t="s">
        <v>195</v>
      </c>
      <c r="T73" s="112">
        <v>45768</v>
      </c>
      <c r="U73" s="25" t="s">
        <v>163</v>
      </c>
      <c r="V73" s="112">
        <v>45770</v>
      </c>
      <c r="W73" s="25" t="s">
        <v>44</v>
      </c>
      <c r="X73" s="112">
        <v>45770</v>
      </c>
      <c r="Y73" s="25" t="s">
        <v>132</v>
      </c>
      <c r="Z73" s="3"/>
    </row>
    <row r="74" spans="1:26">
      <c r="A74" s="112" t="s">
        <v>196</v>
      </c>
      <c r="B74" s="112">
        <v>45768</v>
      </c>
      <c r="C74" s="112" t="s">
        <v>77</v>
      </c>
      <c r="D74" s="112">
        <v>45768</v>
      </c>
      <c r="E74" s="25" t="s">
        <v>112</v>
      </c>
      <c r="F74" s="112">
        <v>45769</v>
      </c>
      <c r="G74" s="25" t="s">
        <v>98</v>
      </c>
      <c r="H74" s="112">
        <v>45769</v>
      </c>
      <c r="I74" s="25" t="s">
        <v>134</v>
      </c>
      <c r="J74" s="112">
        <v>45771</v>
      </c>
      <c r="K74" s="25" t="s">
        <v>69</v>
      </c>
      <c r="L74" s="112">
        <v>45771</v>
      </c>
      <c r="M74" s="25" t="s">
        <v>39</v>
      </c>
      <c r="N74" s="112">
        <v>45771</v>
      </c>
      <c r="O74" s="25" t="s">
        <v>99</v>
      </c>
      <c r="P74" s="112">
        <v>45771</v>
      </c>
      <c r="Q74" s="25" t="s">
        <v>32</v>
      </c>
      <c r="R74" s="112">
        <v>45768</v>
      </c>
      <c r="S74" s="25" t="s">
        <v>91</v>
      </c>
      <c r="T74" s="112">
        <v>45768</v>
      </c>
      <c r="U74" s="25" t="s">
        <v>191</v>
      </c>
      <c r="V74" s="112">
        <v>45771</v>
      </c>
      <c r="W74" s="25" t="s">
        <v>20</v>
      </c>
      <c r="X74" s="112">
        <v>45771</v>
      </c>
      <c r="Y74" s="25" t="s">
        <v>19</v>
      </c>
      <c r="Z74" s="3"/>
    </row>
    <row r="75" spans="1:26">
      <c r="A75" s="112" t="s">
        <v>197</v>
      </c>
      <c r="B75" s="112">
        <v>45768</v>
      </c>
      <c r="C75" s="112" t="s">
        <v>98</v>
      </c>
      <c r="D75" s="112">
        <v>45768</v>
      </c>
      <c r="E75" s="25" t="s">
        <v>19</v>
      </c>
      <c r="F75" s="112">
        <v>45769</v>
      </c>
      <c r="G75" s="25" t="s">
        <v>173</v>
      </c>
      <c r="H75" s="112">
        <v>45770</v>
      </c>
      <c r="I75" s="25" t="s">
        <v>90</v>
      </c>
      <c r="J75" s="112">
        <v>45771</v>
      </c>
      <c r="K75" s="25" t="s">
        <v>184</v>
      </c>
      <c r="L75" s="112">
        <v>45771</v>
      </c>
      <c r="M75" s="25" t="s">
        <v>71</v>
      </c>
      <c r="N75" s="112">
        <v>45771</v>
      </c>
      <c r="O75" s="25" t="s">
        <v>19</v>
      </c>
      <c r="P75" s="112">
        <v>45771</v>
      </c>
      <c r="Q75" s="25" t="s">
        <v>79</v>
      </c>
      <c r="R75" s="112">
        <v>45769</v>
      </c>
      <c r="S75" s="25" t="s">
        <v>63</v>
      </c>
      <c r="T75" s="112">
        <v>45769</v>
      </c>
      <c r="U75" s="25" t="s">
        <v>198</v>
      </c>
      <c r="V75" s="112">
        <v>45771</v>
      </c>
      <c r="W75" s="25" t="s">
        <v>80</v>
      </c>
      <c r="X75" s="112">
        <v>45771</v>
      </c>
      <c r="Y75" s="25" t="s">
        <v>199</v>
      </c>
      <c r="Z75" s="3"/>
    </row>
    <row r="76" spans="1:26">
      <c r="A76" s="112" t="s">
        <v>200</v>
      </c>
      <c r="B76" s="112">
        <v>45772</v>
      </c>
      <c r="C76" s="112" t="s">
        <v>16</v>
      </c>
      <c r="D76" s="112">
        <v>45772</v>
      </c>
      <c r="E76" s="25" t="s">
        <v>58</v>
      </c>
      <c r="F76" s="112">
        <v>45775</v>
      </c>
      <c r="G76" s="25" t="s">
        <v>201</v>
      </c>
      <c r="H76" s="112">
        <v>45776</v>
      </c>
      <c r="I76" s="25" t="s">
        <v>90</v>
      </c>
      <c r="J76" s="112">
        <v>45776</v>
      </c>
      <c r="K76" s="25" t="s">
        <v>161</v>
      </c>
      <c r="L76" s="112">
        <v>45776</v>
      </c>
      <c r="M76" s="25" t="s">
        <v>37</v>
      </c>
      <c r="N76" s="112">
        <v>45777</v>
      </c>
      <c r="O76" s="25" t="s">
        <v>99</v>
      </c>
      <c r="P76" s="112">
        <v>45777</v>
      </c>
      <c r="Q76" s="25" t="s">
        <v>32</v>
      </c>
      <c r="R76" s="112">
        <v>45773</v>
      </c>
      <c r="S76" s="25" t="s">
        <v>18</v>
      </c>
      <c r="T76" s="112">
        <v>45773</v>
      </c>
      <c r="U76" s="25" t="s">
        <v>30</v>
      </c>
      <c r="V76" s="112">
        <v>45777</v>
      </c>
      <c r="W76" s="25" t="s">
        <v>58</v>
      </c>
      <c r="X76" s="112">
        <v>45777</v>
      </c>
      <c r="Y76" s="25" t="s">
        <v>202</v>
      </c>
      <c r="Z76" s="3"/>
    </row>
    <row r="77" spans="1:26">
      <c r="A77" s="112" t="s">
        <v>203</v>
      </c>
      <c r="B77" s="112">
        <v>45772</v>
      </c>
      <c r="C77" s="112" t="s">
        <v>46</v>
      </c>
      <c r="D77" s="112">
        <v>45772</v>
      </c>
      <c r="E77" s="25" t="s">
        <v>15</v>
      </c>
      <c r="F77" s="112">
        <v>45776</v>
      </c>
      <c r="G77" s="25" t="s">
        <v>18</v>
      </c>
      <c r="H77" s="112">
        <v>45776</v>
      </c>
      <c r="I77" s="25" t="s">
        <v>204</v>
      </c>
      <c r="J77" s="112">
        <v>45776</v>
      </c>
      <c r="K77" s="25" t="s">
        <v>91</v>
      </c>
      <c r="L77" s="112">
        <v>45776</v>
      </c>
      <c r="M77" s="25" t="s">
        <v>205</v>
      </c>
      <c r="N77" s="112">
        <v>45777</v>
      </c>
      <c r="O77" s="25" t="s">
        <v>19</v>
      </c>
      <c r="P77" s="112">
        <v>45777</v>
      </c>
      <c r="Q77" s="25" t="s">
        <v>79</v>
      </c>
      <c r="R77" s="112">
        <v>45773</v>
      </c>
      <c r="S77" s="25" t="s">
        <v>72</v>
      </c>
      <c r="T77" s="112">
        <v>45773</v>
      </c>
      <c r="U77" s="25" t="s">
        <v>57</v>
      </c>
      <c r="V77" s="112">
        <v>45777</v>
      </c>
      <c r="W77" s="25" t="s">
        <v>13</v>
      </c>
      <c r="X77" s="112">
        <v>45777</v>
      </c>
      <c r="Y77" s="25" t="s">
        <v>113</v>
      </c>
      <c r="Z77" s="3"/>
    </row>
    <row r="78" spans="1:26">
      <c r="A78" s="112" t="s">
        <v>206</v>
      </c>
      <c r="B78" s="112">
        <v>45772</v>
      </c>
      <c r="C78" s="112" t="s">
        <v>71</v>
      </c>
      <c r="D78" s="112">
        <v>45772</v>
      </c>
      <c r="E78" s="25" t="s">
        <v>22</v>
      </c>
      <c r="F78" s="112">
        <v>45776</v>
      </c>
      <c r="G78" s="25" t="s">
        <v>205</v>
      </c>
      <c r="H78" s="112">
        <v>45777</v>
      </c>
      <c r="I78" s="25" t="s">
        <v>207</v>
      </c>
      <c r="J78" s="112">
        <v>45777</v>
      </c>
      <c r="K78" s="25" t="s">
        <v>126</v>
      </c>
      <c r="L78" s="112">
        <v>45777</v>
      </c>
      <c r="M78" s="25" t="s">
        <v>208</v>
      </c>
      <c r="N78" s="112">
        <v>45779</v>
      </c>
      <c r="O78" s="25" t="s">
        <v>184</v>
      </c>
      <c r="P78" s="112">
        <v>45779</v>
      </c>
      <c r="Q78" s="25" t="s">
        <v>12</v>
      </c>
      <c r="R78" s="112">
        <v>45773</v>
      </c>
      <c r="S78" s="25" t="s">
        <v>44</v>
      </c>
      <c r="T78" s="112">
        <v>45773</v>
      </c>
      <c r="U78" s="25" t="s">
        <v>209</v>
      </c>
      <c r="V78" s="112">
        <v>45779</v>
      </c>
      <c r="W78" s="25" t="s">
        <v>16</v>
      </c>
      <c r="X78" s="112">
        <v>45779</v>
      </c>
      <c r="Y78" s="25" t="s">
        <v>12</v>
      </c>
      <c r="Z78" s="3"/>
    </row>
    <row r="79" spans="1:26">
      <c r="A79" s="112" t="s">
        <v>210</v>
      </c>
      <c r="B79" s="112">
        <v>45776</v>
      </c>
      <c r="C79" s="112" t="s">
        <v>68</v>
      </c>
      <c r="D79" s="112">
        <v>45776</v>
      </c>
      <c r="E79" s="25" t="s">
        <v>64</v>
      </c>
      <c r="F79" s="112">
        <v>45777</v>
      </c>
      <c r="G79" s="25" t="s">
        <v>211</v>
      </c>
      <c r="H79" s="112">
        <v>45777</v>
      </c>
      <c r="I79" s="25" t="s">
        <v>39</v>
      </c>
      <c r="J79" s="112">
        <v>45778</v>
      </c>
      <c r="K79" s="25" t="s">
        <v>211</v>
      </c>
      <c r="L79" s="112">
        <v>45778</v>
      </c>
      <c r="M79" s="25" t="s">
        <v>212</v>
      </c>
      <c r="N79" s="112">
        <v>45779</v>
      </c>
      <c r="O79" s="25" t="s">
        <v>63</v>
      </c>
      <c r="P79" s="112">
        <v>45779</v>
      </c>
      <c r="Q79" s="25" t="s">
        <v>79</v>
      </c>
      <c r="R79" s="112">
        <v>45776</v>
      </c>
      <c r="S79" s="25" t="s">
        <v>101</v>
      </c>
      <c r="T79" s="112">
        <v>45776</v>
      </c>
      <c r="U79" s="25" t="s">
        <v>186</v>
      </c>
      <c r="V79" s="112">
        <v>45779</v>
      </c>
      <c r="W79" s="25" t="s">
        <v>170</v>
      </c>
      <c r="X79" s="112">
        <v>45779</v>
      </c>
      <c r="Y79" s="25" t="s">
        <v>79</v>
      </c>
      <c r="Z79" s="3"/>
    </row>
    <row r="80" spans="1:26">
      <c r="A80" s="112" t="s">
        <v>213</v>
      </c>
      <c r="B80" s="112">
        <v>45776</v>
      </c>
      <c r="C80" s="112" t="s">
        <v>18</v>
      </c>
      <c r="D80" s="112">
        <v>45776</v>
      </c>
      <c r="E80" s="25" t="s">
        <v>145</v>
      </c>
      <c r="F80" s="112">
        <v>45777</v>
      </c>
      <c r="G80" s="25" t="s">
        <v>57</v>
      </c>
      <c r="H80" s="112">
        <v>45777</v>
      </c>
      <c r="I80" s="25" t="s">
        <v>149</v>
      </c>
      <c r="J80" s="112">
        <v>45779</v>
      </c>
      <c r="K80" s="25" t="s">
        <v>214</v>
      </c>
      <c r="L80" s="112">
        <v>45779</v>
      </c>
      <c r="M80" s="25" t="s">
        <v>204</v>
      </c>
      <c r="N80" s="112">
        <v>45779</v>
      </c>
      <c r="O80" s="25" t="s">
        <v>215</v>
      </c>
      <c r="P80" s="112">
        <v>45780</v>
      </c>
      <c r="Q80" s="25" t="s">
        <v>48</v>
      </c>
      <c r="R80" s="112">
        <v>45776</v>
      </c>
      <c r="S80" s="25" t="s">
        <v>156</v>
      </c>
      <c r="T80" s="112">
        <v>45776</v>
      </c>
      <c r="U80" s="25" t="s">
        <v>28</v>
      </c>
      <c r="V80" s="112">
        <v>45779</v>
      </c>
      <c r="W80" s="25" t="s">
        <v>216</v>
      </c>
      <c r="X80" s="112">
        <v>45779</v>
      </c>
      <c r="Y80" s="25" t="s">
        <v>217</v>
      </c>
      <c r="Z80" s="3"/>
    </row>
    <row r="81" spans="1:26">
      <c r="A81" s="112" t="s">
        <v>218</v>
      </c>
      <c r="B81" s="112">
        <v>45777</v>
      </c>
      <c r="C81" s="112" t="s">
        <v>90</v>
      </c>
      <c r="D81" s="112">
        <v>45777</v>
      </c>
      <c r="E81" s="25" t="s">
        <v>18</v>
      </c>
      <c r="F81" s="112">
        <v>45778</v>
      </c>
      <c r="G81" s="25" t="s">
        <v>219</v>
      </c>
      <c r="H81" s="112">
        <v>45779</v>
      </c>
      <c r="I81" s="25" t="s">
        <v>48</v>
      </c>
      <c r="J81" s="112">
        <v>45779</v>
      </c>
      <c r="K81" s="25" t="s">
        <v>220</v>
      </c>
      <c r="L81" s="112">
        <v>45779</v>
      </c>
      <c r="M81" s="25" t="s">
        <v>117</v>
      </c>
      <c r="N81" s="112">
        <v>45780</v>
      </c>
      <c r="O81" s="25" t="s">
        <v>71</v>
      </c>
      <c r="P81" s="112">
        <v>45780</v>
      </c>
      <c r="Q81" s="25" t="s">
        <v>96</v>
      </c>
      <c r="R81" s="112">
        <v>45777</v>
      </c>
      <c r="S81" s="25" t="s">
        <v>19</v>
      </c>
      <c r="T81" s="112">
        <v>45777</v>
      </c>
      <c r="U81" s="25" t="s">
        <v>13</v>
      </c>
      <c r="V81" s="112">
        <v>45780</v>
      </c>
      <c r="W81" s="25" t="s">
        <v>44</v>
      </c>
      <c r="X81" s="112">
        <v>45780</v>
      </c>
      <c r="Y81" s="25" t="s">
        <v>53</v>
      </c>
      <c r="Z81" s="3"/>
    </row>
    <row r="82" spans="1:26">
      <c r="A82" s="24" t="s">
        <v>221</v>
      </c>
      <c r="B82" s="112">
        <v>45777</v>
      </c>
      <c r="C82" s="112" t="s">
        <v>58</v>
      </c>
      <c r="D82" s="112">
        <v>45777</v>
      </c>
      <c r="E82" s="25" t="s">
        <v>28</v>
      </c>
      <c r="F82" s="112">
        <v>45779</v>
      </c>
      <c r="G82" s="25" t="s">
        <v>26</v>
      </c>
      <c r="H82" s="112">
        <v>45779</v>
      </c>
      <c r="I82" s="25" t="s">
        <v>98</v>
      </c>
      <c r="J82" s="112">
        <v>45780</v>
      </c>
      <c r="K82" s="25" t="s">
        <v>77</v>
      </c>
      <c r="L82" s="112">
        <v>45780</v>
      </c>
      <c r="M82" s="25" t="s">
        <v>80</v>
      </c>
      <c r="N82" s="112">
        <v>45782</v>
      </c>
      <c r="O82" s="25" t="s">
        <v>18</v>
      </c>
      <c r="P82" s="112">
        <v>45782</v>
      </c>
      <c r="Q82" s="25" t="s">
        <v>53</v>
      </c>
      <c r="R82" s="112">
        <v>45777</v>
      </c>
      <c r="S82" s="25" t="s">
        <v>63</v>
      </c>
      <c r="T82" s="112">
        <v>45777</v>
      </c>
      <c r="U82" s="25" t="s">
        <v>222</v>
      </c>
      <c r="V82" s="112">
        <v>45782</v>
      </c>
      <c r="W82" s="25" t="s">
        <v>30</v>
      </c>
      <c r="X82" s="112">
        <v>45782</v>
      </c>
      <c r="Y82" s="25" t="s">
        <v>54</v>
      </c>
      <c r="Z82" s="3"/>
    </row>
    <row r="83" spans="1:26">
      <c r="A83" s="24" t="s">
        <v>223</v>
      </c>
      <c r="B83" s="112">
        <v>45777</v>
      </c>
      <c r="C83" s="112" t="s">
        <v>15</v>
      </c>
      <c r="D83" s="112">
        <v>45777</v>
      </c>
      <c r="E83" s="25" t="s">
        <v>109</v>
      </c>
      <c r="F83" s="112">
        <v>45779</v>
      </c>
      <c r="G83" s="25" t="s">
        <v>85</v>
      </c>
      <c r="H83" s="112">
        <v>45779</v>
      </c>
      <c r="I83" s="25" t="s">
        <v>224</v>
      </c>
      <c r="J83" s="112">
        <v>45780</v>
      </c>
      <c r="K83" s="25" t="s">
        <v>63</v>
      </c>
      <c r="L83" s="112">
        <v>45780</v>
      </c>
      <c r="M83" s="25" t="s">
        <v>106</v>
      </c>
      <c r="N83" s="112">
        <v>45782</v>
      </c>
      <c r="O83" s="25" t="s">
        <v>19</v>
      </c>
      <c r="P83" s="112">
        <v>45782</v>
      </c>
      <c r="Q83" s="25" t="s">
        <v>79</v>
      </c>
      <c r="R83" s="112">
        <v>45777</v>
      </c>
      <c r="S83" s="25" t="s">
        <v>225</v>
      </c>
      <c r="T83" s="112">
        <v>45777</v>
      </c>
      <c r="U83" s="25" t="s">
        <v>23</v>
      </c>
      <c r="V83" s="112">
        <v>45782</v>
      </c>
      <c r="W83" s="25" t="s">
        <v>198</v>
      </c>
      <c r="X83" s="112">
        <v>45782</v>
      </c>
      <c r="Y83" s="25" t="s">
        <v>113</v>
      </c>
      <c r="Z83" s="3"/>
    </row>
    <row r="84" s="31" customFormat="1" spans="16:16">
      <c r="P84" s="222"/>
    </row>
    <row r="85" spans="1:26">
      <c r="A85" s="112" t="s">
        <v>226</v>
      </c>
      <c r="B85" s="112">
        <v>45779</v>
      </c>
      <c r="C85" s="112" t="s">
        <v>115</v>
      </c>
      <c r="D85" s="112">
        <v>45779</v>
      </c>
      <c r="E85" s="25" t="s">
        <v>53</v>
      </c>
      <c r="F85" s="112">
        <v>45779</v>
      </c>
      <c r="G85" s="25" t="s">
        <v>215</v>
      </c>
      <c r="H85" s="112">
        <v>45780</v>
      </c>
      <c r="I85" s="25" t="s">
        <v>227</v>
      </c>
      <c r="J85" s="112">
        <v>45780</v>
      </c>
      <c r="K85" s="25" t="s">
        <v>58</v>
      </c>
      <c r="L85" s="112">
        <v>45780</v>
      </c>
      <c r="M85" s="25" t="s">
        <v>57</v>
      </c>
      <c r="N85" s="112">
        <v>45782</v>
      </c>
      <c r="O85" s="25" t="s">
        <v>19</v>
      </c>
      <c r="P85" s="112">
        <v>45782</v>
      </c>
      <c r="Q85" s="25" t="s">
        <v>162</v>
      </c>
      <c r="R85" s="112">
        <v>45779</v>
      </c>
      <c r="S85" s="25" t="s">
        <v>18</v>
      </c>
      <c r="T85" s="112">
        <v>45779</v>
      </c>
      <c r="U85" s="25" t="s">
        <v>28</v>
      </c>
      <c r="V85" s="112">
        <v>45782</v>
      </c>
      <c r="W85" s="25" t="s">
        <v>103</v>
      </c>
      <c r="X85" s="112">
        <v>45782</v>
      </c>
      <c r="Y85" s="25" t="s">
        <v>217</v>
      </c>
      <c r="Z85" s="3"/>
    </row>
    <row r="86" spans="1:26">
      <c r="A86" s="112" t="s">
        <v>228</v>
      </c>
      <c r="B86" s="112">
        <v>45779</v>
      </c>
      <c r="C86" s="112" t="s">
        <v>82</v>
      </c>
      <c r="D86" s="112">
        <v>45779</v>
      </c>
      <c r="E86" s="25" t="s">
        <v>84</v>
      </c>
      <c r="F86" s="112">
        <v>45779</v>
      </c>
      <c r="G86" s="25" t="s">
        <v>229</v>
      </c>
      <c r="H86" s="112">
        <v>45780</v>
      </c>
      <c r="I86" s="25" t="s">
        <v>145</v>
      </c>
      <c r="J86" s="112">
        <v>45780</v>
      </c>
      <c r="K86" s="25" t="s">
        <v>21</v>
      </c>
      <c r="L86" s="112">
        <v>45780</v>
      </c>
      <c r="M86" s="25" t="s">
        <v>115</v>
      </c>
      <c r="N86" s="112">
        <v>45783</v>
      </c>
      <c r="O86" s="25" t="s">
        <v>99</v>
      </c>
      <c r="P86" s="112">
        <v>45783</v>
      </c>
      <c r="Q86" s="25" t="s">
        <v>53</v>
      </c>
      <c r="R86" s="112">
        <v>45779</v>
      </c>
      <c r="S86" s="25" t="s">
        <v>15</v>
      </c>
      <c r="T86" s="112">
        <v>45779</v>
      </c>
      <c r="U86" s="25" t="s">
        <v>22</v>
      </c>
      <c r="V86" s="112">
        <v>45783</v>
      </c>
      <c r="W86" s="25" t="s">
        <v>166</v>
      </c>
      <c r="X86" s="112">
        <v>45783</v>
      </c>
      <c r="Y86" s="25" t="s">
        <v>37</v>
      </c>
      <c r="Z86" s="3"/>
    </row>
    <row r="87" spans="1:26">
      <c r="A87" s="112" t="s">
        <v>230</v>
      </c>
      <c r="B87" s="112">
        <v>45779</v>
      </c>
      <c r="C87" s="112" t="s">
        <v>47</v>
      </c>
      <c r="D87" s="112">
        <v>45779</v>
      </c>
      <c r="E87" s="25" t="s">
        <v>13</v>
      </c>
      <c r="F87" s="112">
        <v>45780</v>
      </c>
      <c r="G87" s="25" t="s">
        <v>207</v>
      </c>
      <c r="H87" s="112">
        <v>45780</v>
      </c>
      <c r="I87" s="25" t="s">
        <v>101</v>
      </c>
      <c r="J87" s="112">
        <v>45782</v>
      </c>
      <c r="K87" s="25" t="s">
        <v>231</v>
      </c>
      <c r="L87" s="112">
        <v>45782</v>
      </c>
      <c r="M87" s="25" t="s">
        <v>232</v>
      </c>
      <c r="N87" s="112">
        <v>45783</v>
      </c>
      <c r="O87" s="25" t="s">
        <v>19</v>
      </c>
      <c r="P87" s="112">
        <v>45783</v>
      </c>
      <c r="Q87" s="25" t="s">
        <v>79</v>
      </c>
      <c r="R87" s="112">
        <v>45779</v>
      </c>
      <c r="S87" s="25" t="s">
        <v>74</v>
      </c>
      <c r="T87" s="112">
        <v>45779</v>
      </c>
      <c r="U87" s="25" t="s">
        <v>21</v>
      </c>
      <c r="V87" s="112">
        <v>45783</v>
      </c>
      <c r="W87" s="25" t="s">
        <v>116</v>
      </c>
      <c r="X87" s="112">
        <v>45783</v>
      </c>
      <c r="Y87" s="25" t="s">
        <v>81</v>
      </c>
      <c r="Z87" s="3"/>
    </row>
    <row r="88" spans="1:26">
      <c r="A88" s="112" t="s">
        <v>233</v>
      </c>
      <c r="B88" s="112">
        <v>45779</v>
      </c>
      <c r="C88" s="112" t="s">
        <v>63</v>
      </c>
      <c r="D88" s="112">
        <v>45779</v>
      </c>
      <c r="E88" s="25" t="s">
        <v>37</v>
      </c>
      <c r="F88" s="112">
        <v>45780</v>
      </c>
      <c r="G88" s="25" t="s">
        <v>46</v>
      </c>
      <c r="H88" s="112">
        <v>45780</v>
      </c>
      <c r="I88" s="25" t="s">
        <v>19</v>
      </c>
      <c r="J88" s="112">
        <v>45782</v>
      </c>
      <c r="K88" s="25" t="s">
        <v>94</v>
      </c>
      <c r="L88" s="112">
        <v>45782</v>
      </c>
      <c r="M88" s="25" t="s">
        <v>234</v>
      </c>
      <c r="N88" s="112">
        <v>45784</v>
      </c>
      <c r="O88" s="25" t="s">
        <v>99</v>
      </c>
      <c r="P88" s="112">
        <v>45784</v>
      </c>
      <c r="Q88" s="25" t="s">
        <v>32</v>
      </c>
      <c r="R88" s="112">
        <v>45779</v>
      </c>
      <c r="S88" s="25" t="s">
        <v>115</v>
      </c>
      <c r="T88" s="112">
        <v>45779</v>
      </c>
      <c r="U88" s="25" t="s">
        <v>53</v>
      </c>
      <c r="V88" s="112">
        <v>45784</v>
      </c>
      <c r="W88" s="25" t="s">
        <v>235</v>
      </c>
      <c r="X88" s="112">
        <v>45784</v>
      </c>
      <c r="Y88" s="25" t="s">
        <v>236</v>
      </c>
      <c r="Z88" s="3"/>
    </row>
    <row r="89" spans="1:26">
      <c r="A89" s="112" t="s">
        <v>237</v>
      </c>
      <c r="B89" s="112">
        <v>45779</v>
      </c>
      <c r="C89" s="112" t="s">
        <v>163</v>
      </c>
      <c r="D89" s="112">
        <v>45779</v>
      </c>
      <c r="E89" s="25" t="s">
        <v>116</v>
      </c>
      <c r="F89" s="112">
        <v>45780</v>
      </c>
      <c r="G89" s="25" t="s">
        <v>71</v>
      </c>
      <c r="H89" s="112">
        <v>45780</v>
      </c>
      <c r="I89" s="25" t="s">
        <v>40</v>
      </c>
      <c r="J89" s="112">
        <v>45783</v>
      </c>
      <c r="K89" s="25" t="s">
        <v>238</v>
      </c>
      <c r="L89" s="112">
        <v>45783</v>
      </c>
      <c r="M89" s="25" t="s">
        <v>149</v>
      </c>
      <c r="N89" s="112">
        <v>45784</v>
      </c>
      <c r="O89" s="25" t="s">
        <v>19</v>
      </c>
      <c r="P89" s="112">
        <v>45784</v>
      </c>
      <c r="Q89" s="25" t="s">
        <v>79</v>
      </c>
      <c r="R89" s="112">
        <v>45779</v>
      </c>
      <c r="S89" s="25" t="s">
        <v>82</v>
      </c>
      <c r="T89" s="112">
        <v>45779</v>
      </c>
      <c r="U89" s="25" t="s">
        <v>119</v>
      </c>
      <c r="V89" s="112">
        <v>45784</v>
      </c>
      <c r="W89" s="25" t="s">
        <v>80</v>
      </c>
      <c r="X89" s="112">
        <v>45784</v>
      </c>
      <c r="Y89" s="25" t="s">
        <v>113</v>
      </c>
      <c r="Z89" s="3"/>
    </row>
    <row r="90" spans="1:26">
      <c r="A90" s="112" t="s">
        <v>239</v>
      </c>
      <c r="B90" s="112">
        <v>45786</v>
      </c>
      <c r="C90" s="112" t="s">
        <v>118</v>
      </c>
      <c r="D90" s="112">
        <v>45786</v>
      </c>
      <c r="E90" s="25" t="s">
        <v>238</v>
      </c>
      <c r="F90" s="112">
        <v>45787</v>
      </c>
      <c r="G90" s="25" t="s">
        <v>26</v>
      </c>
      <c r="H90" s="112">
        <v>45787</v>
      </c>
      <c r="I90" s="25" t="s">
        <v>53</v>
      </c>
      <c r="J90" s="112">
        <v>45787</v>
      </c>
      <c r="K90" s="25" t="s">
        <v>116</v>
      </c>
      <c r="L90" s="112">
        <v>45787</v>
      </c>
      <c r="M90" s="25" t="s">
        <v>173</v>
      </c>
      <c r="N90" s="112">
        <v>45790</v>
      </c>
      <c r="O90" s="25" t="s">
        <v>18</v>
      </c>
      <c r="P90" s="112">
        <v>45790</v>
      </c>
      <c r="Q90" s="25" t="s">
        <v>142</v>
      </c>
      <c r="R90" s="112">
        <v>45786</v>
      </c>
      <c r="S90" s="25" t="s">
        <v>240</v>
      </c>
      <c r="T90" s="112">
        <v>45786</v>
      </c>
      <c r="U90" s="25" t="s">
        <v>241</v>
      </c>
      <c r="V90" s="112">
        <v>45790</v>
      </c>
      <c r="W90" s="25" t="s">
        <v>70</v>
      </c>
      <c r="X90" s="112">
        <v>45790</v>
      </c>
      <c r="Y90" s="25" t="s">
        <v>142</v>
      </c>
      <c r="Z90" s="3"/>
    </row>
    <row r="91" spans="1:26">
      <c r="A91" s="112" t="s">
        <v>242</v>
      </c>
      <c r="B91" s="112">
        <v>45786</v>
      </c>
      <c r="C91" s="112" t="s">
        <v>243</v>
      </c>
      <c r="D91" s="112">
        <v>45786</v>
      </c>
      <c r="E91" s="25" t="s">
        <v>162</v>
      </c>
      <c r="F91" s="112">
        <v>45787</v>
      </c>
      <c r="G91" s="25" t="s">
        <v>46</v>
      </c>
      <c r="H91" s="112">
        <v>45787</v>
      </c>
      <c r="I91" s="25" t="s">
        <v>98</v>
      </c>
      <c r="J91" s="112">
        <v>45790</v>
      </c>
      <c r="K91" s="25" t="s">
        <v>161</v>
      </c>
      <c r="L91" s="112">
        <v>45790</v>
      </c>
      <c r="M91" s="25" t="s">
        <v>63</v>
      </c>
      <c r="N91" s="112">
        <v>45790</v>
      </c>
      <c r="O91" s="25" t="s">
        <v>19</v>
      </c>
      <c r="P91" s="112">
        <v>45790</v>
      </c>
      <c r="Q91" s="25" t="s">
        <v>79</v>
      </c>
      <c r="R91" s="112">
        <v>45787</v>
      </c>
      <c r="S91" s="25" t="s">
        <v>15</v>
      </c>
      <c r="T91" s="112">
        <v>45787</v>
      </c>
      <c r="U91" s="25" t="s">
        <v>109</v>
      </c>
      <c r="V91" s="112">
        <v>45790</v>
      </c>
      <c r="W91" s="25" t="s">
        <v>63</v>
      </c>
      <c r="X91" s="112">
        <v>45790</v>
      </c>
      <c r="Y91" s="25" t="s">
        <v>81</v>
      </c>
      <c r="Z91" s="3"/>
    </row>
    <row r="92" spans="1:26">
      <c r="A92" s="112" t="s">
        <v>244</v>
      </c>
      <c r="B92" s="112">
        <v>45786</v>
      </c>
      <c r="C92" s="112" t="s">
        <v>126</v>
      </c>
      <c r="D92" s="112">
        <v>45786</v>
      </c>
      <c r="E92" s="25" t="s">
        <v>245</v>
      </c>
      <c r="F92" s="112">
        <v>45787</v>
      </c>
      <c r="G92" s="25" t="s">
        <v>12</v>
      </c>
      <c r="H92" s="112">
        <v>45790</v>
      </c>
      <c r="I92" s="25" t="s">
        <v>71</v>
      </c>
      <c r="J92" s="112">
        <v>45790</v>
      </c>
      <c r="K92" s="25" t="s">
        <v>170</v>
      </c>
      <c r="L92" s="112">
        <v>45790</v>
      </c>
      <c r="M92" s="25" t="s">
        <v>79</v>
      </c>
      <c r="N92" s="112">
        <v>45791</v>
      </c>
      <c r="O92" s="25" t="s">
        <v>99</v>
      </c>
      <c r="P92" s="112">
        <v>45791</v>
      </c>
      <c r="Q92" s="25" t="s">
        <v>32</v>
      </c>
      <c r="R92" s="112">
        <v>45787</v>
      </c>
      <c r="S92" s="25" t="s">
        <v>22</v>
      </c>
      <c r="T92" s="112">
        <v>45787</v>
      </c>
      <c r="U92" s="25" t="s">
        <v>87</v>
      </c>
      <c r="V92" s="112">
        <v>45791</v>
      </c>
      <c r="W92" s="25" t="s">
        <v>101</v>
      </c>
      <c r="X92" s="112">
        <v>45791</v>
      </c>
      <c r="Y92" s="25" t="s">
        <v>47</v>
      </c>
      <c r="Z92" s="3"/>
    </row>
    <row r="93" spans="1:26">
      <c r="A93" s="112" t="s">
        <v>246</v>
      </c>
      <c r="B93" s="112">
        <v>45786</v>
      </c>
      <c r="C93" s="112" t="s">
        <v>215</v>
      </c>
      <c r="D93" s="112">
        <v>45786</v>
      </c>
      <c r="E93" s="25" t="s">
        <v>172</v>
      </c>
      <c r="F93" s="112">
        <v>45790</v>
      </c>
      <c r="G93" s="25" t="s">
        <v>22</v>
      </c>
      <c r="H93" s="112">
        <v>45790</v>
      </c>
      <c r="I93" s="25" t="s">
        <v>247</v>
      </c>
      <c r="J93" s="112">
        <v>45791</v>
      </c>
      <c r="K93" s="25" t="s">
        <v>18</v>
      </c>
      <c r="L93" s="112">
        <v>45791</v>
      </c>
      <c r="M93" s="25" t="s">
        <v>30</v>
      </c>
      <c r="N93" s="112">
        <v>45791</v>
      </c>
      <c r="O93" s="25" t="s">
        <v>19</v>
      </c>
      <c r="P93" s="112">
        <v>45791</v>
      </c>
      <c r="Q93" s="25" t="s">
        <v>79</v>
      </c>
      <c r="R93" s="112">
        <v>45787</v>
      </c>
      <c r="S93" s="25" t="s">
        <v>163</v>
      </c>
      <c r="T93" s="112">
        <v>45787</v>
      </c>
      <c r="U93" s="25" t="s">
        <v>188</v>
      </c>
      <c r="V93" s="112">
        <v>45791</v>
      </c>
      <c r="W93" s="25" t="s">
        <v>63</v>
      </c>
      <c r="X93" s="112">
        <v>45791</v>
      </c>
      <c r="Y93" s="25" t="s">
        <v>113</v>
      </c>
      <c r="Z93" s="3"/>
    </row>
    <row r="94" spans="1:26">
      <c r="A94" s="112" t="s">
        <v>248</v>
      </c>
      <c r="B94" s="112">
        <v>45787</v>
      </c>
      <c r="C94" s="112" t="s">
        <v>22</v>
      </c>
      <c r="D94" s="112">
        <v>45787</v>
      </c>
      <c r="E94" s="25" t="s">
        <v>39</v>
      </c>
      <c r="F94" s="112">
        <v>45790</v>
      </c>
      <c r="G94" s="25" t="s">
        <v>249</v>
      </c>
      <c r="H94" s="112">
        <v>45791</v>
      </c>
      <c r="I94" s="25" t="s">
        <v>39</v>
      </c>
      <c r="J94" s="112">
        <v>45791</v>
      </c>
      <c r="K94" s="25" t="s">
        <v>132</v>
      </c>
      <c r="L94" s="112">
        <v>45791</v>
      </c>
      <c r="M94" s="25" t="s">
        <v>166</v>
      </c>
      <c r="N94" s="112">
        <v>45792</v>
      </c>
      <c r="O94" s="25" t="s">
        <v>99</v>
      </c>
      <c r="P94" s="112">
        <v>45792</v>
      </c>
      <c r="Q94" s="25" t="s">
        <v>32</v>
      </c>
      <c r="R94" s="112">
        <v>45790</v>
      </c>
      <c r="S94" s="25" t="s">
        <v>250</v>
      </c>
      <c r="T94" s="112">
        <v>45790</v>
      </c>
      <c r="U94" s="25" t="s">
        <v>251</v>
      </c>
      <c r="V94" s="112">
        <v>45792</v>
      </c>
      <c r="W94" s="25" t="s">
        <v>16</v>
      </c>
      <c r="X94" s="112">
        <v>45792</v>
      </c>
      <c r="Y94" s="25" t="s">
        <v>31</v>
      </c>
      <c r="Z94" s="3"/>
    </row>
    <row r="95" spans="1:26">
      <c r="A95" s="112" t="s">
        <v>252</v>
      </c>
      <c r="B95" s="112">
        <v>45787</v>
      </c>
      <c r="C95" s="112" t="s">
        <v>36</v>
      </c>
      <c r="D95" s="112">
        <v>45787</v>
      </c>
      <c r="E95" s="25" t="s">
        <v>21</v>
      </c>
      <c r="F95" s="112">
        <v>45791</v>
      </c>
      <c r="G95" s="25" t="s">
        <v>57</v>
      </c>
      <c r="H95" s="112">
        <v>45791</v>
      </c>
      <c r="I95" s="25" t="s">
        <v>149</v>
      </c>
      <c r="J95" s="112">
        <v>45791</v>
      </c>
      <c r="K95" s="25" t="s">
        <v>253</v>
      </c>
      <c r="L95" s="112">
        <v>45792</v>
      </c>
      <c r="M95" s="25" t="s">
        <v>254</v>
      </c>
      <c r="N95" s="112">
        <v>45792</v>
      </c>
      <c r="O95" s="25" t="s">
        <v>19</v>
      </c>
      <c r="P95" s="112">
        <v>45792</v>
      </c>
      <c r="Q95" s="25" t="s">
        <v>162</v>
      </c>
      <c r="R95" s="112">
        <v>45790</v>
      </c>
      <c r="S95" s="25" t="s">
        <v>255</v>
      </c>
      <c r="T95" s="112">
        <v>45790</v>
      </c>
      <c r="U95" s="25" t="s">
        <v>96</v>
      </c>
      <c r="V95" s="112">
        <v>45792</v>
      </c>
      <c r="W95" s="25" t="s">
        <v>256</v>
      </c>
      <c r="X95" s="112">
        <v>45792</v>
      </c>
      <c r="Y95" s="25" t="s">
        <v>79</v>
      </c>
      <c r="Z95" s="3"/>
    </row>
    <row r="96" spans="1:26">
      <c r="A96" s="112" t="s">
        <v>257</v>
      </c>
      <c r="B96" s="112">
        <v>45787</v>
      </c>
      <c r="C96" s="112" t="s">
        <v>31</v>
      </c>
      <c r="D96" s="112">
        <v>45787</v>
      </c>
      <c r="E96" s="25" t="s">
        <v>32</v>
      </c>
      <c r="F96" s="112">
        <v>45791</v>
      </c>
      <c r="G96" s="25" t="s">
        <v>249</v>
      </c>
      <c r="H96" s="112">
        <v>45792</v>
      </c>
      <c r="I96" s="25" t="s">
        <v>258</v>
      </c>
      <c r="J96" s="112">
        <v>45792</v>
      </c>
      <c r="K96" s="25" t="s">
        <v>184</v>
      </c>
      <c r="L96" s="112">
        <v>45792</v>
      </c>
      <c r="M96" s="25" t="s">
        <v>156</v>
      </c>
      <c r="N96" s="112">
        <v>45793</v>
      </c>
      <c r="O96" s="25" t="s">
        <v>99</v>
      </c>
      <c r="P96" s="112">
        <v>45793</v>
      </c>
      <c r="Q96" s="25" t="s">
        <v>53</v>
      </c>
      <c r="R96" s="112">
        <v>45791</v>
      </c>
      <c r="S96" s="25" t="s">
        <v>16</v>
      </c>
      <c r="T96" s="112">
        <v>45791</v>
      </c>
      <c r="U96" s="25" t="s">
        <v>58</v>
      </c>
      <c r="V96" s="112">
        <v>45793</v>
      </c>
      <c r="W96" s="25" t="s">
        <v>16</v>
      </c>
      <c r="X96" s="112">
        <v>45793</v>
      </c>
      <c r="Y96" s="25" t="s">
        <v>98</v>
      </c>
      <c r="Z96" s="3"/>
    </row>
    <row r="97" spans="1:26">
      <c r="A97" s="112" t="s">
        <v>259</v>
      </c>
      <c r="B97" s="112">
        <v>45790</v>
      </c>
      <c r="C97" s="112" t="s">
        <v>39</v>
      </c>
      <c r="D97" s="112">
        <v>45790</v>
      </c>
      <c r="E97" s="25" t="s">
        <v>57</v>
      </c>
      <c r="F97" s="112">
        <v>45792</v>
      </c>
      <c r="G97" s="25" t="s">
        <v>26</v>
      </c>
      <c r="H97" s="112">
        <v>45792</v>
      </c>
      <c r="I97" s="25" t="s">
        <v>115</v>
      </c>
      <c r="J97" s="112">
        <v>45793</v>
      </c>
      <c r="K97" s="25" t="s">
        <v>260</v>
      </c>
      <c r="L97" s="112">
        <v>45793</v>
      </c>
      <c r="M97" s="25" t="s">
        <v>90</v>
      </c>
      <c r="N97" s="112">
        <v>45793</v>
      </c>
      <c r="O97" s="25" t="s">
        <v>63</v>
      </c>
      <c r="P97" s="112">
        <v>45793</v>
      </c>
      <c r="Q97" s="25" t="s">
        <v>168</v>
      </c>
      <c r="R97" s="112">
        <v>45791</v>
      </c>
      <c r="S97" s="25" t="s">
        <v>46</v>
      </c>
      <c r="T97" s="112">
        <v>45791</v>
      </c>
      <c r="U97" s="25" t="s">
        <v>15</v>
      </c>
      <c r="V97" s="112">
        <v>45793</v>
      </c>
      <c r="W97" s="25" t="s">
        <v>204</v>
      </c>
      <c r="X97" s="112">
        <v>45793</v>
      </c>
      <c r="Y97" s="25" t="s">
        <v>134</v>
      </c>
      <c r="Z97" s="3"/>
    </row>
    <row r="98" spans="1:26">
      <c r="A98" s="112" t="s">
        <v>261</v>
      </c>
      <c r="B98" s="112">
        <v>45790</v>
      </c>
      <c r="C98" s="112" t="s">
        <v>262</v>
      </c>
      <c r="D98" s="112">
        <v>45790</v>
      </c>
      <c r="E98" s="25" t="s">
        <v>193</v>
      </c>
      <c r="F98" s="112">
        <v>45792</v>
      </c>
      <c r="G98" s="25" t="s">
        <v>12</v>
      </c>
      <c r="H98" s="112">
        <v>45792</v>
      </c>
      <c r="I98" s="25" t="s">
        <v>168</v>
      </c>
      <c r="J98" s="112">
        <v>45793</v>
      </c>
      <c r="K98" s="25" t="s">
        <v>263</v>
      </c>
      <c r="L98" s="112">
        <v>45794</v>
      </c>
      <c r="M98" s="25" t="s">
        <v>212</v>
      </c>
      <c r="N98" s="112">
        <v>45794</v>
      </c>
      <c r="O98" s="25" t="s">
        <v>99</v>
      </c>
      <c r="P98" s="112">
        <v>45794</v>
      </c>
      <c r="Q98" s="25" t="s">
        <v>31</v>
      </c>
      <c r="R98" s="112">
        <v>45791</v>
      </c>
      <c r="S98" s="25" t="s">
        <v>71</v>
      </c>
      <c r="T98" s="112">
        <v>45791</v>
      </c>
      <c r="U98" s="25" t="s">
        <v>22</v>
      </c>
      <c r="V98" s="112">
        <v>45794</v>
      </c>
      <c r="W98" s="25" t="s">
        <v>101</v>
      </c>
      <c r="X98" s="112">
        <v>45794</v>
      </c>
      <c r="Y98" s="25" t="s">
        <v>22</v>
      </c>
      <c r="Z98" s="3"/>
    </row>
    <row r="99" spans="1:26">
      <c r="A99" s="112" t="s">
        <v>264</v>
      </c>
      <c r="B99" s="112">
        <v>45790</v>
      </c>
      <c r="C99" s="112" t="s">
        <v>29</v>
      </c>
      <c r="D99" s="112">
        <v>45790</v>
      </c>
      <c r="E99" s="25" t="s">
        <v>161</v>
      </c>
      <c r="F99" s="112">
        <v>45792</v>
      </c>
      <c r="G99" s="25" t="s">
        <v>201</v>
      </c>
      <c r="H99" s="112">
        <v>45793</v>
      </c>
      <c r="I99" s="25" t="s">
        <v>265</v>
      </c>
      <c r="J99" s="112">
        <v>45794</v>
      </c>
      <c r="K99" s="25" t="s">
        <v>58</v>
      </c>
      <c r="L99" s="112">
        <v>45794</v>
      </c>
      <c r="M99" s="25" t="s">
        <v>71</v>
      </c>
      <c r="N99" s="112">
        <v>45794</v>
      </c>
      <c r="O99" s="25" t="s">
        <v>32</v>
      </c>
      <c r="P99" s="112">
        <v>45794</v>
      </c>
      <c r="Q99" s="25" t="s">
        <v>247</v>
      </c>
      <c r="R99" s="112">
        <v>45791</v>
      </c>
      <c r="S99" s="25" t="s">
        <v>74</v>
      </c>
      <c r="T99" s="112">
        <v>45791</v>
      </c>
      <c r="U99" s="25" t="s">
        <v>17</v>
      </c>
      <c r="V99" s="112">
        <v>45794</v>
      </c>
      <c r="W99" s="25" t="s">
        <v>75</v>
      </c>
      <c r="X99" s="112">
        <v>45794</v>
      </c>
      <c r="Y99" s="25" t="s">
        <v>247</v>
      </c>
      <c r="Z99" s="3"/>
    </row>
    <row r="100" spans="1:26">
      <c r="A100" s="112" t="s">
        <v>266</v>
      </c>
      <c r="B100" s="112">
        <v>45794</v>
      </c>
      <c r="C100" s="112" t="s">
        <v>90</v>
      </c>
      <c r="D100" s="112">
        <v>45794</v>
      </c>
      <c r="E100" s="25" t="s">
        <v>18</v>
      </c>
      <c r="F100" s="112">
        <v>45796</v>
      </c>
      <c r="G100" s="25" t="s">
        <v>26</v>
      </c>
      <c r="H100" s="112">
        <v>45796</v>
      </c>
      <c r="I100" s="25" t="s">
        <v>53</v>
      </c>
      <c r="J100" s="112">
        <v>45796</v>
      </c>
      <c r="K100" s="25" t="s">
        <v>91</v>
      </c>
      <c r="L100" s="112">
        <v>45796</v>
      </c>
      <c r="M100" s="25" t="s">
        <v>149</v>
      </c>
      <c r="N100" s="112">
        <v>45797</v>
      </c>
      <c r="O100" s="25" t="s">
        <v>18</v>
      </c>
      <c r="P100" s="112">
        <v>45797</v>
      </c>
      <c r="Q100" s="25" t="s">
        <v>142</v>
      </c>
      <c r="R100" s="112">
        <v>45796</v>
      </c>
      <c r="S100" s="25" t="s">
        <v>267</v>
      </c>
      <c r="T100" s="112">
        <v>45796</v>
      </c>
      <c r="U100" s="25" t="s">
        <v>32</v>
      </c>
      <c r="V100" s="112">
        <v>45797</v>
      </c>
      <c r="W100" s="25" t="s">
        <v>262</v>
      </c>
      <c r="X100" s="112">
        <v>45797</v>
      </c>
      <c r="Y100" s="25" t="s">
        <v>37</v>
      </c>
      <c r="Z100" s="3"/>
    </row>
    <row r="101" spans="1:26">
      <c r="A101" s="112" t="s">
        <v>268</v>
      </c>
      <c r="B101" s="112">
        <v>45794</v>
      </c>
      <c r="C101" s="112" t="s">
        <v>46</v>
      </c>
      <c r="D101" s="112">
        <v>45794</v>
      </c>
      <c r="E101" s="25" t="s">
        <v>15</v>
      </c>
      <c r="F101" s="112">
        <v>45796</v>
      </c>
      <c r="G101" s="25" t="s">
        <v>142</v>
      </c>
      <c r="H101" s="112">
        <v>45796</v>
      </c>
      <c r="I101" s="25" t="s">
        <v>247</v>
      </c>
      <c r="J101" s="112">
        <v>45796</v>
      </c>
      <c r="K101" s="25" t="s">
        <v>269</v>
      </c>
      <c r="L101" s="112">
        <v>45796</v>
      </c>
      <c r="M101" s="25" t="s">
        <v>172</v>
      </c>
      <c r="N101" s="112">
        <v>45797</v>
      </c>
      <c r="O101" s="25" t="s">
        <v>19</v>
      </c>
      <c r="P101" s="112">
        <v>45797</v>
      </c>
      <c r="Q101" s="25" t="s">
        <v>79</v>
      </c>
      <c r="R101" s="112">
        <v>45796</v>
      </c>
      <c r="S101" s="25" t="s">
        <v>53</v>
      </c>
      <c r="T101" s="112">
        <v>45796</v>
      </c>
      <c r="U101" s="25" t="s">
        <v>98</v>
      </c>
      <c r="V101" s="112">
        <v>45797</v>
      </c>
      <c r="W101" s="25" t="s">
        <v>73</v>
      </c>
      <c r="X101" s="112">
        <v>45797</v>
      </c>
      <c r="Y101" s="25" t="s">
        <v>79</v>
      </c>
      <c r="Z101" s="3"/>
    </row>
    <row r="102" spans="1:26">
      <c r="A102" s="112" t="s">
        <v>270</v>
      </c>
      <c r="B102" s="112">
        <v>45794</v>
      </c>
      <c r="C102" s="112" t="s">
        <v>71</v>
      </c>
      <c r="D102" s="112">
        <v>45794</v>
      </c>
      <c r="E102" s="25" t="s">
        <v>22</v>
      </c>
      <c r="F102" s="112">
        <v>45796</v>
      </c>
      <c r="G102" s="25" t="s">
        <v>238</v>
      </c>
      <c r="H102" s="112">
        <v>45797</v>
      </c>
      <c r="I102" s="25" t="s">
        <v>101</v>
      </c>
      <c r="J102" s="112">
        <v>45797</v>
      </c>
      <c r="K102" s="25" t="s">
        <v>157</v>
      </c>
      <c r="L102" s="112">
        <v>45797</v>
      </c>
      <c r="M102" s="25" t="s">
        <v>271</v>
      </c>
      <c r="N102" s="112">
        <v>45798</v>
      </c>
      <c r="O102" s="25" t="s">
        <v>99</v>
      </c>
      <c r="P102" s="112">
        <v>45798</v>
      </c>
      <c r="Q102" s="25" t="s">
        <v>32</v>
      </c>
      <c r="R102" s="112">
        <v>45796</v>
      </c>
      <c r="S102" s="25" t="s">
        <v>84</v>
      </c>
      <c r="T102" s="112">
        <v>45796</v>
      </c>
      <c r="U102" s="25" t="s">
        <v>80</v>
      </c>
      <c r="V102" s="112">
        <v>45798</v>
      </c>
      <c r="W102" s="25" t="s">
        <v>22</v>
      </c>
      <c r="X102" s="112">
        <v>45798</v>
      </c>
      <c r="Y102" s="25" t="s">
        <v>47</v>
      </c>
      <c r="Z102" s="3"/>
    </row>
    <row r="103" spans="1:26">
      <c r="A103" s="112" t="s">
        <v>272</v>
      </c>
      <c r="B103" s="112">
        <v>45796</v>
      </c>
      <c r="C103" s="112" t="s">
        <v>57</v>
      </c>
      <c r="D103" s="112">
        <v>45796</v>
      </c>
      <c r="E103" s="25" t="s">
        <v>31</v>
      </c>
      <c r="F103" s="112">
        <v>45797</v>
      </c>
      <c r="G103" s="25" t="s">
        <v>156</v>
      </c>
      <c r="H103" s="112">
        <v>45797</v>
      </c>
      <c r="I103" s="25" t="s">
        <v>142</v>
      </c>
      <c r="J103" s="112">
        <v>45797</v>
      </c>
      <c r="K103" s="25" t="s">
        <v>273</v>
      </c>
      <c r="L103" s="112">
        <v>45797</v>
      </c>
      <c r="M103" s="25" t="s">
        <v>143</v>
      </c>
      <c r="N103" s="112">
        <v>45798</v>
      </c>
      <c r="O103" s="25" t="s">
        <v>19</v>
      </c>
      <c r="P103" s="112">
        <v>45798</v>
      </c>
      <c r="Q103" s="25" t="s">
        <v>162</v>
      </c>
      <c r="R103" s="112">
        <v>45796</v>
      </c>
      <c r="S103" s="25" t="s">
        <v>13</v>
      </c>
      <c r="T103" s="112">
        <v>45796</v>
      </c>
      <c r="U103" s="25" t="s">
        <v>170</v>
      </c>
      <c r="V103" s="112">
        <v>45798</v>
      </c>
      <c r="W103" s="25" t="s">
        <v>80</v>
      </c>
      <c r="X103" s="112">
        <v>45798</v>
      </c>
      <c r="Y103" s="25" t="s">
        <v>274</v>
      </c>
      <c r="Z103" s="3"/>
    </row>
    <row r="104" spans="1:26">
      <c r="A104" s="112" t="s">
        <v>275</v>
      </c>
      <c r="B104" s="112">
        <v>45796</v>
      </c>
      <c r="C104" s="112" t="s">
        <v>142</v>
      </c>
      <c r="D104" s="112">
        <v>45796</v>
      </c>
      <c r="E104" s="25" t="s">
        <v>93</v>
      </c>
      <c r="F104" s="112">
        <v>45797</v>
      </c>
      <c r="G104" s="25" t="s">
        <v>157</v>
      </c>
      <c r="H104" s="112">
        <v>45797</v>
      </c>
      <c r="I104" s="25" t="s">
        <v>274</v>
      </c>
      <c r="J104" s="112">
        <v>45798</v>
      </c>
      <c r="K104" s="25" t="s">
        <v>116</v>
      </c>
      <c r="L104" s="112">
        <v>45798</v>
      </c>
      <c r="M104" s="25" t="s">
        <v>102</v>
      </c>
      <c r="N104" s="112">
        <v>45799</v>
      </c>
      <c r="O104" s="25" t="s">
        <v>19</v>
      </c>
      <c r="P104" s="112">
        <v>45799</v>
      </c>
      <c r="Q104" s="25" t="s">
        <v>79</v>
      </c>
      <c r="R104" s="112">
        <v>45796</v>
      </c>
      <c r="S104" s="25" t="s">
        <v>37</v>
      </c>
      <c r="T104" s="112">
        <v>45796</v>
      </c>
      <c r="U104" s="25" t="s">
        <v>91</v>
      </c>
      <c r="V104" s="112">
        <v>45799</v>
      </c>
      <c r="W104" s="25" t="s">
        <v>80</v>
      </c>
      <c r="X104" s="112">
        <v>45799</v>
      </c>
      <c r="Y104" s="25" t="s">
        <v>79</v>
      </c>
      <c r="Z104" s="3"/>
    </row>
    <row r="105" spans="1:26">
      <c r="A105" s="112" t="s">
        <v>276</v>
      </c>
      <c r="B105" s="112">
        <v>45800</v>
      </c>
      <c r="C105" s="112" t="s">
        <v>20</v>
      </c>
      <c r="D105" s="112">
        <v>45800</v>
      </c>
      <c r="E105" s="25" t="s">
        <v>262</v>
      </c>
      <c r="F105" s="112">
        <v>45800</v>
      </c>
      <c r="G105" s="25" t="s">
        <v>85</v>
      </c>
      <c r="H105" s="112">
        <v>45800</v>
      </c>
      <c r="I105" s="25" t="s">
        <v>224</v>
      </c>
      <c r="J105" s="112">
        <v>45801</v>
      </c>
      <c r="K105" s="25" t="s">
        <v>117</v>
      </c>
      <c r="L105" s="112">
        <v>45803</v>
      </c>
      <c r="M105" s="25" t="s">
        <v>184</v>
      </c>
      <c r="N105" s="112">
        <v>45803</v>
      </c>
      <c r="O105" s="25" t="s">
        <v>277</v>
      </c>
      <c r="P105" s="112">
        <v>45803</v>
      </c>
      <c r="Q105" s="25" t="s">
        <v>53</v>
      </c>
      <c r="R105" s="112">
        <v>45800</v>
      </c>
      <c r="S105" s="25" t="s">
        <v>117</v>
      </c>
      <c r="T105" s="112">
        <v>45800</v>
      </c>
      <c r="U105" s="25" t="s">
        <v>194</v>
      </c>
      <c r="V105" s="112">
        <v>45803</v>
      </c>
      <c r="W105" s="25" t="s">
        <v>16</v>
      </c>
      <c r="X105" s="112">
        <v>45803</v>
      </c>
      <c r="Y105" s="25" t="s">
        <v>82</v>
      </c>
      <c r="Z105" s="3"/>
    </row>
    <row r="106" spans="1:26">
      <c r="A106" s="112" t="s">
        <v>278</v>
      </c>
      <c r="B106" s="112">
        <v>45800</v>
      </c>
      <c r="C106" s="112" t="s">
        <v>88</v>
      </c>
      <c r="D106" s="112">
        <v>45800</v>
      </c>
      <c r="E106" s="25" t="s">
        <v>42</v>
      </c>
      <c r="F106" s="112">
        <v>45800</v>
      </c>
      <c r="G106" s="25" t="s">
        <v>94</v>
      </c>
      <c r="H106" s="112">
        <v>45800</v>
      </c>
      <c r="I106" s="25" t="s">
        <v>279</v>
      </c>
      <c r="J106" s="112">
        <v>45803</v>
      </c>
      <c r="K106" s="25" t="s">
        <v>68</v>
      </c>
      <c r="L106" s="112">
        <v>45803</v>
      </c>
      <c r="M106" s="25" t="s">
        <v>39</v>
      </c>
      <c r="N106" s="112">
        <v>45803</v>
      </c>
      <c r="O106" s="25" t="s">
        <v>19</v>
      </c>
      <c r="P106" s="112">
        <v>45803</v>
      </c>
      <c r="Q106" s="25" t="s">
        <v>162</v>
      </c>
      <c r="R106" s="112">
        <v>45800</v>
      </c>
      <c r="S106" s="25" t="s">
        <v>176</v>
      </c>
      <c r="T106" s="112">
        <v>45800</v>
      </c>
      <c r="U106" s="25" t="s">
        <v>94</v>
      </c>
      <c r="V106" s="112">
        <v>45803</v>
      </c>
      <c r="W106" s="25" t="s">
        <v>85</v>
      </c>
      <c r="X106" s="112">
        <v>45803</v>
      </c>
      <c r="Y106" s="25" t="s">
        <v>280</v>
      </c>
      <c r="Z106" s="3"/>
    </row>
    <row r="107" spans="1:26">
      <c r="A107" s="112" t="s">
        <v>281</v>
      </c>
      <c r="B107" s="112">
        <v>45800</v>
      </c>
      <c r="C107" s="112" t="s">
        <v>115</v>
      </c>
      <c r="D107" s="112">
        <v>45800</v>
      </c>
      <c r="E107" s="25" t="s">
        <v>53</v>
      </c>
      <c r="F107" s="112">
        <v>45800</v>
      </c>
      <c r="G107" s="25" t="s">
        <v>282</v>
      </c>
      <c r="H107" s="112">
        <v>45801</v>
      </c>
      <c r="I107" s="25" t="s">
        <v>90</v>
      </c>
      <c r="J107" s="112">
        <v>45804</v>
      </c>
      <c r="K107" s="25" t="s">
        <v>258</v>
      </c>
      <c r="L107" s="112">
        <v>45804</v>
      </c>
      <c r="M107" s="25" t="s">
        <v>277</v>
      </c>
      <c r="N107" s="112">
        <v>45804</v>
      </c>
      <c r="O107" s="25" t="s">
        <v>99</v>
      </c>
      <c r="P107" s="112">
        <v>45804</v>
      </c>
      <c r="Q107" s="25" t="s">
        <v>32</v>
      </c>
      <c r="R107" s="112">
        <v>45800</v>
      </c>
      <c r="S107" s="25" t="s">
        <v>174</v>
      </c>
      <c r="T107" s="112">
        <v>45800</v>
      </c>
      <c r="U107" s="25" t="s">
        <v>241</v>
      </c>
      <c r="V107" s="112">
        <v>45804</v>
      </c>
      <c r="W107" s="25" t="s">
        <v>101</v>
      </c>
      <c r="X107" s="112">
        <v>45804</v>
      </c>
      <c r="Y107" s="25" t="s">
        <v>133</v>
      </c>
      <c r="Z107" s="3"/>
    </row>
    <row r="108" spans="1:26">
      <c r="A108" s="112" t="s">
        <v>283</v>
      </c>
      <c r="B108" s="112">
        <v>45801</v>
      </c>
      <c r="C108" s="112" t="s">
        <v>16</v>
      </c>
      <c r="D108" s="112">
        <v>45801</v>
      </c>
      <c r="E108" s="25" t="s">
        <v>58</v>
      </c>
      <c r="F108" s="112">
        <v>45801</v>
      </c>
      <c r="G108" s="25" t="s">
        <v>163</v>
      </c>
      <c r="H108" s="112">
        <v>45803</v>
      </c>
      <c r="I108" s="25" t="s">
        <v>90</v>
      </c>
      <c r="J108" s="112">
        <v>45804</v>
      </c>
      <c r="K108" s="25" t="s">
        <v>69</v>
      </c>
      <c r="L108" s="112">
        <v>45804</v>
      </c>
      <c r="M108" s="25" t="s">
        <v>64</v>
      </c>
      <c r="N108" s="112">
        <v>45804</v>
      </c>
      <c r="O108" s="25" t="s">
        <v>99</v>
      </c>
      <c r="P108" s="112">
        <v>45804</v>
      </c>
      <c r="Q108" s="25" t="s">
        <v>32</v>
      </c>
      <c r="R108" s="112">
        <v>45801</v>
      </c>
      <c r="S108" s="25" t="s">
        <v>82</v>
      </c>
      <c r="T108" s="112">
        <v>45801</v>
      </c>
      <c r="U108" s="25" t="s">
        <v>47</v>
      </c>
      <c r="V108" s="112">
        <v>45804</v>
      </c>
      <c r="W108" s="25" t="s">
        <v>16</v>
      </c>
      <c r="X108" s="112">
        <v>45804</v>
      </c>
      <c r="Y108" s="25" t="s">
        <v>133</v>
      </c>
      <c r="Z108" s="3"/>
    </row>
    <row r="109" spans="1:26">
      <c r="A109" s="112" t="s">
        <v>284</v>
      </c>
      <c r="B109" s="112">
        <v>45801</v>
      </c>
      <c r="C109" s="112" t="s">
        <v>46</v>
      </c>
      <c r="D109" s="112">
        <v>45801</v>
      </c>
      <c r="E109" s="25" t="s">
        <v>15</v>
      </c>
      <c r="F109" s="112">
        <v>45801</v>
      </c>
      <c r="G109" s="25" t="s">
        <v>285</v>
      </c>
      <c r="H109" s="112">
        <v>45803</v>
      </c>
      <c r="I109" s="25" t="s">
        <v>101</v>
      </c>
      <c r="J109" s="112">
        <v>45804</v>
      </c>
      <c r="K109" s="25" t="s">
        <v>36</v>
      </c>
      <c r="L109" s="112">
        <v>45804</v>
      </c>
      <c r="M109" s="25" t="s">
        <v>77</v>
      </c>
      <c r="N109" s="112">
        <v>45804</v>
      </c>
      <c r="O109" s="25" t="s">
        <v>19</v>
      </c>
      <c r="P109" s="112">
        <v>45804</v>
      </c>
      <c r="Q109" s="25" t="s">
        <v>162</v>
      </c>
      <c r="R109" s="112">
        <v>45801</v>
      </c>
      <c r="S109" s="25" t="s">
        <v>19</v>
      </c>
      <c r="T109" s="112">
        <v>45801</v>
      </c>
      <c r="U109" s="25" t="s">
        <v>286</v>
      </c>
      <c r="V109" s="112">
        <v>45804</v>
      </c>
      <c r="W109" s="25" t="s">
        <v>63</v>
      </c>
      <c r="X109" s="112">
        <v>45804</v>
      </c>
      <c r="Y109" s="25" t="s">
        <v>249</v>
      </c>
      <c r="Z109" s="3"/>
    </row>
    <row r="110" spans="1:26">
      <c r="A110" s="112" t="s">
        <v>287</v>
      </c>
      <c r="B110" s="112">
        <v>45801</v>
      </c>
      <c r="C110" s="112" t="s">
        <v>71</v>
      </c>
      <c r="D110" s="112">
        <v>45801</v>
      </c>
      <c r="E110" s="25" t="s">
        <v>22</v>
      </c>
      <c r="F110" s="112">
        <v>45803</v>
      </c>
      <c r="G110" s="25" t="s">
        <v>18</v>
      </c>
      <c r="H110" s="112">
        <v>45803</v>
      </c>
      <c r="I110" s="25" t="s">
        <v>96</v>
      </c>
      <c r="J110" s="112">
        <v>45804</v>
      </c>
      <c r="K110" s="25" t="s">
        <v>84</v>
      </c>
      <c r="L110" s="112">
        <v>45804</v>
      </c>
      <c r="M110" s="25" t="s">
        <v>40</v>
      </c>
      <c r="N110" s="112">
        <v>45804</v>
      </c>
      <c r="O110" s="25" t="s">
        <v>19</v>
      </c>
      <c r="P110" s="112">
        <v>45804</v>
      </c>
      <c r="Q110" s="25" t="s">
        <v>79</v>
      </c>
      <c r="R110" s="112">
        <v>45801</v>
      </c>
      <c r="S110" s="25" t="s">
        <v>288</v>
      </c>
      <c r="T110" s="112">
        <v>45801</v>
      </c>
      <c r="U110" s="25" t="s">
        <v>289</v>
      </c>
      <c r="V110" s="112">
        <v>45804</v>
      </c>
      <c r="W110" s="25" t="s">
        <v>290</v>
      </c>
      <c r="X110" s="112">
        <v>45804</v>
      </c>
      <c r="Y110" s="25" t="s">
        <v>113</v>
      </c>
      <c r="Z110" s="3"/>
    </row>
    <row r="111" spans="1:26">
      <c r="A111" s="112" t="s">
        <v>291</v>
      </c>
      <c r="B111" s="112">
        <v>45803</v>
      </c>
      <c r="C111" s="112" t="s">
        <v>16</v>
      </c>
      <c r="D111" s="112">
        <v>45803</v>
      </c>
      <c r="E111" s="25" t="s">
        <v>58</v>
      </c>
      <c r="F111" s="112">
        <v>45803</v>
      </c>
      <c r="G111" s="25" t="s">
        <v>162</v>
      </c>
      <c r="H111" s="112">
        <v>45804</v>
      </c>
      <c r="I111" s="25" t="s">
        <v>260</v>
      </c>
      <c r="J111" s="112">
        <v>45804</v>
      </c>
      <c r="K111" s="25" t="s">
        <v>106</v>
      </c>
      <c r="L111" s="112">
        <v>45804</v>
      </c>
      <c r="M111" s="25" t="s">
        <v>125</v>
      </c>
      <c r="N111" s="112">
        <v>45805</v>
      </c>
      <c r="O111" s="25" t="s">
        <v>99</v>
      </c>
      <c r="P111" s="112">
        <v>45805</v>
      </c>
      <c r="Q111" s="25" t="s">
        <v>32</v>
      </c>
      <c r="R111" s="112">
        <v>45803</v>
      </c>
      <c r="S111" s="25" t="s">
        <v>54</v>
      </c>
      <c r="T111" s="112">
        <v>45803</v>
      </c>
      <c r="U111" s="25" t="s">
        <v>202</v>
      </c>
      <c r="V111" s="112">
        <v>45805</v>
      </c>
      <c r="W111" s="25" t="s">
        <v>16</v>
      </c>
      <c r="X111" s="112">
        <v>45805</v>
      </c>
      <c r="Y111" s="25" t="s">
        <v>133</v>
      </c>
      <c r="Z111" s="3"/>
    </row>
    <row r="112" spans="1:26">
      <c r="A112" s="112" t="s">
        <v>292</v>
      </c>
      <c r="B112" s="112">
        <v>45803</v>
      </c>
      <c r="C112" s="112" t="s">
        <v>46</v>
      </c>
      <c r="D112" s="112">
        <v>45803</v>
      </c>
      <c r="E112" s="25" t="s">
        <v>15</v>
      </c>
      <c r="F112" s="112">
        <v>45804</v>
      </c>
      <c r="G112" s="25" t="s">
        <v>26</v>
      </c>
      <c r="H112" s="112">
        <v>45804</v>
      </c>
      <c r="I112" s="25" t="s">
        <v>115</v>
      </c>
      <c r="J112" s="112">
        <v>45805</v>
      </c>
      <c r="K112" s="25" t="s">
        <v>84</v>
      </c>
      <c r="L112" s="112">
        <v>45805</v>
      </c>
      <c r="M112" s="25" t="s">
        <v>40</v>
      </c>
      <c r="N112" s="112">
        <v>45805</v>
      </c>
      <c r="O112" s="25" t="s">
        <v>19</v>
      </c>
      <c r="P112" s="112">
        <v>45805</v>
      </c>
      <c r="Q112" s="25" t="s">
        <v>79</v>
      </c>
      <c r="R112" s="112">
        <v>45803</v>
      </c>
      <c r="S112" s="25" t="s">
        <v>85</v>
      </c>
      <c r="T112" s="112">
        <v>45803</v>
      </c>
      <c r="U112" s="25" t="s">
        <v>250</v>
      </c>
      <c r="V112" s="112">
        <v>45805</v>
      </c>
      <c r="W112" s="25" t="s">
        <v>80</v>
      </c>
      <c r="X112" s="112">
        <v>45805</v>
      </c>
      <c r="Y112" s="25" t="s">
        <v>40</v>
      </c>
      <c r="Z112" s="3"/>
    </row>
    <row r="113" spans="1:26">
      <c r="A113" s="112" t="s">
        <v>293</v>
      </c>
      <c r="B113" s="112">
        <v>45803</v>
      </c>
      <c r="C113" s="112" t="s">
        <v>71</v>
      </c>
      <c r="D113" s="112">
        <v>45803</v>
      </c>
      <c r="E113" s="25" t="s">
        <v>22</v>
      </c>
      <c r="F113" s="112">
        <v>45804</v>
      </c>
      <c r="G113" s="25" t="s">
        <v>98</v>
      </c>
      <c r="H113" s="112">
        <v>45804</v>
      </c>
      <c r="I113" s="25" t="s">
        <v>168</v>
      </c>
      <c r="J113" s="112">
        <v>45805</v>
      </c>
      <c r="K113" s="25" t="s">
        <v>294</v>
      </c>
      <c r="L113" s="112">
        <v>45805</v>
      </c>
      <c r="M113" s="25" t="s">
        <v>194</v>
      </c>
      <c r="N113" s="112">
        <v>45807</v>
      </c>
      <c r="O113" s="25" t="s">
        <v>277</v>
      </c>
      <c r="P113" s="112">
        <v>45807</v>
      </c>
      <c r="Q113" s="25" t="s">
        <v>12</v>
      </c>
      <c r="R113" s="112">
        <v>45803</v>
      </c>
      <c r="S113" s="25" t="s">
        <v>204</v>
      </c>
      <c r="T113" s="112">
        <v>45803</v>
      </c>
      <c r="U113" s="25" t="s">
        <v>295</v>
      </c>
      <c r="V113" s="112">
        <v>45807</v>
      </c>
      <c r="W113" s="25" t="s">
        <v>16</v>
      </c>
      <c r="X113" s="112">
        <v>45807</v>
      </c>
      <c r="Y113" s="25" t="s">
        <v>85</v>
      </c>
      <c r="Z113" s="3"/>
    </row>
    <row r="114" spans="1:26">
      <c r="A114" s="112" t="s">
        <v>296</v>
      </c>
      <c r="B114" s="112">
        <v>45804</v>
      </c>
      <c r="C114" s="112" t="s">
        <v>170</v>
      </c>
      <c r="D114" s="112">
        <v>45804</v>
      </c>
      <c r="E114" s="25" t="s">
        <v>91</v>
      </c>
      <c r="F114" s="112">
        <v>45804</v>
      </c>
      <c r="G114" s="25" t="s">
        <v>282</v>
      </c>
      <c r="H114" s="112">
        <v>45805</v>
      </c>
      <c r="I114" s="25" t="s">
        <v>90</v>
      </c>
      <c r="J114" s="112">
        <v>45805</v>
      </c>
      <c r="K114" s="25" t="s">
        <v>176</v>
      </c>
      <c r="L114" s="112">
        <v>45807</v>
      </c>
      <c r="M114" s="25" t="s">
        <v>86</v>
      </c>
      <c r="N114" s="112">
        <v>45807</v>
      </c>
      <c r="O114" s="25" t="s">
        <v>63</v>
      </c>
      <c r="P114" s="112">
        <v>45807</v>
      </c>
      <c r="Q114" s="25" t="s">
        <v>168</v>
      </c>
      <c r="R114" s="112">
        <v>45804</v>
      </c>
      <c r="S114" s="25" t="s">
        <v>18</v>
      </c>
      <c r="T114" s="112">
        <v>45804</v>
      </c>
      <c r="U114" s="25" t="s">
        <v>46</v>
      </c>
      <c r="V114" s="112">
        <v>45807</v>
      </c>
      <c r="W114" s="25" t="s">
        <v>204</v>
      </c>
      <c r="X114" s="112">
        <v>45807</v>
      </c>
      <c r="Y114" s="25" t="s">
        <v>297</v>
      </c>
      <c r="Z114" s="3"/>
    </row>
    <row r="115" spans="1:26">
      <c r="A115" s="112" t="s">
        <v>298</v>
      </c>
      <c r="B115" s="112">
        <v>45807</v>
      </c>
      <c r="C115" s="112" t="s">
        <v>33</v>
      </c>
      <c r="D115" s="112">
        <v>45807</v>
      </c>
      <c r="E115" s="25" t="s">
        <v>36</v>
      </c>
      <c r="F115" s="112">
        <v>45807</v>
      </c>
      <c r="G115" s="25" t="s">
        <v>176</v>
      </c>
      <c r="H115" s="112">
        <v>45808</v>
      </c>
      <c r="I115" s="25" t="s">
        <v>145</v>
      </c>
      <c r="J115" s="112">
        <v>45808</v>
      </c>
      <c r="K115" s="25" t="s">
        <v>80</v>
      </c>
      <c r="L115" s="112">
        <v>45808</v>
      </c>
      <c r="M115" s="25" t="s">
        <v>37</v>
      </c>
      <c r="N115" s="112">
        <v>45810</v>
      </c>
      <c r="O115" s="25" t="s">
        <v>186</v>
      </c>
      <c r="P115" s="112">
        <v>45810</v>
      </c>
      <c r="Q115" s="25" t="s">
        <v>142</v>
      </c>
      <c r="R115" s="112">
        <v>45807</v>
      </c>
      <c r="S115" s="25" t="s">
        <v>74</v>
      </c>
      <c r="T115" s="112">
        <v>45807</v>
      </c>
      <c r="U115" s="25" t="s">
        <v>39</v>
      </c>
      <c r="V115" s="112">
        <v>45810</v>
      </c>
      <c r="W115" s="25" t="s">
        <v>33</v>
      </c>
      <c r="X115" s="112">
        <v>45810</v>
      </c>
      <c r="Y115" s="25" t="s">
        <v>80</v>
      </c>
      <c r="Z115" s="3"/>
    </row>
    <row r="116" spans="1:26">
      <c r="A116" s="112" t="s">
        <v>299</v>
      </c>
      <c r="B116" s="112">
        <v>45807</v>
      </c>
      <c r="C116" s="112" t="s">
        <v>57</v>
      </c>
      <c r="D116" s="112">
        <v>45807</v>
      </c>
      <c r="E116" s="25" t="s">
        <v>31</v>
      </c>
      <c r="F116" s="112">
        <v>45808</v>
      </c>
      <c r="G116" s="25" t="s">
        <v>71</v>
      </c>
      <c r="H116" s="112">
        <v>45810</v>
      </c>
      <c r="I116" s="25" t="s">
        <v>90</v>
      </c>
      <c r="J116" s="112">
        <v>45808</v>
      </c>
      <c r="K116" s="25" t="s">
        <v>163</v>
      </c>
      <c r="L116" s="112">
        <v>45810</v>
      </c>
      <c r="M116" s="25" t="s">
        <v>71</v>
      </c>
      <c r="N116" s="112">
        <v>45810</v>
      </c>
      <c r="O116" s="25" t="s">
        <v>19</v>
      </c>
      <c r="P116" s="112">
        <v>45810</v>
      </c>
      <c r="Q116" s="25" t="s">
        <v>79</v>
      </c>
      <c r="R116" s="112">
        <v>45807</v>
      </c>
      <c r="S116" s="25" t="s">
        <v>17</v>
      </c>
      <c r="T116" s="112">
        <v>45807</v>
      </c>
      <c r="U116" s="25" t="s">
        <v>139</v>
      </c>
      <c r="V116" s="112">
        <v>45810</v>
      </c>
      <c r="W116" s="25" t="s">
        <v>40</v>
      </c>
      <c r="X116" s="112">
        <v>45810</v>
      </c>
      <c r="Y116" s="25" t="s">
        <v>168</v>
      </c>
      <c r="Z116" s="3"/>
    </row>
    <row r="117" spans="1:26">
      <c r="A117" s="112" t="s">
        <v>300</v>
      </c>
      <c r="B117" s="112">
        <v>45808</v>
      </c>
      <c r="C117" s="112" t="s">
        <v>74</v>
      </c>
      <c r="D117" s="112">
        <v>45808</v>
      </c>
      <c r="E117" s="25" t="s">
        <v>17</v>
      </c>
      <c r="F117" s="112">
        <v>45810</v>
      </c>
      <c r="G117" s="25" t="s">
        <v>18</v>
      </c>
      <c r="H117" s="112">
        <v>45810</v>
      </c>
      <c r="I117" s="25" t="s">
        <v>37</v>
      </c>
      <c r="J117" s="112">
        <v>45811</v>
      </c>
      <c r="K117" s="25" t="s">
        <v>69</v>
      </c>
      <c r="L117" s="112">
        <v>45811</v>
      </c>
      <c r="M117" s="25" t="s">
        <v>145</v>
      </c>
      <c r="N117" s="112">
        <v>45811</v>
      </c>
      <c r="O117" s="25" t="s">
        <v>184</v>
      </c>
      <c r="P117" s="112">
        <v>45811</v>
      </c>
      <c r="Q117" s="25" t="s">
        <v>142</v>
      </c>
      <c r="R117" s="112">
        <v>45808</v>
      </c>
      <c r="S117" s="25" t="s">
        <v>18</v>
      </c>
      <c r="T117" s="112">
        <v>45808</v>
      </c>
      <c r="U117" s="25" t="s">
        <v>301</v>
      </c>
      <c r="V117" s="112">
        <v>45811</v>
      </c>
      <c r="W117" s="25" t="s">
        <v>145</v>
      </c>
      <c r="X117" s="112">
        <v>45811</v>
      </c>
      <c r="Y117" s="25" t="s">
        <v>19</v>
      </c>
      <c r="Z117" s="3"/>
    </row>
    <row r="118" spans="1:26">
      <c r="A118" s="112" t="s">
        <v>302</v>
      </c>
      <c r="B118" s="112">
        <v>45808</v>
      </c>
      <c r="C118" s="112" t="s">
        <v>57</v>
      </c>
      <c r="D118" s="112">
        <v>45808</v>
      </c>
      <c r="E118" s="25" t="s">
        <v>31</v>
      </c>
      <c r="F118" s="112">
        <v>45810</v>
      </c>
      <c r="G118" s="25" t="s">
        <v>20</v>
      </c>
      <c r="H118" s="112">
        <v>45811</v>
      </c>
      <c r="I118" s="25" t="s">
        <v>156</v>
      </c>
      <c r="J118" s="112">
        <v>45811</v>
      </c>
      <c r="K118" s="25" t="s">
        <v>47</v>
      </c>
      <c r="L118" s="112">
        <v>45811</v>
      </c>
      <c r="M118" s="25" t="s">
        <v>149</v>
      </c>
      <c r="N118" s="112">
        <v>45811</v>
      </c>
      <c r="O118" s="25" t="s">
        <v>19</v>
      </c>
      <c r="P118" s="112">
        <v>45811</v>
      </c>
      <c r="Q118" s="25" t="s">
        <v>79</v>
      </c>
      <c r="R118" s="112">
        <v>45808</v>
      </c>
      <c r="S118" s="25" t="s">
        <v>303</v>
      </c>
      <c r="T118" s="112">
        <v>45808</v>
      </c>
      <c r="U118" s="25" t="s">
        <v>33</v>
      </c>
      <c r="V118" s="112">
        <v>45811</v>
      </c>
      <c r="W118" s="25" t="s">
        <v>40</v>
      </c>
      <c r="X118" s="112">
        <v>45811</v>
      </c>
      <c r="Y118" s="25" t="s">
        <v>113</v>
      </c>
      <c r="Z118" s="3"/>
    </row>
    <row r="119" spans="1:26">
      <c r="A119" s="112" t="s">
        <v>304</v>
      </c>
      <c r="B119" s="112">
        <v>45808</v>
      </c>
      <c r="C119" s="112" t="s">
        <v>193</v>
      </c>
      <c r="D119" s="112">
        <v>45808</v>
      </c>
      <c r="E119" s="25" t="s">
        <v>75</v>
      </c>
      <c r="F119" s="112">
        <v>45810</v>
      </c>
      <c r="G119" s="25" t="s">
        <v>96</v>
      </c>
      <c r="H119" s="112">
        <v>45811</v>
      </c>
      <c r="I119" s="25" t="s">
        <v>71</v>
      </c>
      <c r="J119" s="112">
        <v>45812</v>
      </c>
      <c r="K119" s="25" t="s">
        <v>69</v>
      </c>
      <c r="L119" s="112">
        <v>45812</v>
      </c>
      <c r="M119" s="25" t="s">
        <v>64</v>
      </c>
      <c r="N119" s="112">
        <v>45812</v>
      </c>
      <c r="O119" s="25" t="s">
        <v>184</v>
      </c>
      <c r="P119" s="112">
        <v>45812</v>
      </c>
      <c r="Q119" s="25" t="s">
        <v>142</v>
      </c>
      <c r="R119" s="112">
        <v>45808</v>
      </c>
      <c r="S119" s="25" t="s">
        <v>39</v>
      </c>
      <c r="T119" s="112">
        <v>45808</v>
      </c>
      <c r="U119" s="25" t="s">
        <v>57</v>
      </c>
      <c r="V119" s="112">
        <v>45812</v>
      </c>
      <c r="W119" s="25" t="s">
        <v>109</v>
      </c>
      <c r="X119" s="112">
        <v>45812</v>
      </c>
      <c r="Y119" s="25" t="s">
        <v>77</v>
      </c>
      <c r="Z119" s="3"/>
    </row>
    <row r="120" s="31" customFormat="1" spans="1:16">
      <c r="A120" s="30"/>
      <c r="P120" s="222"/>
    </row>
    <row r="121" spans="1:26">
      <c r="A121" s="112" t="s">
        <v>305</v>
      </c>
      <c r="B121" s="112">
        <v>45810</v>
      </c>
      <c r="C121" s="112" t="s">
        <v>173</v>
      </c>
      <c r="D121" s="112">
        <v>45810</v>
      </c>
      <c r="E121" s="25" t="s">
        <v>176</v>
      </c>
      <c r="F121" s="112">
        <v>45811</v>
      </c>
      <c r="G121" s="25" t="s">
        <v>57</v>
      </c>
      <c r="H121" s="112">
        <v>45811</v>
      </c>
      <c r="I121" s="25" t="s">
        <v>96</v>
      </c>
      <c r="J121" s="112">
        <v>45812</v>
      </c>
      <c r="K121" s="25" t="s">
        <v>84</v>
      </c>
      <c r="L121" s="112">
        <v>45812</v>
      </c>
      <c r="M121" s="25" t="s">
        <v>247</v>
      </c>
      <c r="N121" s="112">
        <v>45812</v>
      </c>
      <c r="O121" s="25" t="s">
        <v>19</v>
      </c>
      <c r="P121" s="112">
        <v>45812</v>
      </c>
      <c r="Q121" s="25" t="s">
        <v>162</v>
      </c>
      <c r="R121" s="112">
        <v>45811</v>
      </c>
      <c r="S121" s="25" t="s">
        <v>87</v>
      </c>
      <c r="T121" s="112">
        <v>45811</v>
      </c>
      <c r="U121" s="25" t="s">
        <v>306</v>
      </c>
      <c r="V121" s="112">
        <v>45812</v>
      </c>
      <c r="W121" s="25" t="s">
        <v>80</v>
      </c>
      <c r="X121" s="112">
        <v>45812</v>
      </c>
      <c r="Y121" s="25" t="s">
        <v>79</v>
      </c>
      <c r="Z121" s="3"/>
    </row>
    <row r="122" spans="1:26">
      <c r="A122" s="112" t="s">
        <v>307</v>
      </c>
      <c r="B122" s="112">
        <v>45810</v>
      </c>
      <c r="C122" s="112" t="s">
        <v>180</v>
      </c>
      <c r="D122" s="112">
        <v>45810</v>
      </c>
      <c r="E122" s="25" t="s">
        <v>308</v>
      </c>
      <c r="F122" s="112">
        <v>45811</v>
      </c>
      <c r="G122" s="25" t="s">
        <v>98</v>
      </c>
      <c r="H122" s="112">
        <v>45812</v>
      </c>
      <c r="I122" s="25" t="s">
        <v>309</v>
      </c>
      <c r="J122" s="112">
        <v>45812</v>
      </c>
      <c r="K122" s="25" t="s">
        <v>157</v>
      </c>
      <c r="L122" s="112">
        <v>45812</v>
      </c>
      <c r="M122" s="25" t="s">
        <v>162</v>
      </c>
      <c r="N122" s="112">
        <v>45813</v>
      </c>
      <c r="O122" s="25" t="s">
        <v>99</v>
      </c>
      <c r="P122" s="112">
        <v>45813</v>
      </c>
      <c r="Q122" s="25" t="s">
        <v>57</v>
      </c>
      <c r="R122" s="112">
        <v>45811</v>
      </c>
      <c r="S122" s="25" t="s">
        <v>310</v>
      </c>
      <c r="T122" s="112">
        <v>45811</v>
      </c>
      <c r="U122" s="25" t="s">
        <v>82</v>
      </c>
      <c r="V122" s="112">
        <v>45813</v>
      </c>
      <c r="W122" s="25" t="s">
        <v>15</v>
      </c>
      <c r="X122" s="112">
        <v>45813</v>
      </c>
      <c r="Y122" s="25" t="s">
        <v>32</v>
      </c>
      <c r="Z122" s="3"/>
    </row>
    <row r="123" spans="1:26">
      <c r="A123" s="112" t="s">
        <v>311</v>
      </c>
      <c r="B123" s="112">
        <v>45810</v>
      </c>
      <c r="C123" s="112" t="s">
        <v>125</v>
      </c>
      <c r="D123" s="112">
        <v>45810</v>
      </c>
      <c r="E123" s="25" t="s">
        <v>274</v>
      </c>
      <c r="F123" s="112">
        <v>45812</v>
      </c>
      <c r="G123" s="25" t="s">
        <v>18</v>
      </c>
      <c r="H123" s="112">
        <v>45812</v>
      </c>
      <c r="I123" s="25" t="s">
        <v>63</v>
      </c>
      <c r="J123" s="112">
        <v>45813</v>
      </c>
      <c r="K123" s="25" t="s">
        <v>193</v>
      </c>
      <c r="L123" s="112">
        <v>45813</v>
      </c>
      <c r="M123" s="25" t="s">
        <v>116</v>
      </c>
      <c r="N123" s="112">
        <v>45813</v>
      </c>
      <c r="O123" s="25" t="s">
        <v>88</v>
      </c>
      <c r="P123" s="112">
        <v>45813</v>
      </c>
      <c r="Q123" s="25" t="s">
        <v>79</v>
      </c>
      <c r="R123" s="112">
        <v>45811</v>
      </c>
      <c r="S123" s="25" t="s">
        <v>112</v>
      </c>
      <c r="T123" s="112">
        <v>45811</v>
      </c>
      <c r="U123" s="25" t="s">
        <v>19</v>
      </c>
      <c r="V123" s="112">
        <v>45813</v>
      </c>
      <c r="W123" s="25" t="s">
        <v>80</v>
      </c>
      <c r="X123" s="112">
        <v>45813</v>
      </c>
      <c r="Y123" s="25" t="s">
        <v>113</v>
      </c>
      <c r="Z123" s="3"/>
    </row>
    <row r="124" spans="1:26">
      <c r="A124" s="112" t="s">
        <v>312</v>
      </c>
      <c r="B124" s="112">
        <v>45813</v>
      </c>
      <c r="C124" s="112" t="s">
        <v>74</v>
      </c>
      <c r="D124" s="112">
        <v>45813</v>
      </c>
      <c r="E124" s="25" t="s">
        <v>17</v>
      </c>
      <c r="F124" s="112" t="s">
        <v>313</v>
      </c>
      <c r="G124" s="25" t="s">
        <v>31</v>
      </c>
      <c r="H124" s="112">
        <v>45817</v>
      </c>
      <c r="I124" s="25" t="s">
        <v>71</v>
      </c>
      <c r="J124" s="112">
        <v>45817</v>
      </c>
      <c r="K124" s="25" t="s">
        <v>132</v>
      </c>
      <c r="L124" s="112">
        <v>45817</v>
      </c>
      <c r="M124" s="25" t="s">
        <v>19</v>
      </c>
      <c r="N124" s="112">
        <v>45818</v>
      </c>
      <c r="O124" s="25" t="s">
        <v>99</v>
      </c>
      <c r="P124" s="112">
        <v>45818</v>
      </c>
      <c r="Q124" s="25" t="s">
        <v>32</v>
      </c>
      <c r="R124" s="112">
        <v>45817</v>
      </c>
      <c r="S124" s="25" t="s">
        <v>139</v>
      </c>
      <c r="T124" s="112">
        <v>45817</v>
      </c>
      <c r="U124" s="25" t="s">
        <v>132</v>
      </c>
      <c r="V124" s="112">
        <v>45818</v>
      </c>
      <c r="W124" s="25" t="s">
        <v>101</v>
      </c>
      <c r="X124" s="112">
        <v>45818</v>
      </c>
      <c r="Y124" s="25" t="s">
        <v>53</v>
      </c>
      <c r="Z124" s="3"/>
    </row>
    <row r="125" spans="1:26">
      <c r="A125" s="112" t="s">
        <v>314</v>
      </c>
      <c r="B125" s="112">
        <v>45813</v>
      </c>
      <c r="C125" s="112" t="s">
        <v>36</v>
      </c>
      <c r="D125" s="112">
        <v>45813</v>
      </c>
      <c r="E125" s="25" t="s">
        <v>21</v>
      </c>
      <c r="F125" s="112">
        <v>45815</v>
      </c>
      <c r="G125" s="25" t="s">
        <v>202</v>
      </c>
      <c r="H125" s="112">
        <v>45817</v>
      </c>
      <c r="I125" s="25" t="s">
        <v>32</v>
      </c>
      <c r="J125" s="112">
        <v>45817</v>
      </c>
      <c r="K125" s="25" t="s">
        <v>13</v>
      </c>
      <c r="L125" s="112">
        <v>45817</v>
      </c>
      <c r="M125" s="25" t="s">
        <v>96</v>
      </c>
      <c r="N125" s="112">
        <v>45818</v>
      </c>
      <c r="O125" s="25" t="s">
        <v>99</v>
      </c>
      <c r="P125" s="112">
        <v>45818</v>
      </c>
      <c r="Q125" s="25" t="s">
        <v>57</v>
      </c>
      <c r="R125" s="112">
        <v>45817</v>
      </c>
      <c r="S125" s="25" t="s">
        <v>45</v>
      </c>
      <c r="T125" s="112">
        <v>45817</v>
      </c>
      <c r="U125" s="25" t="s">
        <v>93</v>
      </c>
      <c r="V125" s="112">
        <v>45818</v>
      </c>
      <c r="W125" s="25" t="s">
        <v>75</v>
      </c>
      <c r="X125" s="112">
        <v>45818</v>
      </c>
      <c r="Y125" s="25" t="s">
        <v>63</v>
      </c>
      <c r="Z125" s="3"/>
    </row>
    <row r="126" spans="1:26">
      <c r="A126" s="112" t="s">
        <v>315</v>
      </c>
      <c r="B126" s="112">
        <v>45813</v>
      </c>
      <c r="C126" s="112" t="s">
        <v>31</v>
      </c>
      <c r="D126" s="112">
        <v>45813</v>
      </c>
      <c r="E126" s="25" t="s">
        <v>32</v>
      </c>
      <c r="F126" s="112">
        <v>45817</v>
      </c>
      <c r="G126" s="25" t="s">
        <v>98</v>
      </c>
      <c r="H126" s="112">
        <v>45818</v>
      </c>
      <c r="I126" s="25" t="s">
        <v>16</v>
      </c>
      <c r="J126" s="112">
        <v>45818</v>
      </c>
      <c r="K126" s="25" t="s">
        <v>38</v>
      </c>
      <c r="L126" s="112">
        <v>45818</v>
      </c>
      <c r="M126" s="25" t="s">
        <v>29</v>
      </c>
      <c r="N126" s="112">
        <v>45819</v>
      </c>
      <c r="O126" s="25" t="s">
        <v>99</v>
      </c>
      <c r="P126" s="112">
        <v>45819</v>
      </c>
      <c r="Q126" s="25" t="s">
        <v>32</v>
      </c>
      <c r="R126" s="112">
        <v>45817</v>
      </c>
      <c r="S126" s="25" t="s">
        <v>78</v>
      </c>
      <c r="T126" s="112">
        <v>45817</v>
      </c>
      <c r="U126" s="25" t="s">
        <v>47</v>
      </c>
      <c r="V126" s="112">
        <v>45819</v>
      </c>
      <c r="W126" s="25" t="s">
        <v>101</v>
      </c>
      <c r="X126" s="112">
        <v>45819</v>
      </c>
      <c r="Y126" s="25" t="s">
        <v>53</v>
      </c>
      <c r="Z126" s="3"/>
    </row>
    <row r="127" spans="1:26">
      <c r="A127" s="112" t="s">
        <v>316</v>
      </c>
      <c r="B127" s="112">
        <v>45815</v>
      </c>
      <c r="C127" s="112" t="s">
        <v>317</v>
      </c>
      <c r="D127" s="112">
        <v>45815</v>
      </c>
      <c r="E127" s="25" t="s">
        <v>70</v>
      </c>
      <c r="F127" s="112">
        <v>45817</v>
      </c>
      <c r="G127" s="25" t="s">
        <v>22</v>
      </c>
      <c r="H127" s="112">
        <v>45818</v>
      </c>
      <c r="I127" s="25" t="s">
        <v>71</v>
      </c>
      <c r="J127" s="112">
        <v>45818</v>
      </c>
      <c r="K127" s="25" t="s">
        <v>75</v>
      </c>
      <c r="L127" s="112">
        <v>45818</v>
      </c>
      <c r="M127" s="25" t="s">
        <v>82</v>
      </c>
      <c r="N127" s="112">
        <v>45819</v>
      </c>
      <c r="O127" s="25" t="s">
        <v>99</v>
      </c>
      <c r="P127" s="112">
        <v>45819</v>
      </c>
      <c r="Q127" s="25" t="s">
        <v>57</v>
      </c>
      <c r="R127" s="112">
        <v>45817</v>
      </c>
      <c r="S127" s="25" t="s">
        <v>85</v>
      </c>
      <c r="T127" s="112">
        <v>45817</v>
      </c>
      <c r="U127" s="25" t="s">
        <v>295</v>
      </c>
      <c r="V127" s="112">
        <v>45819</v>
      </c>
      <c r="W127" s="25" t="s">
        <v>60</v>
      </c>
      <c r="X127" s="112">
        <v>45819</v>
      </c>
      <c r="Y127" s="25" t="s">
        <v>63</v>
      </c>
      <c r="Z127" s="3"/>
    </row>
    <row r="128" spans="1:26">
      <c r="A128" s="112" t="s">
        <v>318</v>
      </c>
      <c r="B128" s="112">
        <v>45815</v>
      </c>
      <c r="C128" s="112" t="s">
        <v>28</v>
      </c>
      <c r="D128" s="112">
        <v>45815</v>
      </c>
      <c r="E128" s="25" t="s">
        <v>60</v>
      </c>
      <c r="F128" s="112">
        <v>45818</v>
      </c>
      <c r="G128" s="25" t="s">
        <v>14</v>
      </c>
      <c r="H128" s="112">
        <v>45818</v>
      </c>
      <c r="I128" s="25" t="s">
        <v>39</v>
      </c>
      <c r="J128" s="112">
        <v>45818</v>
      </c>
      <c r="K128" s="25" t="s">
        <v>78</v>
      </c>
      <c r="L128" s="112">
        <v>45818</v>
      </c>
      <c r="M128" s="25" t="s">
        <v>37</v>
      </c>
      <c r="N128" s="112">
        <v>45819</v>
      </c>
      <c r="O128" s="25" t="s">
        <v>18</v>
      </c>
      <c r="P128" s="112">
        <v>45819</v>
      </c>
      <c r="Q128" s="25" t="s">
        <v>37</v>
      </c>
      <c r="R128" s="112">
        <v>45818</v>
      </c>
      <c r="S128" s="25" t="s">
        <v>91</v>
      </c>
      <c r="T128" s="112">
        <v>45818</v>
      </c>
      <c r="U128" s="25" t="s">
        <v>105</v>
      </c>
      <c r="V128" s="112">
        <v>45820</v>
      </c>
      <c r="W128" s="25" t="s">
        <v>101</v>
      </c>
      <c r="X128" s="112">
        <v>45820</v>
      </c>
      <c r="Y128" s="25" t="s">
        <v>109</v>
      </c>
      <c r="Z128" s="3"/>
    </row>
    <row r="129" spans="1:26">
      <c r="A129" s="112" t="s">
        <v>319</v>
      </c>
      <c r="B129" s="112">
        <v>45817</v>
      </c>
      <c r="C129" s="112" t="s">
        <v>320</v>
      </c>
      <c r="D129" s="112">
        <v>45817</v>
      </c>
      <c r="E129" s="25" t="s">
        <v>317</v>
      </c>
      <c r="F129" s="112">
        <v>45818</v>
      </c>
      <c r="G129" s="25" t="s">
        <v>46</v>
      </c>
      <c r="H129" s="112">
        <v>45818</v>
      </c>
      <c r="I129" s="25" t="s">
        <v>142</v>
      </c>
      <c r="J129" s="112">
        <v>45819</v>
      </c>
      <c r="K129" s="25" t="s">
        <v>16</v>
      </c>
      <c r="L129" s="112">
        <v>45819</v>
      </c>
      <c r="M129" s="25" t="s">
        <v>39</v>
      </c>
      <c r="N129" s="112">
        <v>45820</v>
      </c>
      <c r="O129" s="25" t="s">
        <v>18</v>
      </c>
      <c r="P129" s="112">
        <v>45820</v>
      </c>
      <c r="Q129" s="25" t="s">
        <v>37</v>
      </c>
      <c r="R129" s="112">
        <v>45819</v>
      </c>
      <c r="S129" s="25" t="s">
        <v>64</v>
      </c>
      <c r="T129" s="112">
        <v>45819</v>
      </c>
      <c r="U129" s="25" t="s">
        <v>46</v>
      </c>
      <c r="V129" s="112">
        <v>45820</v>
      </c>
      <c r="W129" s="25" t="s">
        <v>22</v>
      </c>
      <c r="X129" s="112">
        <v>45820</v>
      </c>
      <c r="Y129" s="25" t="s">
        <v>40</v>
      </c>
      <c r="Z129" s="3"/>
    </row>
    <row r="130" spans="1:26">
      <c r="A130" s="112" t="s">
        <v>321</v>
      </c>
      <c r="B130" s="112">
        <v>45817</v>
      </c>
      <c r="C130" s="112" t="s">
        <v>186</v>
      </c>
      <c r="D130" s="112">
        <v>45817</v>
      </c>
      <c r="E130" s="25" t="s">
        <v>187</v>
      </c>
      <c r="F130" s="112">
        <v>45818</v>
      </c>
      <c r="G130" s="25" t="s">
        <v>22</v>
      </c>
      <c r="H130" s="112">
        <v>45819</v>
      </c>
      <c r="I130" s="25" t="s">
        <v>31</v>
      </c>
      <c r="J130" s="112">
        <v>45820</v>
      </c>
      <c r="K130" s="25" t="s">
        <v>16</v>
      </c>
      <c r="L130" s="112">
        <v>45820</v>
      </c>
      <c r="M130" s="25" t="s">
        <v>39</v>
      </c>
      <c r="N130" s="112">
        <v>45820</v>
      </c>
      <c r="O130" s="25" t="s">
        <v>18</v>
      </c>
      <c r="P130" s="112">
        <v>45820</v>
      </c>
      <c r="Q130" s="25" t="s">
        <v>37</v>
      </c>
      <c r="R130" s="112">
        <v>45819</v>
      </c>
      <c r="S130" s="25" t="s">
        <v>145</v>
      </c>
      <c r="T130" s="112">
        <v>45819</v>
      </c>
      <c r="U130" s="25" t="s">
        <v>147</v>
      </c>
      <c r="V130" s="112">
        <v>45820</v>
      </c>
      <c r="W130" s="25" t="s">
        <v>96</v>
      </c>
      <c r="X130" s="112">
        <v>45821</v>
      </c>
      <c r="Y130" s="25" t="s">
        <v>147</v>
      </c>
      <c r="Z130" s="3"/>
    </row>
    <row r="131" spans="1:26">
      <c r="A131" s="112" t="s">
        <v>322</v>
      </c>
      <c r="B131" s="112">
        <v>45817</v>
      </c>
      <c r="C131" s="112" t="s">
        <v>48</v>
      </c>
      <c r="D131" s="112">
        <v>45817</v>
      </c>
      <c r="E131" s="25" t="s">
        <v>109</v>
      </c>
      <c r="F131" s="112">
        <v>45819</v>
      </c>
      <c r="G131" s="25" t="s">
        <v>26</v>
      </c>
      <c r="H131" s="112">
        <v>45819</v>
      </c>
      <c r="I131" s="25" t="s">
        <v>27</v>
      </c>
      <c r="J131" s="112">
        <v>45820</v>
      </c>
      <c r="K131" s="25" t="s">
        <v>29</v>
      </c>
      <c r="L131" s="112">
        <v>45820</v>
      </c>
      <c r="M131" s="25" t="s">
        <v>63</v>
      </c>
      <c r="N131" s="112">
        <v>45821</v>
      </c>
      <c r="O131" s="25" t="s">
        <v>18</v>
      </c>
      <c r="P131" s="112">
        <v>45821</v>
      </c>
      <c r="Q131" s="25" t="s">
        <v>37</v>
      </c>
      <c r="R131" s="112">
        <v>45819</v>
      </c>
      <c r="S131" s="25" t="s">
        <v>30</v>
      </c>
      <c r="T131" s="112">
        <v>45819</v>
      </c>
      <c r="U131" s="25" t="s">
        <v>74</v>
      </c>
      <c r="V131" s="112">
        <v>45821</v>
      </c>
      <c r="W131" s="25" t="s">
        <v>30</v>
      </c>
      <c r="X131" s="112">
        <v>45821</v>
      </c>
      <c r="Y131" s="25" t="s">
        <v>40</v>
      </c>
      <c r="Z131" s="3"/>
    </row>
    <row r="132" s="31" customFormat="1" spans="16:16">
      <c r="P132" s="222"/>
    </row>
    <row r="133" spans="1:26">
      <c r="A133" s="112" t="s">
        <v>323</v>
      </c>
      <c r="B133" s="112">
        <v>45840</v>
      </c>
      <c r="C133" s="223" t="s">
        <v>145</v>
      </c>
      <c r="D133" s="112">
        <v>45840</v>
      </c>
      <c r="E133" s="25">
        <v>9.3</v>
      </c>
      <c r="F133" s="112">
        <v>45841</v>
      </c>
      <c r="G133" s="25">
        <v>6.2</v>
      </c>
      <c r="H133" s="112">
        <v>45841</v>
      </c>
      <c r="I133" s="25">
        <v>10.3</v>
      </c>
      <c r="J133" s="112">
        <v>45841</v>
      </c>
      <c r="K133" s="25">
        <v>17</v>
      </c>
      <c r="L133" s="112">
        <v>45841</v>
      </c>
      <c r="M133" s="25">
        <v>17.5</v>
      </c>
      <c r="N133" s="112">
        <v>45842</v>
      </c>
      <c r="O133" s="25">
        <v>6.3</v>
      </c>
      <c r="P133" s="112">
        <v>45842</v>
      </c>
      <c r="Q133" s="25">
        <v>11.15</v>
      </c>
      <c r="R133" s="112">
        <v>45840</v>
      </c>
      <c r="S133" s="25">
        <v>11</v>
      </c>
      <c r="T133" s="112">
        <v>45840</v>
      </c>
      <c r="U133" s="25">
        <v>11.5</v>
      </c>
      <c r="V133" s="112">
        <v>45842</v>
      </c>
      <c r="W133" s="25">
        <v>8.1</v>
      </c>
      <c r="X133" s="112">
        <v>45842</v>
      </c>
      <c r="Y133" s="25">
        <v>14</v>
      </c>
      <c r="Z133" s="3"/>
    </row>
    <row r="134" spans="1:26">
      <c r="A134" s="112" t="s">
        <v>324</v>
      </c>
      <c r="B134" s="112">
        <v>45840</v>
      </c>
      <c r="C134" s="223" t="s">
        <v>60</v>
      </c>
      <c r="D134" s="112">
        <v>45840</v>
      </c>
      <c r="E134" s="25">
        <v>10.1</v>
      </c>
      <c r="F134" s="112">
        <v>45841</v>
      </c>
      <c r="G134" s="25">
        <v>10.55</v>
      </c>
      <c r="H134" s="112">
        <v>45841</v>
      </c>
      <c r="I134" s="25">
        <v>15.3</v>
      </c>
      <c r="J134" s="112">
        <v>45841</v>
      </c>
      <c r="K134" s="25">
        <v>18.3</v>
      </c>
      <c r="L134" s="112">
        <v>45841</v>
      </c>
      <c r="M134" s="25">
        <v>19.1</v>
      </c>
      <c r="N134" s="112">
        <v>45842</v>
      </c>
      <c r="O134" s="25">
        <v>12.3</v>
      </c>
      <c r="P134" s="112">
        <v>45842</v>
      </c>
      <c r="Q134" s="25">
        <v>18</v>
      </c>
      <c r="R134" s="112">
        <v>45840</v>
      </c>
      <c r="S134" s="25">
        <v>13</v>
      </c>
      <c r="T134" s="112">
        <v>45840</v>
      </c>
      <c r="U134" s="25">
        <v>13.5</v>
      </c>
      <c r="V134" s="112">
        <v>45842</v>
      </c>
      <c r="W134" s="25">
        <v>14.1</v>
      </c>
      <c r="X134" s="112">
        <v>45842</v>
      </c>
      <c r="Y134" s="25">
        <v>16</v>
      </c>
      <c r="Z134" s="3"/>
    </row>
    <row r="135" spans="1:26">
      <c r="A135" s="112" t="s">
        <v>325</v>
      </c>
      <c r="B135" s="112">
        <v>45840</v>
      </c>
      <c r="C135" s="223">
        <v>10.2</v>
      </c>
      <c r="D135" s="112">
        <v>45840</v>
      </c>
      <c r="E135" s="25">
        <v>10.5</v>
      </c>
      <c r="F135" s="112">
        <v>45841</v>
      </c>
      <c r="G135" s="25">
        <v>10.45</v>
      </c>
      <c r="H135" s="112">
        <v>45841</v>
      </c>
      <c r="I135" s="25">
        <v>15.3</v>
      </c>
      <c r="J135" s="112">
        <v>45841</v>
      </c>
      <c r="K135" s="25">
        <v>19.2</v>
      </c>
      <c r="L135" s="112">
        <v>45841</v>
      </c>
      <c r="M135" s="25">
        <v>20</v>
      </c>
      <c r="N135" s="112">
        <v>45842</v>
      </c>
      <c r="O135" s="25">
        <v>18.45</v>
      </c>
      <c r="P135" s="112">
        <v>45842</v>
      </c>
      <c r="Q135" s="25">
        <v>9</v>
      </c>
      <c r="R135" s="112">
        <v>45840</v>
      </c>
      <c r="S135" s="25">
        <v>14</v>
      </c>
      <c r="T135" s="112">
        <v>45840</v>
      </c>
      <c r="U135" s="25">
        <v>14.5</v>
      </c>
      <c r="V135" s="112">
        <v>45842</v>
      </c>
      <c r="W135" s="25">
        <v>20.4</v>
      </c>
      <c r="X135" s="112">
        <v>45842</v>
      </c>
      <c r="Y135" s="25">
        <v>22</v>
      </c>
      <c r="Z135" s="3"/>
    </row>
    <row r="136" spans="1:26">
      <c r="A136" s="112" t="s">
        <v>326</v>
      </c>
      <c r="B136" s="112">
        <v>45840</v>
      </c>
      <c r="C136" s="223" t="s">
        <v>57</v>
      </c>
      <c r="D136" s="112">
        <v>45840</v>
      </c>
      <c r="E136" s="25" t="s">
        <v>31</v>
      </c>
      <c r="F136" s="112">
        <v>45841</v>
      </c>
      <c r="G136" s="25" t="s">
        <v>18</v>
      </c>
      <c r="H136" s="112">
        <v>45841</v>
      </c>
      <c r="I136" s="112" t="s">
        <v>37</v>
      </c>
      <c r="J136" s="112">
        <v>45841</v>
      </c>
      <c r="K136" s="25" t="s">
        <v>81</v>
      </c>
      <c r="L136" s="112">
        <v>45842</v>
      </c>
      <c r="M136" s="25" t="s">
        <v>68</v>
      </c>
      <c r="N136" s="112">
        <v>45842</v>
      </c>
      <c r="O136" s="25" t="s">
        <v>63</v>
      </c>
      <c r="P136" s="112">
        <v>45842</v>
      </c>
      <c r="Q136" s="25" t="s">
        <v>94</v>
      </c>
      <c r="R136" s="112">
        <v>45840</v>
      </c>
      <c r="S136" s="25" t="s">
        <v>37</v>
      </c>
      <c r="T136" s="112">
        <v>45840</v>
      </c>
      <c r="U136" s="25" t="s">
        <v>117</v>
      </c>
      <c r="V136" s="112">
        <v>45842</v>
      </c>
      <c r="W136" s="25" t="s">
        <v>204</v>
      </c>
      <c r="X136" s="112">
        <v>45842</v>
      </c>
      <c r="Y136" s="25" t="s">
        <v>103</v>
      </c>
      <c r="Z136" s="3"/>
    </row>
    <row r="137" spans="1:26">
      <c r="A137" s="112" t="s">
        <v>327</v>
      </c>
      <c r="B137" s="112">
        <v>45840</v>
      </c>
      <c r="C137" s="223">
        <v>12</v>
      </c>
      <c r="D137" s="112">
        <v>45840</v>
      </c>
      <c r="E137" s="25">
        <v>12.3</v>
      </c>
      <c r="F137" s="112">
        <v>45841</v>
      </c>
      <c r="G137" s="25">
        <v>16.1</v>
      </c>
      <c r="H137" s="112">
        <v>45841</v>
      </c>
      <c r="I137" s="25">
        <v>20.45</v>
      </c>
      <c r="J137" s="112">
        <v>45842</v>
      </c>
      <c r="K137" s="25">
        <v>8.05</v>
      </c>
      <c r="L137" s="112">
        <v>45842</v>
      </c>
      <c r="M137" s="25">
        <v>9.3</v>
      </c>
      <c r="N137" s="112">
        <v>45843</v>
      </c>
      <c r="O137" s="25">
        <v>9.15</v>
      </c>
      <c r="P137" s="112">
        <v>45843</v>
      </c>
      <c r="Q137" s="25">
        <v>15.3</v>
      </c>
      <c r="R137" s="112">
        <v>45840</v>
      </c>
      <c r="S137" s="25">
        <v>16</v>
      </c>
      <c r="T137" s="112">
        <v>45840</v>
      </c>
      <c r="U137" s="25">
        <v>17.24</v>
      </c>
      <c r="V137" s="112">
        <v>45843</v>
      </c>
      <c r="W137" s="25">
        <v>10.3</v>
      </c>
      <c r="X137" s="112">
        <v>45843</v>
      </c>
      <c r="Y137" s="25">
        <v>15.35</v>
      </c>
      <c r="Z137" s="3"/>
    </row>
    <row r="138" spans="1:26">
      <c r="A138" s="112" t="s">
        <v>328</v>
      </c>
      <c r="B138" s="112">
        <v>45850</v>
      </c>
      <c r="C138" s="223" t="s">
        <v>184</v>
      </c>
      <c r="D138" s="112">
        <v>45850</v>
      </c>
      <c r="E138" s="25" t="s">
        <v>153</v>
      </c>
      <c r="F138" s="112">
        <v>45852</v>
      </c>
      <c r="G138" s="25" t="s">
        <v>22</v>
      </c>
      <c r="H138" s="112">
        <v>45852</v>
      </c>
      <c r="I138" s="25" t="s">
        <v>63</v>
      </c>
      <c r="J138" s="112">
        <v>45852</v>
      </c>
      <c r="K138" s="25" t="s">
        <v>220</v>
      </c>
      <c r="L138" s="112">
        <v>45852</v>
      </c>
      <c r="M138" s="25" t="s">
        <v>294</v>
      </c>
      <c r="N138" s="112">
        <v>45853</v>
      </c>
      <c r="O138" s="25" t="s">
        <v>99</v>
      </c>
      <c r="P138" s="112">
        <v>45853</v>
      </c>
      <c r="Q138" s="25" t="s">
        <v>32</v>
      </c>
      <c r="R138" s="112">
        <v>45850</v>
      </c>
      <c r="S138" s="25" t="s">
        <v>86</v>
      </c>
      <c r="T138" s="112">
        <v>45850</v>
      </c>
      <c r="U138" s="25" t="s">
        <v>184</v>
      </c>
      <c r="V138" s="112">
        <v>45853</v>
      </c>
      <c r="W138" s="25" t="s">
        <v>16</v>
      </c>
      <c r="X138" s="112">
        <v>45853</v>
      </c>
      <c r="Y138" s="25" t="s">
        <v>12</v>
      </c>
      <c r="Z138" s="3"/>
    </row>
    <row r="139" spans="1:26">
      <c r="A139" s="112" t="s">
        <v>329</v>
      </c>
      <c r="B139" s="112">
        <v>45850</v>
      </c>
      <c r="C139" s="223" t="s">
        <v>16</v>
      </c>
      <c r="D139" s="112">
        <v>45850</v>
      </c>
      <c r="E139" s="25" t="s">
        <v>156</v>
      </c>
      <c r="F139" s="112">
        <v>45852</v>
      </c>
      <c r="G139" s="25" t="s">
        <v>220</v>
      </c>
      <c r="H139" s="112">
        <v>45852</v>
      </c>
      <c r="I139" s="25" t="s">
        <v>94</v>
      </c>
      <c r="J139" s="112">
        <v>45852</v>
      </c>
      <c r="K139" s="25" t="s">
        <v>256</v>
      </c>
      <c r="L139" s="112">
        <v>45852</v>
      </c>
      <c r="M139" s="25" t="s">
        <v>174</v>
      </c>
      <c r="N139" s="112">
        <v>45853</v>
      </c>
      <c r="O139" s="25" t="s">
        <v>19</v>
      </c>
      <c r="P139" s="112">
        <v>45853</v>
      </c>
      <c r="Q139" s="25" t="s">
        <v>79</v>
      </c>
      <c r="R139" s="112">
        <v>45850</v>
      </c>
      <c r="S139" s="25" t="s">
        <v>235</v>
      </c>
      <c r="T139" s="112">
        <v>45850</v>
      </c>
      <c r="U139" s="25" t="s">
        <v>64</v>
      </c>
      <c r="V139" s="112">
        <v>45853</v>
      </c>
      <c r="W139" s="25" t="s">
        <v>80</v>
      </c>
      <c r="X139" s="112">
        <v>45853</v>
      </c>
      <c r="Y139" s="25" t="s">
        <v>113</v>
      </c>
      <c r="Z139" s="3"/>
    </row>
    <row r="140" spans="1:26">
      <c r="A140" s="112" t="s">
        <v>330</v>
      </c>
      <c r="B140" s="112">
        <v>45850</v>
      </c>
      <c r="C140" s="223" t="s">
        <v>46</v>
      </c>
      <c r="D140" s="112">
        <v>45850</v>
      </c>
      <c r="E140" s="25" t="s">
        <v>160</v>
      </c>
      <c r="F140" s="112">
        <v>45852</v>
      </c>
      <c r="G140" s="25" t="s">
        <v>113</v>
      </c>
      <c r="H140" s="112">
        <v>45853</v>
      </c>
      <c r="I140" s="25" t="s">
        <v>331</v>
      </c>
      <c r="J140" s="112">
        <v>45853</v>
      </c>
      <c r="K140" s="25" t="s">
        <v>57</v>
      </c>
      <c r="L140" s="112">
        <v>45853</v>
      </c>
      <c r="M140" s="25" t="s">
        <v>32</v>
      </c>
      <c r="N140" s="112">
        <v>45854</v>
      </c>
      <c r="O140" s="25" t="s">
        <v>99</v>
      </c>
      <c r="P140" s="112">
        <v>45854</v>
      </c>
      <c r="Q140" s="25" t="s">
        <v>31</v>
      </c>
      <c r="R140" s="112">
        <v>45850</v>
      </c>
      <c r="S140" s="25" t="s">
        <v>18</v>
      </c>
      <c r="T140" s="112">
        <v>45850</v>
      </c>
      <c r="U140" s="25" t="s">
        <v>28</v>
      </c>
      <c r="V140" s="112">
        <v>45854</v>
      </c>
      <c r="W140" s="25" t="s">
        <v>16</v>
      </c>
      <c r="X140" s="112">
        <v>45854</v>
      </c>
      <c r="Y140" s="25" t="s">
        <v>133</v>
      </c>
      <c r="Z140" s="3"/>
    </row>
    <row r="141" spans="1:26">
      <c r="A141" s="112" t="s">
        <v>332</v>
      </c>
      <c r="B141" s="112">
        <v>45852</v>
      </c>
      <c r="C141" s="223" t="s">
        <v>64</v>
      </c>
      <c r="D141" s="112">
        <v>45852</v>
      </c>
      <c r="E141" s="25" t="s">
        <v>46</v>
      </c>
      <c r="F141" s="112">
        <v>45853</v>
      </c>
      <c r="G141" s="25" t="s">
        <v>57</v>
      </c>
      <c r="H141" s="112">
        <v>45853</v>
      </c>
      <c r="I141" s="25" t="s">
        <v>96</v>
      </c>
      <c r="J141" s="112">
        <v>45854</v>
      </c>
      <c r="K141" s="25" t="s">
        <v>135</v>
      </c>
      <c r="L141" s="112">
        <v>45854</v>
      </c>
      <c r="M141" s="25" t="s">
        <v>309</v>
      </c>
      <c r="N141" s="112">
        <v>45854</v>
      </c>
      <c r="O141" s="25" t="s">
        <v>19</v>
      </c>
      <c r="P141" s="112">
        <v>45854</v>
      </c>
      <c r="Q141" s="25" t="s">
        <v>162</v>
      </c>
      <c r="R141" s="112">
        <v>45852</v>
      </c>
      <c r="S141" s="25" t="s">
        <v>145</v>
      </c>
      <c r="T141" s="112">
        <v>45852</v>
      </c>
      <c r="U141" s="25" t="s">
        <v>74</v>
      </c>
      <c r="V141" s="112">
        <v>45854</v>
      </c>
      <c r="W141" s="25" t="s">
        <v>85</v>
      </c>
      <c r="X141" s="112">
        <v>45854</v>
      </c>
      <c r="Y141" s="25" t="s">
        <v>130</v>
      </c>
      <c r="Z141" s="3"/>
    </row>
    <row r="142" spans="1:26">
      <c r="A142" s="112" t="s">
        <v>333</v>
      </c>
      <c r="B142" s="112">
        <v>45852</v>
      </c>
      <c r="C142" s="223" t="s">
        <v>145</v>
      </c>
      <c r="D142" s="112">
        <v>45852</v>
      </c>
      <c r="E142" s="25" t="s">
        <v>71</v>
      </c>
      <c r="F142" s="112">
        <v>45853</v>
      </c>
      <c r="G142" s="25" t="s">
        <v>59</v>
      </c>
      <c r="H142" s="112">
        <v>45853</v>
      </c>
      <c r="I142" s="25" t="s">
        <v>297</v>
      </c>
      <c r="J142" s="112">
        <v>45854</v>
      </c>
      <c r="K142" s="25" t="s">
        <v>273</v>
      </c>
      <c r="L142" s="112">
        <v>45854</v>
      </c>
      <c r="M142" s="25" t="s">
        <v>106</v>
      </c>
      <c r="N142" s="112">
        <v>45855</v>
      </c>
      <c r="O142" s="25" t="s">
        <v>99</v>
      </c>
      <c r="P142" s="112">
        <v>45855</v>
      </c>
      <c r="Q142" s="25" t="s">
        <v>32</v>
      </c>
      <c r="R142" s="112">
        <v>45852</v>
      </c>
      <c r="S142" s="25" t="s">
        <v>33</v>
      </c>
      <c r="T142" s="112">
        <v>45852</v>
      </c>
      <c r="U142" s="25" t="s">
        <v>139</v>
      </c>
      <c r="V142" s="112">
        <v>45855</v>
      </c>
      <c r="W142" s="25" t="s">
        <v>101</v>
      </c>
      <c r="X142" s="112">
        <v>45839</v>
      </c>
      <c r="Y142" s="25" t="s">
        <v>53</v>
      </c>
      <c r="Z142" s="3"/>
    </row>
    <row r="143" spans="1:26">
      <c r="A143" s="112" t="s">
        <v>334</v>
      </c>
      <c r="B143" s="112">
        <v>45852</v>
      </c>
      <c r="C143" s="223" t="s">
        <v>60</v>
      </c>
      <c r="D143" s="112">
        <v>45852</v>
      </c>
      <c r="E143" s="25" t="s">
        <v>74</v>
      </c>
      <c r="F143" s="112">
        <v>45853</v>
      </c>
      <c r="G143" s="25" t="s">
        <v>335</v>
      </c>
      <c r="H143" s="112">
        <v>45854</v>
      </c>
      <c r="I143" s="25" t="s">
        <v>211</v>
      </c>
      <c r="J143" s="112">
        <v>45854</v>
      </c>
      <c r="K143" s="25" t="s">
        <v>247</v>
      </c>
      <c r="L143" s="112">
        <v>45854</v>
      </c>
      <c r="M143" s="25" t="s">
        <v>205</v>
      </c>
      <c r="N143" s="112">
        <v>45855</v>
      </c>
      <c r="O143" s="25" t="s">
        <v>19</v>
      </c>
      <c r="P143" s="112">
        <v>45855</v>
      </c>
      <c r="Q143" s="25" t="s">
        <v>79</v>
      </c>
      <c r="R143" s="112">
        <v>45852</v>
      </c>
      <c r="S143" s="25" t="s">
        <v>262</v>
      </c>
      <c r="T143" s="112">
        <v>45852</v>
      </c>
      <c r="U143" s="25" t="s">
        <v>32</v>
      </c>
      <c r="V143" s="112">
        <v>45855</v>
      </c>
      <c r="W143" s="25" t="s">
        <v>191</v>
      </c>
      <c r="X143" s="112">
        <v>45855</v>
      </c>
      <c r="Y143" s="25" t="s">
        <v>130</v>
      </c>
      <c r="Z143" s="3"/>
    </row>
    <row r="144" spans="1:26">
      <c r="A144" s="112" t="s">
        <v>336</v>
      </c>
      <c r="B144" s="112">
        <v>45854</v>
      </c>
      <c r="C144" s="223" t="s">
        <v>68</v>
      </c>
      <c r="D144" s="112">
        <v>45854</v>
      </c>
      <c r="E144" s="25" t="s">
        <v>64</v>
      </c>
      <c r="F144" s="112">
        <v>45854</v>
      </c>
      <c r="G144" s="25" t="s">
        <v>191</v>
      </c>
      <c r="H144" s="112">
        <v>45854</v>
      </c>
      <c r="I144" s="25" t="s">
        <v>134</v>
      </c>
      <c r="J144" s="112">
        <v>45855</v>
      </c>
      <c r="K144" s="25" t="s">
        <v>108</v>
      </c>
      <c r="L144" s="112">
        <v>45855</v>
      </c>
      <c r="M144" s="25" t="s">
        <v>60</v>
      </c>
      <c r="N144" s="112">
        <v>45856</v>
      </c>
      <c r="O144" s="25" t="s">
        <v>99</v>
      </c>
      <c r="P144" s="112">
        <v>45856</v>
      </c>
      <c r="Q144" s="25" t="s">
        <v>53</v>
      </c>
      <c r="R144" s="112">
        <v>45854</v>
      </c>
      <c r="S144" s="25" t="s">
        <v>33</v>
      </c>
      <c r="T144" s="112">
        <v>45854</v>
      </c>
      <c r="U144" s="25" t="s">
        <v>57</v>
      </c>
      <c r="V144" s="112">
        <v>45856</v>
      </c>
      <c r="W144" s="25" t="s">
        <v>16</v>
      </c>
      <c r="X144" s="112">
        <v>45856</v>
      </c>
      <c r="Y144" s="25" t="s">
        <v>85</v>
      </c>
      <c r="Z144" s="3"/>
    </row>
    <row r="145" spans="1:26">
      <c r="A145" s="112" t="s">
        <v>337</v>
      </c>
      <c r="B145" s="112">
        <v>45854</v>
      </c>
      <c r="C145" s="223" t="s">
        <v>18</v>
      </c>
      <c r="D145" s="112">
        <v>45854</v>
      </c>
      <c r="E145" s="25" t="s">
        <v>145</v>
      </c>
      <c r="F145" s="112">
        <v>45855</v>
      </c>
      <c r="G145" s="25" t="s">
        <v>14</v>
      </c>
      <c r="H145" s="112">
        <v>45855</v>
      </c>
      <c r="I145" s="25" t="s">
        <v>39</v>
      </c>
      <c r="J145" s="112">
        <v>45855</v>
      </c>
      <c r="K145" s="25" t="s">
        <v>273</v>
      </c>
      <c r="L145" s="112">
        <v>45855</v>
      </c>
      <c r="M145" s="25" t="s">
        <v>191</v>
      </c>
      <c r="N145" s="112">
        <v>45856</v>
      </c>
      <c r="O145" s="25" t="s">
        <v>63</v>
      </c>
      <c r="P145" s="112">
        <v>45856</v>
      </c>
      <c r="Q145" s="25" t="s">
        <v>94</v>
      </c>
      <c r="R145" s="112">
        <v>45854</v>
      </c>
      <c r="S145" s="25" t="s">
        <v>44</v>
      </c>
      <c r="T145" s="112">
        <v>45854</v>
      </c>
      <c r="U145" s="25" t="s">
        <v>32</v>
      </c>
      <c r="V145" s="112">
        <v>45856</v>
      </c>
      <c r="W145" s="25" t="s">
        <v>204</v>
      </c>
      <c r="X145" s="112">
        <v>45856</v>
      </c>
      <c r="Y145" s="25" t="s">
        <v>174</v>
      </c>
      <c r="Z145" s="3"/>
    </row>
    <row r="146" spans="1:26">
      <c r="A146" s="112" t="s">
        <v>338</v>
      </c>
      <c r="B146" s="112">
        <v>45855</v>
      </c>
      <c r="C146" s="223" t="s">
        <v>31</v>
      </c>
      <c r="D146" s="112">
        <v>45855</v>
      </c>
      <c r="E146" s="25" t="s">
        <v>133</v>
      </c>
      <c r="F146" s="112">
        <v>45856</v>
      </c>
      <c r="G146" s="25" t="s">
        <v>14</v>
      </c>
      <c r="H146" s="112">
        <v>45856</v>
      </c>
      <c r="I146" s="25" t="s">
        <v>39</v>
      </c>
      <c r="J146" s="112">
        <v>45856</v>
      </c>
      <c r="K146" s="25" t="s">
        <v>96</v>
      </c>
      <c r="L146" s="112">
        <v>45856</v>
      </c>
      <c r="M146" s="25" t="s">
        <v>143</v>
      </c>
      <c r="N146" s="112">
        <v>45861</v>
      </c>
      <c r="O146" s="25" t="s">
        <v>99</v>
      </c>
      <c r="P146" s="112">
        <v>45861</v>
      </c>
      <c r="Q146" s="25" t="s">
        <v>32</v>
      </c>
      <c r="R146" s="112">
        <v>45855</v>
      </c>
      <c r="S146" s="25" t="s">
        <v>91</v>
      </c>
      <c r="T146" s="112">
        <v>45855</v>
      </c>
      <c r="U146" s="25" t="s">
        <v>40</v>
      </c>
      <c r="V146" s="112">
        <v>45861</v>
      </c>
      <c r="W146" s="25" t="s">
        <v>60</v>
      </c>
      <c r="X146" s="112">
        <v>45861</v>
      </c>
      <c r="Y146" s="25" t="s">
        <v>19</v>
      </c>
      <c r="Z146" s="3"/>
    </row>
    <row r="147" spans="1:26">
      <c r="A147" s="112" t="s">
        <v>339</v>
      </c>
      <c r="B147" s="112">
        <v>45856</v>
      </c>
      <c r="C147" s="223" t="s">
        <v>112</v>
      </c>
      <c r="D147" s="112">
        <v>45856</v>
      </c>
      <c r="E147" s="25" t="s">
        <v>62</v>
      </c>
      <c r="F147" s="112">
        <v>45859</v>
      </c>
      <c r="G147" s="25" t="s">
        <v>14</v>
      </c>
      <c r="H147" s="112">
        <v>45859</v>
      </c>
      <c r="I147" s="25" t="s">
        <v>39</v>
      </c>
      <c r="J147" s="112">
        <v>45861</v>
      </c>
      <c r="K147" s="25" t="s">
        <v>16</v>
      </c>
      <c r="L147" s="112">
        <v>45861</v>
      </c>
      <c r="M147" s="25" t="s">
        <v>17</v>
      </c>
      <c r="N147" s="112">
        <v>45861</v>
      </c>
      <c r="O147" s="25" t="s">
        <v>19</v>
      </c>
      <c r="P147" s="112">
        <v>45861</v>
      </c>
      <c r="Q147" s="25" t="s">
        <v>162</v>
      </c>
      <c r="R147" s="112">
        <v>45856</v>
      </c>
      <c r="S147" s="25" t="s">
        <v>118</v>
      </c>
      <c r="T147" s="112">
        <v>45856</v>
      </c>
      <c r="U147" s="25" t="s">
        <v>340</v>
      </c>
      <c r="V147" s="112">
        <v>45861</v>
      </c>
      <c r="W147" s="25" t="s">
        <v>191</v>
      </c>
      <c r="X147" s="112">
        <v>45861</v>
      </c>
      <c r="Y147" s="25" t="s">
        <v>199</v>
      </c>
      <c r="Z147" s="3"/>
    </row>
    <row r="148" spans="1:26">
      <c r="A148" s="112" t="s">
        <v>341</v>
      </c>
      <c r="B148" s="112">
        <v>45861</v>
      </c>
      <c r="C148" s="223" t="s">
        <v>47</v>
      </c>
      <c r="D148" s="112">
        <v>45861</v>
      </c>
      <c r="E148" s="25" t="s">
        <v>195</v>
      </c>
      <c r="F148" s="112">
        <v>45862</v>
      </c>
      <c r="G148" s="25" t="s">
        <v>14</v>
      </c>
      <c r="H148" s="112">
        <v>45862</v>
      </c>
      <c r="I148" s="25" t="s">
        <v>27</v>
      </c>
      <c r="J148" s="112">
        <v>45863</v>
      </c>
      <c r="K148" s="25" t="s">
        <v>16</v>
      </c>
      <c r="L148" s="112">
        <v>45863</v>
      </c>
      <c r="M148" s="25" t="s">
        <v>17</v>
      </c>
      <c r="N148" s="112">
        <v>45863</v>
      </c>
      <c r="O148" s="25" t="s">
        <v>18</v>
      </c>
      <c r="P148" s="112">
        <v>45863</v>
      </c>
      <c r="Q148" s="25" t="s">
        <v>12</v>
      </c>
      <c r="R148" s="112">
        <v>45862</v>
      </c>
      <c r="S148" s="25" t="s">
        <v>342</v>
      </c>
      <c r="T148" s="112">
        <v>45862</v>
      </c>
      <c r="U148" s="25" t="s">
        <v>170</v>
      </c>
      <c r="V148" s="112">
        <v>45863</v>
      </c>
      <c r="W148" s="25" t="s">
        <v>22</v>
      </c>
      <c r="X148" s="112">
        <v>45863</v>
      </c>
      <c r="Y148" s="25" t="s">
        <v>47</v>
      </c>
      <c r="Z148" s="3"/>
    </row>
    <row r="149" spans="1:26">
      <c r="A149" s="112" t="s">
        <v>343</v>
      </c>
      <c r="B149" s="112">
        <v>45861</v>
      </c>
      <c r="C149" s="223" t="s">
        <v>63</v>
      </c>
      <c r="D149" s="112">
        <v>45861</v>
      </c>
      <c r="E149" s="25" t="s">
        <v>220</v>
      </c>
      <c r="F149" s="112">
        <v>45862</v>
      </c>
      <c r="G149" s="25" t="s">
        <v>35</v>
      </c>
      <c r="H149" s="112">
        <v>45862</v>
      </c>
      <c r="I149" s="25" t="s">
        <v>96</v>
      </c>
      <c r="J149" s="112">
        <v>45863</v>
      </c>
      <c r="K149" s="25" t="s">
        <v>80</v>
      </c>
      <c r="L149" s="112">
        <v>45863</v>
      </c>
      <c r="M149" s="25" t="s">
        <v>118</v>
      </c>
      <c r="N149" s="112">
        <v>45863</v>
      </c>
      <c r="O149" s="25" t="s">
        <v>63</v>
      </c>
      <c r="P149" s="112">
        <v>45863</v>
      </c>
      <c r="Q149" s="25" t="s">
        <v>168</v>
      </c>
      <c r="R149" s="112">
        <v>45862</v>
      </c>
      <c r="S149" s="25" t="s">
        <v>37</v>
      </c>
      <c r="T149" s="112">
        <v>45862</v>
      </c>
      <c r="U149" s="25" t="s">
        <v>344</v>
      </c>
      <c r="V149" s="112">
        <v>45863</v>
      </c>
      <c r="W149" s="25" t="s">
        <v>157</v>
      </c>
      <c r="X149" s="112">
        <v>45863</v>
      </c>
      <c r="Y149" s="25" t="s">
        <v>335</v>
      </c>
      <c r="Z149" s="3"/>
    </row>
    <row r="150" spans="1:26">
      <c r="A150" s="112" t="s">
        <v>345</v>
      </c>
      <c r="B150" s="112">
        <v>45861</v>
      </c>
      <c r="C150" s="223" t="s">
        <v>163</v>
      </c>
      <c r="D150" s="112">
        <v>45861</v>
      </c>
      <c r="E150" s="25" t="s">
        <v>117</v>
      </c>
      <c r="F150" s="112">
        <v>45862</v>
      </c>
      <c r="G150" s="25" t="s">
        <v>191</v>
      </c>
      <c r="H150" s="112">
        <v>45862</v>
      </c>
      <c r="I150" s="25" t="s">
        <v>172</v>
      </c>
      <c r="J150" s="112">
        <v>45863</v>
      </c>
      <c r="K150" s="25" t="s">
        <v>346</v>
      </c>
      <c r="L150" s="112">
        <v>45864</v>
      </c>
      <c r="M150" s="25" t="s">
        <v>235</v>
      </c>
      <c r="N150" s="112">
        <v>45864</v>
      </c>
      <c r="O150" s="25" t="s">
        <v>99</v>
      </c>
      <c r="P150" s="112">
        <v>45864</v>
      </c>
      <c r="Q150" s="25" t="s">
        <v>57</v>
      </c>
      <c r="R150" s="112">
        <v>45863</v>
      </c>
      <c r="S150" s="25" t="s">
        <v>16</v>
      </c>
      <c r="T150" s="112">
        <v>45863</v>
      </c>
      <c r="U150" s="25" t="s">
        <v>46</v>
      </c>
      <c r="V150" s="112">
        <v>45864</v>
      </c>
      <c r="W150" s="25" t="s">
        <v>16</v>
      </c>
      <c r="X150" s="112">
        <v>45864</v>
      </c>
      <c r="Y150" s="25" t="s">
        <v>262</v>
      </c>
      <c r="Z150" s="3"/>
    </row>
    <row r="151" s="31" customFormat="1" spans="16:16">
      <c r="P151" s="222"/>
    </row>
    <row r="152" spans="1:25">
      <c r="A152" s="25" t="s">
        <v>347</v>
      </c>
      <c r="B152" s="112">
        <v>45870</v>
      </c>
      <c r="C152" s="223" t="s">
        <v>348</v>
      </c>
      <c r="D152" s="112">
        <v>45870</v>
      </c>
      <c r="E152" s="25" t="s">
        <v>87</v>
      </c>
      <c r="F152" s="112">
        <v>45871</v>
      </c>
      <c r="G152" s="25" t="s">
        <v>13</v>
      </c>
      <c r="H152" s="112">
        <v>45871</v>
      </c>
      <c r="I152" s="25" t="s">
        <v>94</v>
      </c>
      <c r="J152" s="112">
        <v>45874</v>
      </c>
      <c r="K152" s="25" t="s">
        <v>349</v>
      </c>
      <c r="L152" s="112">
        <v>45874</v>
      </c>
      <c r="M152" s="25" t="s">
        <v>74</v>
      </c>
      <c r="N152" s="112">
        <v>45874</v>
      </c>
      <c r="O152" s="25" t="s">
        <v>175</v>
      </c>
      <c r="P152" s="112">
        <v>45874</v>
      </c>
      <c r="Q152" s="25" t="s">
        <v>142</v>
      </c>
      <c r="R152" s="112">
        <v>45873</v>
      </c>
      <c r="S152" s="25" t="s">
        <v>350</v>
      </c>
      <c r="T152" s="112">
        <v>45873</v>
      </c>
      <c r="U152" s="25" t="s">
        <v>32</v>
      </c>
      <c r="V152" s="112">
        <v>45874</v>
      </c>
      <c r="W152" s="25" t="s">
        <v>193</v>
      </c>
      <c r="X152" s="112">
        <v>45874</v>
      </c>
      <c r="Y152" s="25" t="s">
        <v>116</v>
      </c>
    </row>
    <row r="153" spans="1:25">
      <c r="A153" s="25" t="s">
        <v>351</v>
      </c>
      <c r="B153" s="112">
        <v>45870</v>
      </c>
      <c r="C153" s="223" t="s">
        <v>39</v>
      </c>
      <c r="D153" s="112">
        <v>45870</v>
      </c>
      <c r="E153" s="25" t="s">
        <v>139</v>
      </c>
      <c r="F153" s="112">
        <v>45873</v>
      </c>
      <c r="G153" s="25" t="s">
        <v>178</v>
      </c>
      <c r="H153" s="112">
        <v>45873</v>
      </c>
      <c r="I153" s="25" t="s">
        <v>87</v>
      </c>
      <c r="J153" s="112">
        <v>45874</v>
      </c>
      <c r="K153" s="25" t="s">
        <v>82</v>
      </c>
      <c r="L153" s="112">
        <v>45874</v>
      </c>
      <c r="M153" s="25" t="s">
        <v>273</v>
      </c>
      <c r="N153" s="112">
        <v>45874</v>
      </c>
      <c r="O153" s="25" t="s">
        <v>19</v>
      </c>
      <c r="P153" s="112">
        <v>45874</v>
      </c>
      <c r="Q153" s="25" t="s">
        <v>79</v>
      </c>
      <c r="R153" s="112">
        <v>45873</v>
      </c>
      <c r="S153" s="25" t="s">
        <v>53</v>
      </c>
      <c r="T153" s="112">
        <v>45873</v>
      </c>
      <c r="U153" s="25" t="s">
        <v>112</v>
      </c>
      <c r="V153" s="112">
        <v>45874</v>
      </c>
      <c r="W153" s="25" t="s">
        <v>103</v>
      </c>
      <c r="X153" s="112">
        <v>45874</v>
      </c>
      <c r="Y153" s="25" t="s">
        <v>146</v>
      </c>
    </row>
    <row r="154" spans="1:25">
      <c r="A154" s="25" t="s">
        <v>352</v>
      </c>
      <c r="B154" s="112">
        <v>45870</v>
      </c>
      <c r="C154" s="223" t="s">
        <v>262</v>
      </c>
      <c r="D154" s="112">
        <v>45870</v>
      </c>
      <c r="E154" s="25" t="s">
        <v>193</v>
      </c>
      <c r="F154" s="112">
        <v>45873</v>
      </c>
      <c r="G154" s="25" t="s">
        <v>57</v>
      </c>
      <c r="H154" s="112">
        <v>45873</v>
      </c>
      <c r="I154" s="25" t="s">
        <v>96</v>
      </c>
      <c r="J154" s="112">
        <v>45876</v>
      </c>
      <c r="K154" s="25" t="s">
        <v>47</v>
      </c>
      <c r="L154" s="112">
        <v>45876</v>
      </c>
      <c r="M154" s="25" t="s">
        <v>271</v>
      </c>
      <c r="N154" s="112">
        <v>45877</v>
      </c>
      <c r="O154" s="25" t="s">
        <v>353</v>
      </c>
      <c r="P154" s="112">
        <v>45877</v>
      </c>
      <c r="Q154" s="25" t="s">
        <v>57</v>
      </c>
      <c r="R154" s="112">
        <v>45873</v>
      </c>
      <c r="S154" s="25" t="s">
        <v>98</v>
      </c>
      <c r="T154" s="112">
        <v>45873</v>
      </c>
      <c r="U154" s="25" t="s">
        <v>47</v>
      </c>
      <c r="V154" s="112">
        <v>45877</v>
      </c>
      <c r="W154" s="25" t="s">
        <v>55</v>
      </c>
      <c r="X154" s="112">
        <v>45877</v>
      </c>
      <c r="Y154" s="25" t="s">
        <v>37</v>
      </c>
    </row>
    <row r="155" spans="1:25">
      <c r="A155" s="25" t="s">
        <v>354</v>
      </c>
      <c r="B155" s="112">
        <v>45874</v>
      </c>
      <c r="C155" s="223" t="s">
        <v>348</v>
      </c>
      <c r="D155" s="112">
        <v>45874</v>
      </c>
      <c r="E155" s="25" t="s">
        <v>87</v>
      </c>
      <c r="F155" s="112">
        <v>45876</v>
      </c>
      <c r="G155" s="25" t="s">
        <v>355</v>
      </c>
      <c r="H155" s="112">
        <v>45876</v>
      </c>
      <c r="I155" s="25" t="s">
        <v>39</v>
      </c>
      <c r="J155" s="112">
        <v>45876</v>
      </c>
      <c r="K155" s="25" t="s">
        <v>116</v>
      </c>
      <c r="L155" s="112">
        <v>45876</v>
      </c>
      <c r="M155" s="25" t="s">
        <v>173</v>
      </c>
      <c r="N155" s="112">
        <v>45878</v>
      </c>
      <c r="O155" s="25" t="s">
        <v>353</v>
      </c>
      <c r="P155" s="112">
        <v>45878</v>
      </c>
      <c r="Q155" s="25" t="s">
        <v>57</v>
      </c>
      <c r="R155" s="112">
        <v>45876</v>
      </c>
      <c r="S155" s="25" t="s">
        <v>183</v>
      </c>
      <c r="T155" s="112">
        <v>45876</v>
      </c>
      <c r="U155" s="25" t="s">
        <v>356</v>
      </c>
      <c r="V155" s="112">
        <v>45878</v>
      </c>
      <c r="W155" s="25" t="s">
        <v>55</v>
      </c>
      <c r="X155" s="112">
        <v>45878</v>
      </c>
      <c r="Y155" s="25" t="s">
        <v>57</v>
      </c>
    </row>
    <row r="156" spans="1:25">
      <c r="A156" s="25" t="s">
        <v>357</v>
      </c>
      <c r="B156" s="112">
        <v>45875</v>
      </c>
      <c r="C156" s="223" t="s">
        <v>37</v>
      </c>
      <c r="D156" s="112">
        <v>45875</v>
      </c>
      <c r="E156" s="25" t="s">
        <v>273</v>
      </c>
      <c r="F156" s="112">
        <v>45877</v>
      </c>
      <c r="G156" s="25" t="s">
        <v>358</v>
      </c>
      <c r="H156" s="112">
        <v>45877</v>
      </c>
      <c r="I156" s="25" t="s">
        <v>31</v>
      </c>
      <c r="J156" s="112">
        <v>45878</v>
      </c>
      <c r="K156" s="25" t="s">
        <v>29</v>
      </c>
      <c r="L156" s="112">
        <v>45878</v>
      </c>
      <c r="M156" s="25" t="s">
        <v>63</v>
      </c>
      <c r="N156" s="112">
        <v>45878</v>
      </c>
      <c r="O156" s="25" t="s">
        <v>32</v>
      </c>
      <c r="P156" s="112">
        <v>45878</v>
      </c>
      <c r="Q156" s="25" t="s">
        <v>247</v>
      </c>
      <c r="R156" s="112">
        <v>45876</v>
      </c>
      <c r="S156" s="25" t="s">
        <v>359</v>
      </c>
      <c r="T156" s="112">
        <v>45876</v>
      </c>
      <c r="U156" s="25" t="s">
        <v>360</v>
      </c>
      <c r="V156" s="112">
        <v>45878</v>
      </c>
      <c r="W156" s="25" t="s">
        <v>75</v>
      </c>
      <c r="X156" s="112">
        <v>45878</v>
      </c>
      <c r="Y156" s="25" t="s">
        <v>294</v>
      </c>
    </row>
    <row r="157" spans="1:25">
      <c r="A157" s="25" t="s">
        <v>361</v>
      </c>
      <c r="B157" s="112">
        <v>45878</v>
      </c>
      <c r="C157" s="223" t="s">
        <v>362</v>
      </c>
      <c r="D157" s="112">
        <v>45878</v>
      </c>
      <c r="E157" s="25" t="s">
        <v>363</v>
      </c>
      <c r="F157" s="112">
        <v>45880</v>
      </c>
      <c r="G157" s="25" t="s">
        <v>355</v>
      </c>
      <c r="H157" s="112">
        <v>45880</v>
      </c>
      <c r="I157" s="25" t="s">
        <v>39</v>
      </c>
      <c r="J157" s="112">
        <v>45882</v>
      </c>
      <c r="K157" s="25" t="s">
        <v>183</v>
      </c>
      <c r="L157" s="112">
        <v>45882</v>
      </c>
      <c r="M157" s="25" t="s">
        <v>364</v>
      </c>
      <c r="N157" s="112">
        <v>45882</v>
      </c>
      <c r="O157" s="25" t="s">
        <v>365</v>
      </c>
      <c r="P157" s="112">
        <v>45882</v>
      </c>
      <c r="Q157" s="25" t="s">
        <v>142</v>
      </c>
      <c r="R157" s="112">
        <v>45880</v>
      </c>
      <c r="S157" s="25" t="s">
        <v>366</v>
      </c>
      <c r="T157" s="112">
        <v>45880</v>
      </c>
      <c r="U157" s="25" t="s">
        <v>19</v>
      </c>
      <c r="V157" s="112">
        <v>45882</v>
      </c>
      <c r="W157" s="25" t="s">
        <v>74</v>
      </c>
      <c r="X157" s="112">
        <v>45882</v>
      </c>
      <c r="Y157" s="25" t="s">
        <v>53</v>
      </c>
    </row>
    <row r="158" spans="1:25">
      <c r="A158" s="25" t="s">
        <v>367</v>
      </c>
      <c r="B158" s="112">
        <v>45878</v>
      </c>
      <c r="C158" s="223" t="s">
        <v>360</v>
      </c>
      <c r="D158" s="112">
        <v>45878</v>
      </c>
      <c r="E158" s="25" t="s">
        <v>368</v>
      </c>
      <c r="F158" s="112">
        <v>45881</v>
      </c>
      <c r="G158" s="25" t="s">
        <v>204</v>
      </c>
      <c r="H158" s="112">
        <v>45881</v>
      </c>
      <c r="I158" s="25" t="s">
        <v>249</v>
      </c>
      <c r="J158" s="112">
        <v>45882</v>
      </c>
      <c r="K158" s="25" t="s">
        <v>193</v>
      </c>
      <c r="L158" s="112">
        <v>45882</v>
      </c>
      <c r="M158" s="25" t="s">
        <v>37</v>
      </c>
      <c r="N158" s="112">
        <v>45882</v>
      </c>
      <c r="O158" s="25" t="s">
        <v>19</v>
      </c>
      <c r="P158" s="112">
        <v>45882</v>
      </c>
      <c r="Q158" s="25" t="s">
        <v>79</v>
      </c>
      <c r="R158" s="112">
        <v>45880</v>
      </c>
      <c r="S158" s="25" t="s">
        <v>80</v>
      </c>
      <c r="T158" s="112">
        <v>45880</v>
      </c>
      <c r="U158" s="25" t="s">
        <v>295</v>
      </c>
      <c r="V158" s="112">
        <v>45882</v>
      </c>
      <c r="W158" s="25" t="s">
        <v>198</v>
      </c>
      <c r="X158" s="112">
        <v>45882</v>
      </c>
      <c r="Y158" s="25" t="s">
        <v>130</v>
      </c>
    </row>
    <row r="159" spans="1:25">
      <c r="A159" s="25" t="s">
        <v>369</v>
      </c>
      <c r="B159" s="112">
        <v>45881</v>
      </c>
      <c r="C159" s="223" t="s">
        <v>370</v>
      </c>
      <c r="D159" s="112">
        <v>45881</v>
      </c>
      <c r="E159" s="25" t="s">
        <v>371</v>
      </c>
      <c r="F159" s="112">
        <v>45882</v>
      </c>
      <c r="G159" s="25" t="s">
        <v>355</v>
      </c>
      <c r="H159" s="112">
        <v>45882</v>
      </c>
      <c r="I159" s="25" t="s">
        <v>39</v>
      </c>
      <c r="J159" s="112">
        <v>45883</v>
      </c>
      <c r="K159" s="25" t="s">
        <v>183</v>
      </c>
      <c r="L159" s="112">
        <v>45883</v>
      </c>
      <c r="M159" s="25" t="s">
        <v>368</v>
      </c>
      <c r="N159" s="112">
        <v>45883</v>
      </c>
      <c r="O159" s="25" t="s">
        <v>353</v>
      </c>
      <c r="P159" s="112">
        <v>45883</v>
      </c>
      <c r="Q159" s="25" t="s">
        <v>32</v>
      </c>
      <c r="R159" s="112">
        <v>45881</v>
      </c>
      <c r="S159" s="25" t="s">
        <v>87</v>
      </c>
      <c r="T159" s="112">
        <v>45881</v>
      </c>
      <c r="U159" s="25" t="s">
        <v>20</v>
      </c>
      <c r="V159" s="112">
        <v>45883</v>
      </c>
      <c r="W159" s="25" t="s">
        <v>55</v>
      </c>
      <c r="X159" s="112">
        <v>45883</v>
      </c>
      <c r="Y159" s="25" t="s">
        <v>85</v>
      </c>
    </row>
    <row r="160" spans="1:25">
      <c r="A160" s="25" t="s">
        <v>372</v>
      </c>
      <c r="B160" s="112">
        <v>45881</v>
      </c>
      <c r="C160" s="223" t="s">
        <v>22</v>
      </c>
      <c r="D160" s="112">
        <v>45881</v>
      </c>
      <c r="E160" s="25" t="s">
        <v>38</v>
      </c>
      <c r="F160" s="112">
        <v>45882</v>
      </c>
      <c r="G160" s="25" t="s">
        <v>20</v>
      </c>
      <c r="H160" s="112">
        <v>45882</v>
      </c>
      <c r="I160" s="25" t="s">
        <v>96</v>
      </c>
      <c r="J160" s="112">
        <v>45883</v>
      </c>
      <c r="K160" s="25" t="s">
        <v>373</v>
      </c>
      <c r="L160" s="112">
        <v>45883</v>
      </c>
      <c r="M160" s="25" t="s">
        <v>87</v>
      </c>
      <c r="N160" s="112">
        <v>45883</v>
      </c>
      <c r="O160" s="25" t="s">
        <v>19</v>
      </c>
      <c r="P160" s="112">
        <v>45883</v>
      </c>
      <c r="Q160" s="25" t="s">
        <v>79</v>
      </c>
      <c r="R160" s="112">
        <v>45881</v>
      </c>
      <c r="S160" s="25" t="s">
        <v>35</v>
      </c>
      <c r="T160" s="112">
        <v>45881</v>
      </c>
      <c r="U160" s="25" t="s">
        <v>88</v>
      </c>
      <c r="V160" s="112">
        <v>45883</v>
      </c>
      <c r="W160" s="25" t="s">
        <v>374</v>
      </c>
      <c r="X160" s="112">
        <v>45883</v>
      </c>
      <c r="Y160" s="25" t="s">
        <v>79</v>
      </c>
    </row>
    <row r="161" spans="1:25">
      <c r="A161" s="25" t="s">
        <v>375</v>
      </c>
      <c r="B161" s="112">
        <v>45881</v>
      </c>
      <c r="C161" s="223" t="s">
        <v>17</v>
      </c>
      <c r="D161" s="112">
        <v>45881</v>
      </c>
      <c r="E161" s="25" t="s">
        <v>21</v>
      </c>
      <c r="F161" s="112">
        <v>45882</v>
      </c>
      <c r="G161" s="25" t="s">
        <v>191</v>
      </c>
      <c r="H161" s="112">
        <v>45882</v>
      </c>
      <c r="I161" s="25" t="s">
        <v>134</v>
      </c>
      <c r="J161" s="112">
        <v>45884</v>
      </c>
      <c r="K161" s="25" t="s">
        <v>183</v>
      </c>
      <c r="L161" s="112">
        <v>45884</v>
      </c>
      <c r="M161" s="25" t="s">
        <v>370</v>
      </c>
      <c r="N161" s="112">
        <v>45884</v>
      </c>
      <c r="O161" s="25" t="s">
        <v>353</v>
      </c>
      <c r="P161" s="112">
        <v>45884</v>
      </c>
      <c r="Q161" s="25" t="s">
        <v>142</v>
      </c>
      <c r="R161" s="112">
        <v>45881</v>
      </c>
      <c r="S161" s="25" t="s">
        <v>132</v>
      </c>
      <c r="T161" s="112">
        <v>45881</v>
      </c>
      <c r="U161" s="25" t="s">
        <v>82</v>
      </c>
      <c r="V161" s="112">
        <v>45884</v>
      </c>
      <c r="W161" s="25" t="s">
        <v>55</v>
      </c>
      <c r="X161" s="112">
        <v>45884</v>
      </c>
      <c r="Y161" s="25" t="s">
        <v>77</v>
      </c>
    </row>
  </sheetData>
  <mergeCells count="22">
    <mergeCell ref="B3:E3"/>
    <mergeCell ref="F3:I3"/>
    <mergeCell ref="J3:M3"/>
    <mergeCell ref="N3:Q3"/>
    <mergeCell ref="R3:U3"/>
    <mergeCell ref="V3:Y3"/>
    <mergeCell ref="B53:E53"/>
    <mergeCell ref="F53:I53"/>
    <mergeCell ref="J53:M53"/>
    <mergeCell ref="N53:Q53"/>
    <mergeCell ref="R53:U53"/>
    <mergeCell ref="V53:Y53"/>
    <mergeCell ref="A3:A4"/>
    <mergeCell ref="A16:A17"/>
    <mergeCell ref="A18:A19"/>
    <mergeCell ref="A20:A21"/>
    <mergeCell ref="A22:A25"/>
    <mergeCell ref="A26:A30"/>
    <mergeCell ref="A31:A35"/>
    <mergeCell ref="A36:A38"/>
    <mergeCell ref="A39:A44"/>
    <mergeCell ref="A53:A5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"/>
  <sheetViews>
    <sheetView zoomScale="110" zoomScaleNormal="110" topLeftCell="A34" workbookViewId="0">
      <pane xSplit="1" ySplit="6" topLeftCell="G143" activePane="bottomRight" state="frozen"/>
      <selection/>
      <selection pane="topRight"/>
      <selection pane="bottomLeft"/>
      <selection pane="bottomRight" activeCell="P167" sqref="P167"/>
    </sheetView>
  </sheetViews>
  <sheetFormatPr defaultColWidth="9.10185185185185" defaultRowHeight="15" customHeight="1"/>
  <cols>
    <col min="1" max="1" width="13" style="3" customWidth="1"/>
    <col min="2" max="2" width="19.4351851851852" style="3" customWidth="1"/>
    <col min="3" max="3" width="39.3333333333333" style="3" customWidth="1"/>
    <col min="4" max="12" width="19.4351851851852" style="3" customWidth="1"/>
    <col min="13" max="16384" width="9.10185185185185" style="3"/>
  </cols>
  <sheetData>
    <row r="1" customHeight="1" spans="1:15">
      <c r="A1" s="5" t="s">
        <v>376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Height="1" spans="1: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Height="1" spans="1:12">
      <c r="A3" s="6" t="s">
        <v>120</v>
      </c>
      <c r="B3" s="7" t="s">
        <v>121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customHeight="1" spans="1:12">
      <c r="A4" s="6" t="s">
        <v>122</v>
      </c>
      <c r="B4" s="7" t="s">
        <v>377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customFormat="1" customHeight="1" spans="1:15">
      <c r="A5" s="7" t="s">
        <v>378</v>
      </c>
      <c r="B5" s="7" t="s">
        <v>379</v>
      </c>
      <c r="C5" s="155"/>
      <c r="D5" s="7"/>
      <c r="E5" s="181"/>
      <c r="F5" s="181"/>
      <c r="G5" s="7"/>
      <c r="H5" s="7"/>
      <c r="I5" s="7"/>
      <c r="J5" s="7"/>
      <c r="K5" s="155"/>
      <c r="L5" s="155"/>
      <c r="M5" s="3"/>
      <c r="N5" s="3"/>
      <c r="O5" s="3"/>
    </row>
    <row r="6" customHeight="1" spans="1:15">
      <c r="A6" s="182" t="s">
        <v>380</v>
      </c>
      <c r="B6" s="183" t="s">
        <v>381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205"/>
    </row>
    <row r="7" ht="56.1" customHeight="1" spans="1:15">
      <c r="A7" s="185"/>
      <c r="B7" s="186" t="s">
        <v>382</v>
      </c>
      <c r="C7" s="187" t="s">
        <v>383</v>
      </c>
      <c r="D7" s="185" t="s">
        <v>384</v>
      </c>
      <c r="E7" s="188" t="s">
        <v>385</v>
      </c>
      <c r="F7" s="188"/>
      <c r="G7" s="189" t="s">
        <v>386</v>
      </c>
      <c r="H7" s="188"/>
      <c r="I7" s="188" t="s">
        <v>387</v>
      </c>
      <c r="J7" s="188"/>
      <c r="K7" s="189" t="s">
        <v>388</v>
      </c>
      <c r="L7" s="188"/>
      <c r="M7" s="188" t="s">
        <v>389</v>
      </c>
      <c r="N7" s="188"/>
      <c r="O7" s="189" t="s">
        <v>390</v>
      </c>
    </row>
    <row r="8" customHeight="1" spans="1:15">
      <c r="A8" s="189"/>
      <c r="B8" s="190" t="s">
        <v>391</v>
      </c>
      <c r="C8" s="191"/>
      <c r="D8" s="189"/>
      <c r="E8" s="190" t="s">
        <v>392</v>
      </c>
      <c r="F8" s="190"/>
      <c r="G8" s="192" t="s">
        <v>393</v>
      </c>
      <c r="H8" s="192"/>
      <c r="I8" s="192" t="s">
        <v>394</v>
      </c>
      <c r="J8" s="192"/>
      <c r="K8" s="192" t="s">
        <v>395</v>
      </c>
      <c r="L8" s="192"/>
      <c r="M8" s="192" t="s">
        <v>395</v>
      </c>
      <c r="N8" s="192"/>
      <c r="O8" s="192" t="s">
        <v>396</v>
      </c>
    </row>
    <row r="9" customHeight="1" spans="1:15">
      <c r="A9" s="193" t="s">
        <v>397</v>
      </c>
      <c r="B9" s="193" t="s">
        <v>398</v>
      </c>
      <c r="C9" s="194" t="s">
        <v>399</v>
      </c>
      <c r="D9" s="194" t="s">
        <v>399</v>
      </c>
      <c r="E9" s="193" t="s">
        <v>400</v>
      </c>
      <c r="F9" s="193"/>
      <c r="G9" s="193" t="s">
        <v>401</v>
      </c>
      <c r="H9" s="193"/>
      <c r="I9" s="193" t="s">
        <v>402</v>
      </c>
      <c r="J9" s="193"/>
      <c r="K9" s="193" t="s">
        <v>403</v>
      </c>
      <c r="L9" s="193"/>
      <c r="M9" s="206" t="s">
        <v>404</v>
      </c>
      <c r="N9" s="206"/>
      <c r="O9" s="193" t="s">
        <v>405</v>
      </c>
    </row>
    <row r="10" customHeight="1" spans="1:15">
      <c r="A10" s="193" t="s">
        <v>406</v>
      </c>
      <c r="B10" s="193" t="s">
        <v>398</v>
      </c>
      <c r="C10" s="194" t="s">
        <v>399</v>
      </c>
      <c r="D10" s="194" t="s">
        <v>399</v>
      </c>
      <c r="E10" s="193" t="s">
        <v>400</v>
      </c>
      <c r="F10" s="193"/>
      <c r="G10" s="193" t="s">
        <v>401</v>
      </c>
      <c r="H10" s="193"/>
      <c r="I10" s="193" t="s">
        <v>402</v>
      </c>
      <c r="J10" s="193"/>
      <c r="K10" s="193" t="s">
        <v>403</v>
      </c>
      <c r="L10" s="193"/>
      <c r="M10" s="206" t="s">
        <v>404</v>
      </c>
      <c r="N10" s="206"/>
      <c r="O10" s="193" t="s">
        <v>405</v>
      </c>
    </row>
    <row r="11" customHeight="1" spans="1:15">
      <c r="A11" s="193" t="s">
        <v>407</v>
      </c>
      <c r="B11" s="193" t="s">
        <v>398</v>
      </c>
      <c r="C11" s="194" t="s">
        <v>399</v>
      </c>
      <c r="D11" s="194" t="s">
        <v>399</v>
      </c>
      <c r="E11" s="193" t="s">
        <v>400</v>
      </c>
      <c r="F11" s="193"/>
      <c r="G11" s="193" t="s">
        <v>401</v>
      </c>
      <c r="H11" s="193"/>
      <c r="I11" s="193" t="s">
        <v>402</v>
      </c>
      <c r="J11" s="193"/>
      <c r="K11" s="193" t="s">
        <v>403</v>
      </c>
      <c r="L11" s="193"/>
      <c r="M11" s="206" t="s">
        <v>404</v>
      </c>
      <c r="N11" s="206"/>
      <c r="O11" s="193" t="s">
        <v>405</v>
      </c>
    </row>
    <row r="12" customHeight="1" spans="1:15">
      <c r="A12" s="193" t="s">
        <v>408</v>
      </c>
      <c r="B12" s="193" t="s">
        <v>398</v>
      </c>
      <c r="C12" s="194" t="s">
        <v>399</v>
      </c>
      <c r="D12" s="194" t="s">
        <v>399</v>
      </c>
      <c r="E12" s="193" t="s">
        <v>400</v>
      </c>
      <c r="F12" s="193"/>
      <c r="G12" s="193" t="s">
        <v>401</v>
      </c>
      <c r="H12" s="193"/>
      <c r="I12" s="193" t="s">
        <v>402</v>
      </c>
      <c r="J12" s="193"/>
      <c r="K12" s="193" t="s">
        <v>403</v>
      </c>
      <c r="L12" s="193"/>
      <c r="M12" s="206" t="s">
        <v>404</v>
      </c>
      <c r="N12" s="206"/>
      <c r="O12" s="193" t="s">
        <v>405</v>
      </c>
    </row>
    <row r="13" customHeight="1" spans="1:15">
      <c r="A13" s="195" t="s">
        <v>409</v>
      </c>
      <c r="B13" s="195" t="s">
        <v>398</v>
      </c>
      <c r="C13" s="196" t="s">
        <v>399</v>
      </c>
      <c r="D13" s="196" t="s">
        <v>399</v>
      </c>
      <c r="E13" s="195" t="s">
        <v>400</v>
      </c>
      <c r="F13" s="195"/>
      <c r="G13" s="195" t="s">
        <v>401</v>
      </c>
      <c r="H13" s="195"/>
      <c r="I13" s="195" t="s">
        <v>402</v>
      </c>
      <c r="J13" s="195"/>
      <c r="K13" s="195" t="s">
        <v>403</v>
      </c>
      <c r="L13" s="195"/>
      <c r="M13" s="207" t="s">
        <v>404</v>
      </c>
      <c r="N13" s="207"/>
      <c r="O13" s="195" t="s">
        <v>405</v>
      </c>
    </row>
    <row r="14" customHeight="1" spans="1:15">
      <c r="A14" s="197" t="s">
        <v>11</v>
      </c>
      <c r="B14" s="197" t="s">
        <v>398</v>
      </c>
      <c r="C14" s="198" t="s">
        <v>399</v>
      </c>
      <c r="D14" s="198" t="s">
        <v>399</v>
      </c>
      <c r="E14" s="197" t="s">
        <v>400</v>
      </c>
      <c r="F14" s="197"/>
      <c r="G14" s="197" t="s">
        <v>401</v>
      </c>
      <c r="H14" s="197"/>
      <c r="I14" s="197" t="s">
        <v>402</v>
      </c>
      <c r="J14" s="197"/>
      <c r="K14" s="197" t="s">
        <v>403</v>
      </c>
      <c r="L14" s="197"/>
      <c r="M14" s="208" t="s">
        <v>404</v>
      </c>
      <c r="N14" s="208"/>
      <c r="O14" s="197" t="s">
        <v>405</v>
      </c>
    </row>
    <row r="15" customHeight="1" spans="1:15">
      <c r="A15" s="197" t="s">
        <v>24</v>
      </c>
      <c r="B15" s="197" t="s">
        <v>398</v>
      </c>
      <c r="C15" s="198" t="s">
        <v>399</v>
      </c>
      <c r="D15" s="198" t="s">
        <v>399</v>
      </c>
      <c r="E15" s="197" t="s">
        <v>400</v>
      </c>
      <c r="F15" s="197"/>
      <c r="G15" s="197" t="s">
        <v>401</v>
      </c>
      <c r="H15" s="197"/>
      <c r="I15" s="197" t="s">
        <v>402</v>
      </c>
      <c r="J15" s="197"/>
      <c r="K15" s="197" t="s">
        <v>403</v>
      </c>
      <c r="L15" s="197"/>
      <c r="M15" s="208" t="s">
        <v>404</v>
      </c>
      <c r="N15" s="208"/>
      <c r="O15" s="197" t="s">
        <v>405</v>
      </c>
    </row>
    <row r="16" customHeight="1" spans="1:15">
      <c r="A16" s="197" t="s">
        <v>34</v>
      </c>
      <c r="B16" s="197" t="s">
        <v>398</v>
      </c>
      <c r="C16" s="198" t="s">
        <v>399</v>
      </c>
      <c r="D16" s="198" t="s">
        <v>399</v>
      </c>
      <c r="E16" s="197" t="s">
        <v>400</v>
      </c>
      <c r="F16" s="197"/>
      <c r="G16" s="197" t="s">
        <v>401</v>
      </c>
      <c r="H16" s="197"/>
      <c r="I16" s="197" t="s">
        <v>402</v>
      </c>
      <c r="J16" s="197"/>
      <c r="K16" s="197" t="s">
        <v>403</v>
      </c>
      <c r="L16" s="197"/>
      <c r="M16" s="208" t="s">
        <v>404</v>
      </c>
      <c r="N16" s="208"/>
      <c r="O16" s="197" t="s">
        <v>405</v>
      </c>
    </row>
    <row r="17" customHeight="1" spans="1:15">
      <c r="A17" s="197"/>
      <c r="B17" s="199" t="s">
        <v>410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</row>
    <row r="18" customHeight="1" spans="1:15">
      <c r="A18" s="197" t="s">
        <v>43</v>
      </c>
      <c r="B18" s="197" t="s">
        <v>410</v>
      </c>
      <c r="C18" s="198" t="s">
        <v>399</v>
      </c>
      <c r="D18" s="198" t="s">
        <v>399</v>
      </c>
      <c r="E18" s="197" t="s">
        <v>400</v>
      </c>
      <c r="F18" s="197"/>
      <c r="G18" s="197" t="s">
        <v>401</v>
      </c>
      <c r="H18" s="197"/>
      <c r="I18" s="197" t="s">
        <v>402</v>
      </c>
      <c r="J18" s="197"/>
      <c r="K18" s="197" t="s">
        <v>403</v>
      </c>
      <c r="L18" s="197"/>
      <c r="M18" s="208" t="s">
        <v>404</v>
      </c>
      <c r="N18" s="208"/>
      <c r="O18" s="197" t="s">
        <v>405</v>
      </c>
    </row>
    <row r="19" customHeight="1" spans="1:15">
      <c r="A19" s="197" t="s">
        <v>52</v>
      </c>
      <c r="B19" s="197" t="s">
        <v>410</v>
      </c>
      <c r="C19" s="198" t="s">
        <v>399</v>
      </c>
      <c r="D19" s="198" t="s">
        <v>399</v>
      </c>
      <c r="E19" s="197" t="s">
        <v>400</v>
      </c>
      <c r="F19" s="197"/>
      <c r="G19" s="197" t="s">
        <v>401</v>
      </c>
      <c r="H19" s="197"/>
      <c r="I19" s="197" t="s">
        <v>402</v>
      </c>
      <c r="J19" s="197"/>
      <c r="K19" s="197" t="s">
        <v>403</v>
      </c>
      <c r="L19" s="197"/>
      <c r="M19" s="208" t="s">
        <v>404</v>
      </c>
      <c r="N19" s="208"/>
      <c r="O19" s="197" t="s">
        <v>405</v>
      </c>
    </row>
    <row r="20" customHeight="1" spans="1:15">
      <c r="A20" s="197" t="s">
        <v>61</v>
      </c>
      <c r="B20" s="197" t="s">
        <v>410</v>
      </c>
      <c r="C20" s="198" t="s">
        <v>399</v>
      </c>
      <c r="D20" s="198" t="s">
        <v>399</v>
      </c>
      <c r="E20" s="197" t="s">
        <v>400</v>
      </c>
      <c r="F20" s="197"/>
      <c r="G20" s="197" t="s">
        <v>401</v>
      </c>
      <c r="H20" s="197"/>
      <c r="I20" s="197" t="s">
        <v>402</v>
      </c>
      <c r="J20" s="197"/>
      <c r="K20" s="197" t="s">
        <v>403</v>
      </c>
      <c r="L20" s="197"/>
      <c r="M20" s="208" t="s">
        <v>404</v>
      </c>
      <c r="N20" s="208"/>
      <c r="O20" s="197" t="s">
        <v>405</v>
      </c>
    </row>
    <row r="21" customFormat="1" customHeight="1" spans="1:15">
      <c r="A21" s="197" t="s">
        <v>65</v>
      </c>
      <c r="B21" s="197" t="s">
        <v>410</v>
      </c>
      <c r="C21" s="198" t="s">
        <v>399</v>
      </c>
      <c r="D21" s="198" t="s">
        <v>399</v>
      </c>
      <c r="E21" s="197" t="s">
        <v>400</v>
      </c>
      <c r="F21" s="197"/>
      <c r="G21" s="197" t="s">
        <v>401</v>
      </c>
      <c r="H21" s="197"/>
      <c r="I21" s="197" t="s">
        <v>402</v>
      </c>
      <c r="J21" s="197"/>
      <c r="K21" s="197" t="s">
        <v>403</v>
      </c>
      <c r="L21" s="197"/>
      <c r="M21" s="208" t="s">
        <v>404</v>
      </c>
      <c r="N21" s="208"/>
      <c r="O21" s="197" t="s">
        <v>405</v>
      </c>
    </row>
    <row r="22" customFormat="1" customHeight="1" spans="1:15">
      <c r="A22" s="197" t="s">
        <v>76</v>
      </c>
      <c r="B22" s="197" t="s">
        <v>410</v>
      </c>
      <c r="C22" s="198" t="s">
        <v>399</v>
      </c>
      <c r="D22" s="198" t="s">
        <v>399</v>
      </c>
      <c r="E22" s="197" t="s">
        <v>400</v>
      </c>
      <c r="F22" s="197"/>
      <c r="G22" s="197" t="s">
        <v>401</v>
      </c>
      <c r="H22" s="197"/>
      <c r="I22" s="197" t="s">
        <v>402</v>
      </c>
      <c r="J22" s="197"/>
      <c r="K22" s="197" t="s">
        <v>403</v>
      </c>
      <c r="L22" s="197"/>
      <c r="M22" s="208" t="s">
        <v>404</v>
      </c>
      <c r="N22" s="208"/>
      <c r="O22" s="197" t="s">
        <v>405</v>
      </c>
    </row>
    <row r="23" customFormat="1" customHeight="1" spans="1:15">
      <c r="A23" s="197" t="s">
        <v>83</v>
      </c>
      <c r="B23" s="197" t="s">
        <v>410</v>
      </c>
      <c r="C23" s="198" t="s">
        <v>399</v>
      </c>
      <c r="D23" s="198" t="s">
        <v>399</v>
      </c>
      <c r="E23" s="197" t="s">
        <v>400</v>
      </c>
      <c r="F23" s="197"/>
      <c r="G23" s="197" t="s">
        <v>401</v>
      </c>
      <c r="H23" s="197"/>
      <c r="I23" s="197" t="s">
        <v>402</v>
      </c>
      <c r="J23" s="197"/>
      <c r="K23" s="197" t="s">
        <v>403</v>
      </c>
      <c r="L23" s="197"/>
      <c r="M23" s="208" t="s">
        <v>404</v>
      </c>
      <c r="N23" s="208"/>
      <c r="O23" s="197" t="s">
        <v>405</v>
      </c>
    </row>
    <row r="24" customFormat="1" customHeight="1" spans="1:15">
      <c r="A24" s="200" t="s">
        <v>92</v>
      </c>
      <c r="B24" s="197" t="s">
        <v>410</v>
      </c>
      <c r="C24" s="198" t="s">
        <v>399</v>
      </c>
      <c r="D24" s="198" t="s">
        <v>399</v>
      </c>
      <c r="E24" s="197" t="s">
        <v>400</v>
      </c>
      <c r="F24" s="197"/>
      <c r="G24" s="197" t="s">
        <v>401</v>
      </c>
      <c r="H24" s="197"/>
      <c r="I24" s="197" t="s">
        <v>402</v>
      </c>
      <c r="J24" s="197"/>
      <c r="K24" s="197" t="s">
        <v>403</v>
      </c>
      <c r="L24" s="197"/>
      <c r="M24" s="208" t="s">
        <v>404</v>
      </c>
      <c r="N24" s="208"/>
      <c r="O24" s="197" t="s">
        <v>405</v>
      </c>
    </row>
    <row r="25" customFormat="1" customHeight="1" spans="1:15">
      <c r="A25" s="201"/>
      <c r="B25" s="197"/>
      <c r="C25" s="198"/>
      <c r="D25" s="198"/>
      <c r="E25" s="197" t="s">
        <v>411</v>
      </c>
      <c r="F25" s="197"/>
      <c r="G25" s="197"/>
      <c r="H25" s="197"/>
      <c r="I25" s="197"/>
      <c r="J25" s="197"/>
      <c r="K25" s="197"/>
      <c r="L25" s="197"/>
      <c r="M25" s="208"/>
      <c r="N25" s="208"/>
      <c r="O25" s="197"/>
    </row>
    <row r="26" customFormat="1" customHeight="1" spans="1:15">
      <c r="A26" s="200" t="s">
        <v>97</v>
      </c>
      <c r="B26" s="197" t="s">
        <v>410</v>
      </c>
      <c r="C26" s="198" t="s">
        <v>399</v>
      </c>
      <c r="D26" s="198" t="s">
        <v>399</v>
      </c>
      <c r="E26" s="197" t="s">
        <v>411</v>
      </c>
      <c r="F26" s="197"/>
      <c r="G26" s="197" t="s">
        <v>401</v>
      </c>
      <c r="H26" s="197"/>
      <c r="I26" s="197" t="s">
        <v>402</v>
      </c>
      <c r="J26" s="197"/>
      <c r="K26" s="197" t="s">
        <v>403</v>
      </c>
      <c r="L26" s="197"/>
      <c r="M26" s="208" t="s">
        <v>404</v>
      </c>
      <c r="N26" s="208"/>
      <c r="O26" s="197" t="s">
        <v>405</v>
      </c>
    </row>
    <row r="27" s="1" customFormat="1" customHeight="1" spans="1:15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</row>
    <row r="28" customHeight="1" spans="1:15">
      <c r="A28" s="197" t="s">
        <v>104</v>
      </c>
      <c r="B28" s="197" t="s">
        <v>412</v>
      </c>
      <c r="C28" s="198" t="s">
        <v>413</v>
      </c>
      <c r="D28" s="198" t="s">
        <v>414</v>
      </c>
      <c r="E28" s="197" t="s">
        <v>415</v>
      </c>
      <c r="F28" s="197"/>
      <c r="G28" s="197" t="s">
        <v>416</v>
      </c>
      <c r="H28" s="197"/>
      <c r="I28" s="197" t="s">
        <v>417</v>
      </c>
      <c r="J28" s="197"/>
      <c r="K28" s="197" t="s">
        <v>418</v>
      </c>
      <c r="L28" s="197"/>
      <c r="M28" s="208" t="s">
        <v>404</v>
      </c>
      <c r="N28" s="208"/>
      <c r="O28" s="197" t="s">
        <v>405</v>
      </c>
    </row>
    <row r="29" customHeight="1" spans="1:15">
      <c r="A29" s="197" t="s">
        <v>110</v>
      </c>
      <c r="B29" s="197" t="s">
        <v>412</v>
      </c>
      <c r="C29" s="198" t="s">
        <v>413</v>
      </c>
      <c r="D29" s="198" t="s">
        <v>414</v>
      </c>
      <c r="E29" s="197" t="s">
        <v>415</v>
      </c>
      <c r="F29" s="197"/>
      <c r="G29" s="197" t="s">
        <v>416</v>
      </c>
      <c r="H29" s="197"/>
      <c r="I29" s="197" t="s">
        <v>417</v>
      </c>
      <c r="J29" s="197"/>
      <c r="K29" s="197" t="s">
        <v>418</v>
      </c>
      <c r="L29" s="197"/>
      <c r="M29" s="208" t="s">
        <v>404</v>
      </c>
      <c r="N29" s="208"/>
      <c r="O29" s="197" t="s">
        <v>405</v>
      </c>
    </row>
    <row r="30" s="1" customFormat="1" customHeight="1" spans="1:15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</row>
    <row r="31" customHeight="1" spans="1:15">
      <c r="A31" s="197" t="s">
        <v>114</v>
      </c>
      <c r="B31" s="197" t="s">
        <v>419</v>
      </c>
      <c r="C31" s="198" t="s">
        <v>420</v>
      </c>
      <c r="D31" s="198" t="s">
        <v>420</v>
      </c>
      <c r="E31" s="197" t="s">
        <v>421</v>
      </c>
      <c r="F31" s="197"/>
      <c r="G31" s="197" t="s">
        <v>422</v>
      </c>
      <c r="H31" s="197"/>
      <c r="I31" s="197" t="s">
        <v>423</v>
      </c>
      <c r="J31" s="197"/>
      <c r="K31" s="197" t="s">
        <v>424</v>
      </c>
      <c r="L31" s="197"/>
      <c r="M31" s="208" t="s">
        <v>404</v>
      </c>
      <c r="N31" s="208"/>
      <c r="O31" s="197" t="s">
        <v>425</v>
      </c>
    </row>
    <row r="32" customHeight="1" spans="1:15">
      <c r="A32" s="197"/>
      <c r="B32" s="197"/>
      <c r="C32" s="198"/>
      <c r="D32" s="198"/>
      <c r="E32" s="197"/>
      <c r="F32" s="197"/>
      <c r="G32" s="197"/>
      <c r="H32" s="197"/>
      <c r="I32" s="197"/>
      <c r="J32" s="197"/>
      <c r="K32" s="197"/>
      <c r="L32" s="197"/>
      <c r="M32" s="208" t="s">
        <v>426</v>
      </c>
      <c r="N32" s="208"/>
      <c r="O32" s="197"/>
    </row>
    <row r="33" s="1" customFormat="1" customHeight="1" spans="1:15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</row>
    <row r="34" customHeight="1" spans="1:12">
      <c r="A34" s="6" t="s">
        <v>120</v>
      </c>
      <c r="B34" s="7" t="s">
        <v>121</v>
      </c>
      <c r="C34" s="83"/>
      <c r="D34" s="84"/>
      <c r="E34" s="84"/>
      <c r="F34" s="84"/>
      <c r="G34" s="203" t="s">
        <v>427</v>
      </c>
      <c r="H34" s="203"/>
      <c r="I34" s="84"/>
      <c r="J34" s="84"/>
      <c r="K34" s="84"/>
      <c r="L34" s="84"/>
    </row>
    <row r="35" customHeight="1" spans="1:12">
      <c r="A35" s="6" t="s">
        <v>122</v>
      </c>
      <c r="B35" s="7" t="s">
        <v>123</v>
      </c>
      <c r="C35" s="83"/>
      <c r="D35" s="84"/>
      <c r="E35" s="84"/>
      <c r="F35" s="84"/>
      <c r="G35" s="204">
        <v>45755</v>
      </c>
      <c r="H35" s="204"/>
      <c r="I35" s="84"/>
      <c r="J35" s="84"/>
      <c r="K35" s="84"/>
      <c r="L35" s="84"/>
    </row>
    <row r="36" customFormat="1" customHeight="1" spans="1:15">
      <c r="A36" s="7" t="s">
        <v>378</v>
      </c>
      <c r="B36" s="7" t="s">
        <v>379</v>
      </c>
      <c r="C36" s="155"/>
      <c r="D36" s="7"/>
      <c r="E36" s="181"/>
      <c r="F36" s="181"/>
      <c r="G36" s="7"/>
      <c r="H36" s="7"/>
      <c r="I36" s="7"/>
      <c r="J36" s="7"/>
      <c r="K36" s="155"/>
      <c r="L36" s="155"/>
      <c r="M36" s="3"/>
      <c r="N36" s="3"/>
      <c r="O36" s="3"/>
    </row>
    <row r="37" customHeight="1" spans="1:15">
      <c r="A37" s="182" t="s">
        <v>380</v>
      </c>
      <c r="B37" s="183" t="s">
        <v>381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205"/>
    </row>
    <row r="38" ht="56.1" customHeight="1" spans="1:15">
      <c r="A38" s="185"/>
      <c r="B38" s="186" t="s">
        <v>382</v>
      </c>
      <c r="C38" s="187" t="s">
        <v>383</v>
      </c>
      <c r="D38" s="185" t="s">
        <v>384</v>
      </c>
      <c r="E38" s="188" t="s">
        <v>385</v>
      </c>
      <c r="F38" s="188"/>
      <c r="G38" s="189" t="s">
        <v>386</v>
      </c>
      <c r="H38" s="188"/>
      <c r="I38" s="188" t="s">
        <v>387</v>
      </c>
      <c r="J38" s="188"/>
      <c r="K38" s="189" t="s">
        <v>388</v>
      </c>
      <c r="L38" s="188"/>
      <c r="M38" s="188" t="s">
        <v>389</v>
      </c>
      <c r="N38" s="188"/>
      <c r="O38" s="189" t="s">
        <v>390</v>
      </c>
    </row>
    <row r="39" customHeight="1" spans="1:15">
      <c r="A39" s="189"/>
      <c r="B39" s="190" t="s">
        <v>391</v>
      </c>
      <c r="C39" s="191"/>
      <c r="D39" s="189"/>
      <c r="E39" s="190" t="s">
        <v>392</v>
      </c>
      <c r="F39" s="190"/>
      <c r="G39" s="192" t="s">
        <v>393</v>
      </c>
      <c r="H39" s="192"/>
      <c r="I39" s="192" t="s">
        <v>394</v>
      </c>
      <c r="J39" s="192"/>
      <c r="K39" s="192" t="s">
        <v>395</v>
      </c>
      <c r="L39" s="192"/>
      <c r="M39" s="192" t="s">
        <v>395</v>
      </c>
      <c r="N39" s="192"/>
      <c r="O39" s="192" t="s">
        <v>396</v>
      </c>
    </row>
    <row r="40" customHeight="1" spans="1:15">
      <c r="A40" s="197" t="s">
        <v>124</v>
      </c>
      <c r="B40" s="197" t="s">
        <v>419</v>
      </c>
      <c r="C40" s="198" t="s">
        <v>399</v>
      </c>
      <c r="D40" s="198" t="s">
        <v>399</v>
      </c>
      <c r="E40" s="197" t="s">
        <v>421</v>
      </c>
      <c r="F40" s="197"/>
      <c r="G40" s="197" t="s">
        <v>422</v>
      </c>
      <c r="H40" s="197"/>
      <c r="I40" s="197" t="s">
        <v>423</v>
      </c>
      <c r="J40" s="197"/>
      <c r="K40" s="197" t="s">
        <v>424</v>
      </c>
      <c r="L40" s="197"/>
      <c r="M40" s="197" t="s">
        <v>426</v>
      </c>
      <c r="N40" s="197"/>
      <c r="O40" s="197" t="s">
        <v>425</v>
      </c>
    </row>
    <row r="41" customHeight="1" spans="1:15">
      <c r="A41" s="197" t="s">
        <v>127</v>
      </c>
      <c r="B41" s="197" t="s">
        <v>419</v>
      </c>
      <c r="C41" s="198" t="s">
        <v>399</v>
      </c>
      <c r="D41" s="198" t="s">
        <v>399</v>
      </c>
      <c r="E41" s="197" t="s">
        <v>421</v>
      </c>
      <c r="F41" s="197"/>
      <c r="G41" s="197" t="s">
        <v>422</v>
      </c>
      <c r="H41" s="197"/>
      <c r="I41" s="197" t="s">
        <v>423</v>
      </c>
      <c r="J41" s="197"/>
      <c r="K41" s="197" t="s">
        <v>424</v>
      </c>
      <c r="L41" s="197"/>
      <c r="M41" s="197" t="s">
        <v>426</v>
      </c>
      <c r="N41" s="197"/>
      <c r="O41" s="197" t="s">
        <v>425</v>
      </c>
    </row>
    <row r="42" customHeight="1" spans="1:15">
      <c r="A42" s="197" t="s">
        <v>131</v>
      </c>
      <c r="B42" s="197" t="s">
        <v>419</v>
      </c>
      <c r="C42" s="198" t="s">
        <v>399</v>
      </c>
      <c r="D42" s="198" t="s">
        <v>399</v>
      </c>
      <c r="E42" s="197" t="s">
        <v>421</v>
      </c>
      <c r="F42" s="197"/>
      <c r="G42" s="197" t="s">
        <v>422</v>
      </c>
      <c r="H42" s="197"/>
      <c r="I42" s="197" t="s">
        <v>423</v>
      </c>
      <c r="J42" s="197"/>
      <c r="K42" s="197" t="s">
        <v>424</v>
      </c>
      <c r="L42" s="197"/>
      <c r="M42" s="197" t="s">
        <v>426</v>
      </c>
      <c r="N42" s="197"/>
      <c r="O42" s="197" t="s">
        <v>425</v>
      </c>
    </row>
    <row r="43" customHeight="1" spans="1:15">
      <c r="A43" s="197" t="s">
        <v>138</v>
      </c>
      <c r="B43" s="197" t="s">
        <v>428</v>
      </c>
      <c r="C43" s="198" t="s">
        <v>399</v>
      </c>
      <c r="D43" s="198" t="s">
        <v>399</v>
      </c>
      <c r="E43" s="197" t="s">
        <v>421</v>
      </c>
      <c r="F43" s="197"/>
      <c r="G43" s="197" t="s">
        <v>422</v>
      </c>
      <c r="H43" s="197"/>
      <c r="I43" s="197" t="s">
        <v>423</v>
      </c>
      <c r="J43" s="197"/>
      <c r="K43" s="197" t="s">
        <v>424</v>
      </c>
      <c r="L43" s="197"/>
      <c r="M43" s="197" t="s">
        <v>426</v>
      </c>
      <c r="N43" s="197"/>
      <c r="O43" s="197" t="s">
        <v>425</v>
      </c>
    </row>
    <row r="44" customHeight="1" spans="1:15">
      <c r="A44" s="197" t="s">
        <v>140</v>
      </c>
      <c r="B44" s="197" t="s">
        <v>428</v>
      </c>
      <c r="C44" s="198" t="s">
        <v>399</v>
      </c>
      <c r="D44" s="198" t="s">
        <v>399</v>
      </c>
      <c r="E44" s="197" t="s">
        <v>421</v>
      </c>
      <c r="F44" s="197"/>
      <c r="G44" s="197" t="s">
        <v>422</v>
      </c>
      <c r="H44" s="197"/>
      <c r="I44" s="197" t="s">
        <v>423</v>
      </c>
      <c r="J44" s="197"/>
      <c r="K44" s="197" t="s">
        <v>424</v>
      </c>
      <c r="L44" s="197"/>
      <c r="M44" s="197" t="s">
        <v>426</v>
      </c>
      <c r="N44" s="197"/>
      <c r="O44" s="197" t="s">
        <v>425</v>
      </c>
    </row>
    <row r="45" customHeight="1" spans="1:15">
      <c r="A45" s="197" t="s">
        <v>144</v>
      </c>
      <c r="B45" s="197" t="s">
        <v>428</v>
      </c>
      <c r="C45" s="198" t="s">
        <v>399</v>
      </c>
      <c r="D45" s="198" t="s">
        <v>399</v>
      </c>
      <c r="E45" s="197" t="s">
        <v>421</v>
      </c>
      <c r="F45" s="197"/>
      <c r="G45" s="197" t="s">
        <v>422</v>
      </c>
      <c r="H45" s="197"/>
      <c r="I45" s="197" t="s">
        <v>423</v>
      </c>
      <c r="J45" s="197"/>
      <c r="K45" s="197" t="s">
        <v>424</v>
      </c>
      <c r="L45" s="197"/>
      <c r="M45" s="197" t="s">
        <v>426</v>
      </c>
      <c r="N45" s="197"/>
      <c r="O45" s="197" t="s">
        <v>425</v>
      </c>
    </row>
    <row r="46" customHeight="1" spans="1:15">
      <c r="A46" s="197" t="s">
        <v>150</v>
      </c>
      <c r="B46" s="197" t="s">
        <v>428</v>
      </c>
      <c r="C46" s="198" t="s">
        <v>399</v>
      </c>
      <c r="D46" s="198" t="s">
        <v>399</v>
      </c>
      <c r="E46" s="197" t="s">
        <v>421</v>
      </c>
      <c r="F46" s="197"/>
      <c r="G46" s="197" t="s">
        <v>422</v>
      </c>
      <c r="H46" s="197"/>
      <c r="I46" s="197" t="s">
        <v>423</v>
      </c>
      <c r="J46" s="197"/>
      <c r="K46" s="197" t="s">
        <v>424</v>
      </c>
      <c r="L46" s="197"/>
      <c r="M46" s="197" t="s">
        <v>426</v>
      </c>
      <c r="N46" s="197"/>
      <c r="O46" s="197" t="s">
        <v>425</v>
      </c>
    </row>
    <row r="47" customHeight="1" spans="1:15">
      <c r="A47" s="197"/>
      <c r="B47" s="199" t="s">
        <v>429</v>
      </c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</row>
    <row r="48" customHeight="1" spans="1:15">
      <c r="A48" s="197" t="s">
        <v>152</v>
      </c>
      <c r="B48" s="199" t="s">
        <v>429</v>
      </c>
      <c r="C48" s="198" t="s">
        <v>399</v>
      </c>
      <c r="D48" s="198" t="s">
        <v>399</v>
      </c>
      <c r="E48" s="197" t="s">
        <v>421</v>
      </c>
      <c r="F48" s="197"/>
      <c r="G48" s="197" t="s">
        <v>422</v>
      </c>
      <c r="H48" s="197"/>
      <c r="I48" s="197" t="s">
        <v>423</v>
      </c>
      <c r="J48" s="197"/>
      <c r="K48" s="197" t="s">
        <v>424</v>
      </c>
      <c r="L48" s="197"/>
      <c r="M48" s="197" t="s">
        <v>426</v>
      </c>
      <c r="N48" s="197"/>
      <c r="O48" s="197" t="s">
        <v>425</v>
      </c>
    </row>
    <row r="49" customHeight="1" spans="1:15">
      <c r="A49" s="197" t="s">
        <v>155</v>
      </c>
      <c r="B49" s="199" t="s">
        <v>429</v>
      </c>
      <c r="C49" s="198" t="s">
        <v>399</v>
      </c>
      <c r="D49" s="198" t="s">
        <v>399</v>
      </c>
      <c r="E49" s="197" t="s">
        <v>421</v>
      </c>
      <c r="F49" s="197"/>
      <c r="G49" s="197" t="s">
        <v>422</v>
      </c>
      <c r="H49" s="197"/>
      <c r="I49" s="197" t="s">
        <v>423</v>
      </c>
      <c r="J49" s="197"/>
      <c r="K49" s="197" t="s">
        <v>424</v>
      </c>
      <c r="L49" s="197"/>
      <c r="M49" s="197" t="s">
        <v>426</v>
      </c>
      <c r="N49" s="197"/>
      <c r="O49" s="197" t="s">
        <v>425</v>
      </c>
    </row>
    <row r="50" customHeight="1" spans="1:15">
      <c r="A50" s="197" t="s">
        <v>159</v>
      </c>
      <c r="B50" s="199" t="s">
        <v>429</v>
      </c>
      <c r="C50" s="198" t="s">
        <v>399</v>
      </c>
      <c r="D50" s="198" t="s">
        <v>399</v>
      </c>
      <c r="E50" s="197" t="s">
        <v>421</v>
      </c>
      <c r="F50" s="197"/>
      <c r="G50" s="197" t="s">
        <v>422</v>
      </c>
      <c r="H50" s="197"/>
      <c r="I50" s="197" t="s">
        <v>423</v>
      </c>
      <c r="J50" s="197"/>
      <c r="K50" s="197" t="s">
        <v>424</v>
      </c>
      <c r="L50" s="197"/>
      <c r="M50" s="197" t="s">
        <v>426</v>
      </c>
      <c r="N50" s="197"/>
      <c r="O50" s="197" t="s">
        <v>425</v>
      </c>
    </row>
    <row r="51" customHeight="1" spans="1:15">
      <c r="A51" s="197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7" t="s">
        <v>430</v>
      </c>
    </row>
    <row r="52" customHeight="1" spans="1:15">
      <c r="A52" s="197" t="s">
        <v>165</v>
      </c>
      <c r="B52" s="199" t="s">
        <v>431</v>
      </c>
      <c r="C52" s="198" t="s">
        <v>399</v>
      </c>
      <c r="D52" s="198" t="s">
        <v>399</v>
      </c>
      <c r="E52" s="197" t="s">
        <v>421</v>
      </c>
      <c r="F52" s="197"/>
      <c r="G52" s="197" t="s">
        <v>422</v>
      </c>
      <c r="H52" s="197"/>
      <c r="I52" s="197" t="s">
        <v>423</v>
      </c>
      <c r="J52" s="197"/>
      <c r="K52" s="197" t="s">
        <v>424</v>
      </c>
      <c r="L52" s="197"/>
      <c r="M52" s="197" t="s">
        <v>426</v>
      </c>
      <c r="N52" s="197"/>
      <c r="O52" s="197" t="s">
        <v>430</v>
      </c>
    </row>
    <row r="53" customHeight="1" spans="1:15">
      <c r="A53" s="197" t="s">
        <v>169</v>
      </c>
      <c r="B53" s="199" t="s">
        <v>431</v>
      </c>
      <c r="C53" s="198" t="s">
        <v>399</v>
      </c>
      <c r="D53" s="198" t="s">
        <v>399</v>
      </c>
      <c r="E53" s="197" t="s">
        <v>421</v>
      </c>
      <c r="F53" s="197"/>
      <c r="G53" s="197" t="s">
        <v>422</v>
      </c>
      <c r="H53" s="197"/>
      <c r="I53" s="197" t="s">
        <v>423</v>
      </c>
      <c r="J53" s="197"/>
      <c r="K53" s="197" t="s">
        <v>424</v>
      </c>
      <c r="L53" s="197"/>
      <c r="M53" s="197" t="s">
        <v>426</v>
      </c>
      <c r="N53" s="197"/>
      <c r="O53" s="197" t="s">
        <v>430</v>
      </c>
    </row>
    <row r="54" customHeight="1" spans="1:15">
      <c r="A54" s="197"/>
      <c r="B54" s="199" t="s">
        <v>432</v>
      </c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</row>
    <row r="55" customHeight="1" spans="1:15">
      <c r="A55" s="197" t="s">
        <v>171</v>
      </c>
      <c r="B55" s="199" t="s">
        <v>432</v>
      </c>
      <c r="C55" s="198" t="s">
        <v>399</v>
      </c>
      <c r="D55" s="198" t="s">
        <v>399</v>
      </c>
      <c r="E55" s="197" t="s">
        <v>421</v>
      </c>
      <c r="F55" s="197"/>
      <c r="G55" s="197" t="s">
        <v>422</v>
      </c>
      <c r="H55" s="197"/>
      <c r="I55" s="197" t="s">
        <v>423</v>
      </c>
      <c r="J55" s="197"/>
      <c r="K55" s="197" t="s">
        <v>424</v>
      </c>
      <c r="L55" s="197"/>
      <c r="M55" s="197" t="s">
        <v>426</v>
      </c>
      <c r="N55" s="197"/>
      <c r="O55" s="197" t="s">
        <v>430</v>
      </c>
    </row>
    <row r="56" customHeight="1" spans="1:15">
      <c r="A56" s="197" t="s">
        <v>177</v>
      </c>
      <c r="B56" s="199" t="s">
        <v>432</v>
      </c>
      <c r="C56" s="198" t="s">
        <v>399</v>
      </c>
      <c r="D56" s="198" t="s">
        <v>399</v>
      </c>
      <c r="E56" s="197" t="s">
        <v>421</v>
      </c>
      <c r="F56" s="197"/>
      <c r="G56" s="197" t="s">
        <v>422</v>
      </c>
      <c r="H56" s="197"/>
      <c r="I56" s="197" t="s">
        <v>423</v>
      </c>
      <c r="J56" s="197"/>
      <c r="K56" s="197" t="s">
        <v>424</v>
      </c>
      <c r="L56" s="197"/>
      <c r="M56" s="197" t="s">
        <v>426</v>
      </c>
      <c r="N56" s="197"/>
      <c r="O56" s="197" t="s">
        <v>430</v>
      </c>
    </row>
    <row r="57" customHeight="1" spans="1:15">
      <c r="A57" s="197" t="s">
        <v>181</v>
      </c>
      <c r="B57" s="199" t="s">
        <v>432</v>
      </c>
      <c r="C57" s="198" t="s">
        <v>399</v>
      </c>
      <c r="D57" s="198" t="s">
        <v>399</v>
      </c>
      <c r="E57" s="197" t="s">
        <v>421</v>
      </c>
      <c r="F57" s="197"/>
      <c r="G57" s="197" t="s">
        <v>422</v>
      </c>
      <c r="H57" s="197"/>
      <c r="I57" s="197" t="s">
        <v>423</v>
      </c>
      <c r="J57" s="197"/>
      <c r="K57" s="197" t="s">
        <v>424</v>
      </c>
      <c r="L57" s="197"/>
      <c r="M57" s="197" t="s">
        <v>426</v>
      </c>
      <c r="N57" s="197"/>
      <c r="O57" s="197" t="s">
        <v>430</v>
      </c>
    </row>
    <row r="58" customHeight="1" spans="1:15">
      <c r="A58" s="197"/>
      <c r="B58" s="25"/>
      <c r="C58" s="25"/>
      <c r="D58" s="25"/>
      <c r="E58" s="25" t="s">
        <v>433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customHeight="1" spans="1:15">
      <c r="A59" s="197" t="s">
        <v>182</v>
      </c>
      <c r="B59" s="199" t="s">
        <v>432</v>
      </c>
      <c r="C59" s="198" t="s">
        <v>399</v>
      </c>
      <c r="D59" s="198" t="s">
        <v>399</v>
      </c>
      <c r="E59" s="197" t="s">
        <v>433</v>
      </c>
      <c r="F59" s="197"/>
      <c r="G59" s="197" t="s">
        <v>422</v>
      </c>
      <c r="H59" s="197"/>
      <c r="I59" s="197" t="s">
        <v>423</v>
      </c>
      <c r="J59" s="197"/>
      <c r="K59" s="197" t="s">
        <v>424</v>
      </c>
      <c r="L59" s="197"/>
      <c r="M59" s="197" t="s">
        <v>426</v>
      </c>
      <c r="N59" s="197"/>
      <c r="O59" s="197" t="s">
        <v>430</v>
      </c>
    </row>
    <row r="60" customHeight="1" spans="1:15">
      <c r="A60" s="25" t="s">
        <v>185</v>
      </c>
      <c r="B60" s="199" t="s">
        <v>434</v>
      </c>
      <c r="C60" s="198" t="s">
        <v>399</v>
      </c>
      <c r="D60" s="198" t="s">
        <v>399</v>
      </c>
      <c r="E60" s="197" t="s">
        <v>433</v>
      </c>
      <c r="F60" s="197"/>
      <c r="G60" s="197" t="s">
        <v>435</v>
      </c>
      <c r="H60" s="197"/>
      <c r="I60" s="197" t="s">
        <v>436</v>
      </c>
      <c r="J60" s="197"/>
      <c r="K60" s="197" t="s">
        <v>424</v>
      </c>
      <c r="L60" s="197"/>
      <c r="M60" s="197" t="s">
        <v>426</v>
      </c>
      <c r="N60" s="197"/>
      <c r="O60" s="197" t="s">
        <v>430</v>
      </c>
    </row>
    <row r="61" customHeight="1" spans="1:15">
      <c r="A61" s="200" t="s">
        <v>189</v>
      </c>
      <c r="B61" s="199" t="s">
        <v>434</v>
      </c>
      <c r="C61" s="198" t="s">
        <v>399</v>
      </c>
      <c r="D61" s="198" t="s">
        <v>399</v>
      </c>
      <c r="E61" s="197" t="s">
        <v>433</v>
      </c>
      <c r="F61" s="197"/>
      <c r="G61" s="197" t="s">
        <v>435</v>
      </c>
      <c r="H61" s="197"/>
      <c r="I61" s="197" t="s">
        <v>436</v>
      </c>
      <c r="J61" s="197"/>
      <c r="K61" s="197" t="s">
        <v>424</v>
      </c>
      <c r="L61" s="197"/>
      <c r="M61" s="197" t="s">
        <v>426</v>
      </c>
      <c r="N61" s="197"/>
      <c r="O61" s="197" t="s">
        <v>430</v>
      </c>
    </row>
    <row r="62" customHeight="1" spans="1:15">
      <c r="A62" s="201"/>
      <c r="B62" s="199" t="s">
        <v>437</v>
      </c>
      <c r="C62" s="198"/>
      <c r="D62" s="198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</row>
    <row r="63" customHeight="1" spans="1:15">
      <c r="A63" s="197" t="s">
        <v>192</v>
      </c>
      <c r="B63" s="199" t="s">
        <v>437</v>
      </c>
      <c r="C63" s="198" t="s">
        <v>399</v>
      </c>
      <c r="D63" s="198" t="s">
        <v>399</v>
      </c>
      <c r="E63" s="197" t="s">
        <v>433</v>
      </c>
      <c r="F63" s="197"/>
      <c r="G63" s="197" t="s">
        <v>435</v>
      </c>
      <c r="H63" s="197"/>
      <c r="I63" s="197" t="s">
        <v>436</v>
      </c>
      <c r="J63" s="197"/>
      <c r="K63" s="197" t="s">
        <v>424</v>
      </c>
      <c r="L63" s="197"/>
      <c r="M63" s="197" t="s">
        <v>426</v>
      </c>
      <c r="N63" s="197"/>
      <c r="O63" s="197" t="s">
        <v>430</v>
      </c>
    </row>
    <row r="64" customHeight="1" spans="1:15">
      <c r="A64" s="197" t="s">
        <v>196</v>
      </c>
      <c r="B64" s="199" t="s">
        <v>437</v>
      </c>
      <c r="C64" s="198" t="s">
        <v>399</v>
      </c>
      <c r="D64" s="198" t="s">
        <v>399</v>
      </c>
      <c r="E64" s="197" t="s">
        <v>433</v>
      </c>
      <c r="F64" s="197"/>
      <c r="G64" s="197" t="s">
        <v>435</v>
      </c>
      <c r="H64" s="197"/>
      <c r="I64" s="197" t="s">
        <v>436</v>
      </c>
      <c r="J64" s="197"/>
      <c r="K64" s="197" t="s">
        <v>424</v>
      </c>
      <c r="L64" s="197"/>
      <c r="M64" s="197" t="s">
        <v>426</v>
      </c>
      <c r="N64" s="197"/>
      <c r="O64" s="197" t="s">
        <v>430</v>
      </c>
    </row>
    <row r="65" customHeight="1" spans="1:15">
      <c r="A65" s="197" t="s">
        <v>197</v>
      </c>
      <c r="B65" s="199" t="s">
        <v>437</v>
      </c>
      <c r="C65" s="198" t="s">
        <v>399</v>
      </c>
      <c r="D65" s="198" t="s">
        <v>399</v>
      </c>
      <c r="E65" s="197" t="s">
        <v>433</v>
      </c>
      <c r="F65" s="197"/>
      <c r="G65" s="197" t="s">
        <v>435</v>
      </c>
      <c r="H65" s="197"/>
      <c r="I65" s="197" t="s">
        <v>436</v>
      </c>
      <c r="J65" s="197"/>
      <c r="K65" s="197" t="s">
        <v>424</v>
      </c>
      <c r="L65" s="197"/>
      <c r="M65" s="197" t="s">
        <v>426</v>
      </c>
      <c r="N65" s="197"/>
      <c r="O65" s="197" t="s">
        <v>430</v>
      </c>
    </row>
    <row r="66" customHeight="1" spans="1:15">
      <c r="A66" s="197" t="s">
        <v>200</v>
      </c>
      <c r="B66" s="199" t="s">
        <v>438</v>
      </c>
      <c r="C66" s="198" t="s">
        <v>439</v>
      </c>
      <c r="D66" s="198" t="s">
        <v>440</v>
      </c>
      <c r="E66" s="197" t="s">
        <v>433</v>
      </c>
      <c r="F66" s="197"/>
      <c r="G66" s="197" t="s">
        <v>435</v>
      </c>
      <c r="H66" s="197"/>
      <c r="I66" s="197" t="s">
        <v>436</v>
      </c>
      <c r="J66" s="197"/>
      <c r="K66" s="197" t="s">
        <v>424</v>
      </c>
      <c r="L66" s="197"/>
      <c r="M66" s="197" t="s">
        <v>441</v>
      </c>
      <c r="N66" s="197"/>
      <c r="O66" s="197" t="s">
        <v>430</v>
      </c>
    </row>
    <row r="67" customHeight="1" spans="1:15">
      <c r="A67" s="197" t="s">
        <v>203</v>
      </c>
      <c r="B67" s="199" t="s">
        <v>438</v>
      </c>
      <c r="C67" s="198" t="s">
        <v>439</v>
      </c>
      <c r="D67" s="198" t="s">
        <v>440</v>
      </c>
      <c r="E67" s="197" t="s">
        <v>433</v>
      </c>
      <c r="F67" s="197"/>
      <c r="G67" s="197" t="s">
        <v>435</v>
      </c>
      <c r="H67" s="197"/>
      <c r="I67" s="197" t="s">
        <v>436</v>
      </c>
      <c r="J67" s="197"/>
      <c r="K67" s="197" t="s">
        <v>424</v>
      </c>
      <c r="L67" s="197"/>
      <c r="M67" s="197" t="s">
        <v>441</v>
      </c>
      <c r="N67" s="197"/>
      <c r="O67" s="197" t="s">
        <v>430</v>
      </c>
    </row>
    <row r="68" customHeight="1" spans="1:15">
      <c r="A68" s="197" t="s">
        <v>206</v>
      </c>
      <c r="B68" s="199" t="s">
        <v>438</v>
      </c>
      <c r="C68" s="198" t="s">
        <v>439</v>
      </c>
      <c r="D68" s="198" t="s">
        <v>440</v>
      </c>
      <c r="E68" s="197" t="s">
        <v>433</v>
      </c>
      <c r="F68" s="197"/>
      <c r="G68" s="197" t="s">
        <v>435</v>
      </c>
      <c r="H68" s="197"/>
      <c r="I68" s="197" t="s">
        <v>436</v>
      </c>
      <c r="J68" s="197"/>
      <c r="K68" s="197" t="s">
        <v>424</v>
      </c>
      <c r="L68" s="197"/>
      <c r="M68" s="197" t="s">
        <v>441</v>
      </c>
      <c r="N68" s="197"/>
      <c r="O68" s="197" t="s">
        <v>430</v>
      </c>
    </row>
    <row r="69" customHeight="1" spans="1:15">
      <c r="A69" s="197" t="s">
        <v>210</v>
      </c>
      <c r="B69" s="199" t="s">
        <v>438</v>
      </c>
      <c r="C69" s="198" t="s">
        <v>439</v>
      </c>
      <c r="D69" s="198" t="s">
        <v>440</v>
      </c>
      <c r="E69" s="197" t="s">
        <v>433</v>
      </c>
      <c r="F69" s="197"/>
      <c r="G69" s="197" t="s">
        <v>435</v>
      </c>
      <c r="H69" s="197"/>
      <c r="I69" s="197" t="s">
        <v>436</v>
      </c>
      <c r="J69" s="197"/>
      <c r="K69" s="197" t="s">
        <v>424</v>
      </c>
      <c r="L69" s="197"/>
      <c r="M69" s="197" t="s">
        <v>441</v>
      </c>
      <c r="N69" s="197"/>
      <c r="O69" s="197" t="s">
        <v>430</v>
      </c>
    </row>
    <row r="70" customHeight="1" spans="1:15">
      <c r="A70" s="197" t="s">
        <v>213</v>
      </c>
      <c r="B70" s="199" t="s">
        <v>442</v>
      </c>
      <c r="C70" s="198" t="s">
        <v>439</v>
      </c>
      <c r="D70" s="198" t="s">
        <v>440</v>
      </c>
      <c r="E70" s="197" t="s">
        <v>433</v>
      </c>
      <c r="F70" s="197"/>
      <c r="G70" s="197" t="s">
        <v>435</v>
      </c>
      <c r="H70" s="197"/>
      <c r="I70" s="197" t="s">
        <v>436</v>
      </c>
      <c r="J70" s="197"/>
      <c r="K70" s="197" t="s">
        <v>424</v>
      </c>
      <c r="L70" s="197"/>
      <c r="M70" s="197" t="s">
        <v>441</v>
      </c>
      <c r="N70" s="197"/>
      <c r="O70" s="197" t="s">
        <v>430</v>
      </c>
    </row>
    <row r="71" customHeight="1" spans="1:15">
      <c r="A71" s="197" t="s">
        <v>218</v>
      </c>
      <c r="B71" s="199" t="s">
        <v>442</v>
      </c>
      <c r="C71" s="198" t="s">
        <v>439</v>
      </c>
      <c r="D71" s="198" t="s">
        <v>440</v>
      </c>
      <c r="E71" s="197" t="s">
        <v>433</v>
      </c>
      <c r="F71" s="197"/>
      <c r="G71" s="197" t="s">
        <v>435</v>
      </c>
      <c r="H71" s="197"/>
      <c r="I71" s="197" t="s">
        <v>436</v>
      </c>
      <c r="J71" s="197"/>
      <c r="K71" s="197" t="s">
        <v>443</v>
      </c>
      <c r="L71" s="197"/>
      <c r="M71" s="197" t="s">
        <v>441</v>
      </c>
      <c r="N71" s="197"/>
      <c r="O71" s="197" t="s">
        <v>430</v>
      </c>
    </row>
    <row r="72" customHeight="1" spans="1:15">
      <c r="A72" s="197"/>
      <c r="B72" s="199" t="s">
        <v>444</v>
      </c>
      <c r="C72" s="198"/>
      <c r="D72" s="198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</row>
    <row r="73" customHeight="1" spans="1:15">
      <c r="A73" s="198" t="s">
        <v>221</v>
      </c>
      <c r="B73" s="199" t="s">
        <v>444</v>
      </c>
      <c r="C73" s="198" t="s">
        <v>439</v>
      </c>
      <c r="D73" s="198" t="s">
        <v>445</v>
      </c>
      <c r="E73" s="197" t="s">
        <v>433</v>
      </c>
      <c r="F73" s="197"/>
      <c r="G73" s="197" t="s">
        <v>435</v>
      </c>
      <c r="H73" s="197"/>
      <c r="I73" s="197" t="s">
        <v>436</v>
      </c>
      <c r="J73" s="197"/>
      <c r="K73" s="197" t="s">
        <v>443</v>
      </c>
      <c r="L73" s="197"/>
      <c r="M73" s="197" t="s">
        <v>441</v>
      </c>
      <c r="N73" s="197"/>
      <c r="O73" s="197" t="s">
        <v>430</v>
      </c>
    </row>
    <row r="74" customHeight="1" spans="1:15">
      <c r="A74" s="198"/>
      <c r="B74" s="199" t="s">
        <v>446</v>
      </c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</row>
    <row r="75" customHeight="1" spans="1:15">
      <c r="A75" s="198" t="s">
        <v>223</v>
      </c>
      <c r="B75" s="199" t="s">
        <v>446</v>
      </c>
      <c r="C75" s="198" t="s">
        <v>439</v>
      </c>
      <c r="D75" s="198" t="s">
        <v>445</v>
      </c>
      <c r="E75" s="197" t="s">
        <v>433</v>
      </c>
      <c r="F75" s="197"/>
      <c r="G75" s="197" t="s">
        <v>435</v>
      </c>
      <c r="H75" s="197"/>
      <c r="I75" s="197" t="s">
        <v>436</v>
      </c>
      <c r="J75" s="197"/>
      <c r="K75" s="197" t="s">
        <v>443</v>
      </c>
      <c r="L75" s="197"/>
      <c r="M75" s="197" t="s">
        <v>441</v>
      </c>
      <c r="N75" s="197"/>
      <c r="O75" s="197" t="s">
        <v>430</v>
      </c>
    </row>
    <row r="76" s="1" customFormat="1" customHeight="1" spans="1:15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</row>
    <row r="77" customHeight="1" spans="1:15">
      <c r="A77" s="199" t="s">
        <v>226</v>
      </c>
      <c r="B77" s="199" t="s">
        <v>446</v>
      </c>
      <c r="C77" s="198" t="s">
        <v>439</v>
      </c>
      <c r="D77" s="198" t="s">
        <v>445</v>
      </c>
      <c r="E77" s="197" t="s">
        <v>433</v>
      </c>
      <c r="F77" s="197"/>
      <c r="G77" s="197" t="s">
        <v>435</v>
      </c>
      <c r="H77" s="197"/>
      <c r="I77" s="197" t="s">
        <v>436</v>
      </c>
      <c r="J77" s="197"/>
      <c r="K77" s="197" t="s">
        <v>443</v>
      </c>
      <c r="L77" s="197"/>
      <c r="M77" s="197" t="s">
        <v>441</v>
      </c>
      <c r="N77" s="197"/>
      <c r="O77" s="197" t="s">
        <v>430</v>
      </c>
    </row>
    <row r="78" customHeight="1" spans="1:15">
      <c r="A78" s="199" t="s">
        <v>228</v>
      </c>
      <c r="B78" s="199" t="s">
        <v>446</v>
      </c>
      <c r="C78" s="198" t="s">
        <v>439</v>
      </c>
      <c r="D78" s="198" t="s">
        <v>445</v>
      </c>
      <c r="E78" s="197" t="s">
        <v>433</v>
      </c>
      <c r="F78" s="197"/>
      <c r="G78" s="197" t="s">
        <v>435</v>
      </c>
      <c r="H78" s="197"/>
      <c r="I78" s="197" t="s">
        <v>436</v>
      </c>
      <c r="J78" s="197"/>
      <c r="K78" s="197" t="s">
        <v>443</v>
      </c>
      <c r="L78" s="197"/>
      <c r="M78" s="197" t="s">
        <v>441</v>
      </c>
      <c r="N78" s="197"/>
      <c r="O78" s="197" t="s">
        <v>430</v>
      </c>
    </row>
    <row r="79" customHeight="1" spans="1:15">
      <c r="A79" s="199" t="s">
        <v>230</v>
      </c>
      <c r="B79" s="199" t="s">
        <v>446</v>
      </c>
      <c r="C79" s="198" t="s">
        <v>439</v>
      </c>
      <c r="D79" s="198" t="s">
        <v>445</v>
      </c>
      <c r="E79" s="197" t="s">
        <v>433</v>
      </c>
      <c r="F79" s="197"/>
      <c r="G79" s="197" t="s">
        <v>435</v>
      </c>
      <c r="H79" s="197"/>
      <c r="I79" s="197" t="s">
        <v>436</v>
      </c>
      <c r="J79" s="197"/>
      <c r="K79" s="197" t="s">
        <v>443</v>
      </c>
      <c r="L79" s="197"/>
      <c r="M79" s="197" t="s">
        <v>441</v>
      </c>
      <c r="N79" s="197"/>
      <c r="O79" s="197" t="s">
        <v>430</v>
      </c>
    </row>
    <row r="80" customHeight="1" spans="1:15">
      <c r="A80" s="199" t="s">
        <v>233</v>
      </c>
      <c r="B80" s="199" t="s">
        <v>446</v>
      </c>
      <c r="C80" s="198" t="s">
        <v>439</v>
      </c>
      <c r="D80" s="198" t="s">
        <v>445</v>
      </c>
      <c r="E80" s="197" t="s">
        <v>433</v>
      </c>
      <c r="F80" s="197"/>
      <c r="G80" s="197" t="s">
        <v>435</v>
      </c>
      <c r="H80" s="197"/>
      <c r="I80" s="197" t="s">
        <v>436</v>
      </c>
      <c r="J80" s="197"/>
      <c r="K80" s="197" t="s">
        <v>443</v>
      </c>
      <c r="L80" s="197"/>
      <c r="M80" s="197" t="s">
        <v>441</v>
      </c>
      <c r="N80" s="197"/>
      <c r="O80" s="197" t="s">
        <v>430</v>
      </c>
    </row>
    <row r="81" customHeight="1" spans="1:15">
      <c r="A81" s="199"/>
      <c r="B81" s="199" t="s">
        <v>447</v>
      </c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</row>
    <row r="82" customHeight="1" spans="1:15">
      <c r="A82" s="199" t="s">
        <v>237</v>
      </c>
      <c r="B82" s="199" t="s">
        <v>447</v>
      </c>
      <c r="C82" s="198" t="s">
        <v>439</v>
      </c>
      <c r="D82" s="198" t="s">
        <v>445</v>
      </c>
      <c r="E82" s="197" t="s">
        <v>433</v>
      </c>
      <c r="F82" s="197"/>
      <c r="G82" s="197" t="s">
        <v>435</v>
      </c>
      <c r="H82" s="197"/>
      <c r="I82" s="197" t="s">
        <v>448</v>
      </c>
      <c r="J82" s="197" t="s">
        <v>449</v>
      </c>
      <c r="K82" s="197" t="s">
        <v>443</v>
      </c>
      <c r="L82" s="197"/>
      <c r="M82" s="197" t="s">
        <v>441</v>
      </c>
      <c r="N82" s="197"/>
      <c r="O82" s="197" t="s">
        <v>430</v>
      </c>
    </row>
    <row r="83" customHeight="1" spans="1:15">
      <c r="A83" s="199" t="s">
        <v>239</v>
      </c>
      <c r="B83" s="199" t="s">
        <v>450</v>
      </c>
      <c r="C83" s="198" t="s">
        <v>439</v>
      </c>
      <c r="D83" s="198" t="s">
        <v>445</v>
      </c>
      <c r="E83" s="197" t="s">
        <v>451</v>
      </c>
      <c r="F83" s="197"/>
      <c r="G83" s="197" t="s">
        <v>435</v>
      </c>
      <c r="H83" s="197"/>
      <c r="I83" s="197" t="s">
        <v>448</v>
      </c>
      <c r="J83" s="197" t="s">
        <v>449</v>
      </c>
      <c r="K83" s="197" t="s">
        <v>443</v>
      </c>
      <c r="L83" s="197"/>
      <c r="M83" s="197" t="s">
        <v>441</v>
      </c>
      <c r="N83" s="197"/>
      <c r="O83" s="197" t="s">
        <v>430</v>
      </c>
    </row>
    <row r="84" customHeight="1" spans="1:15">
      <c r="A84" s="199"/>
      <c r="B84" s="199" t="s">
        <v>452</v>
      </c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</row>
    <row r="85" customHeight="1" spans="1:15">
      <c r="A85" s="199" t="s">
        <v>242</v>
      </c>
      <c r="B85" s="199" t="s">
        <v>452</v>
      </c>
      <c r="C85" s="198" t="s">
        <v>439</v>
      </c>
      <c r="D85" s="198" t="s">
        <v>445</v>
      </c>
      <c r="E85" s="197" t="s">
        <v>451</v>
      </c>
      <c r="F85" s="197"/>
      <c r="G85" s="197" t="s">
        <v>435</v>
      </c>
      <c r="H85" s="197"/>
      <c r="I85" s="197" t="s">
        <v>448</v>
      </c>
      <c r="J85" s="197" t="s">
        <v>449</v>
      </c>
      <c r="K85" s="197" t="s">
        <v>443</v>
      </c>
      <c r="L85" s="197"/>
      <c r="M85" s="197" t="s">
        <v>441</v>
      </c>
      <c r="N85" s="197"/>
      <c r="O85" s="197" t="s">
        <v>430</v>
      </c>
    </row>
    <row r="86" customHeight="1" spans="1:15">
      <c r="A86" s="199" t="s">
        <v>244</v>
      </c>
      <c r="B86" s="199" t="s">
        <v>452</v>
      </c>
      <c r="C86" s="198" t="s">
        <v>439</v>
      </c>
      <c r="D86" s="198" t="s">
        <v>445</v>
      </c>
      <c r="E86" s="197" t="s">
        <v>451</v>
      </c>
      <c r="F86" s="197"/>
      <c r="G86" s="197" t="s">
        <v>435</v>
      </c>
      <c r="H86" s="197"/>
      <c r="I86" s="197" t="s">
        <v>448</v>
      </c>
      <c r="J86" s="197" t="s">
        <v>449</v>
      </c>
      <c r="K86" s="197" t="s">
        <v>443</v>
      </c>
      <c r="L86" s="197"/>
      <c r="M86" s="197" t="s">
        <v>441</v>
      </c>
      <c r="N86" s="197"/>
      <c r="O86" s="197" t="s">
        <v>430</v>
      </c>
    </row>
    <row r="87" customHeight="1" spans="1:15">
      <c r="A87" s="199" t="s">
        <v>246</v>
      </c>
      <c r="B87" s="199" t="s">
        <v>452</v>
      </c>
      <c r="C87" s="198" t="s">
        <v>439</v>
      </c>
      <c r="D87" s="198" t="s">
        <v>445</v>
      </c>
      <c r="E87" s="197" t="s">
        <v>451</v>
      </c>
      <c r="F87" s="197"/>
      <c r="G87" s="197" t="s">
        <v>435</v>
      </c>
      <c r="H87" s="197"/>
      <c r="I87" s="197" t="s">
        <v>448</v>
      </c>
      <c r="J87" s="197" t="s">
        <v>449</v>
      </c>
      <c r="K87" s="197" t="s">
        <v>443</v>
      </c>
      <c r="L87" s="197"/>
      <c r="M87" s="197" t="s">
        <v>441</v>
      </c>
      <c r="N87" s="197"/>
      <c r="O87" s="197" t="s">
        <v>430</v>
      </c>
    </row>
    <row r="88" customHeight="1" spans="1:15">
      <c r="A88" s="199" t="s">
        <v>248</v>
      </c>
      <c r="B88" s="199" t="s">
        <v>452</v>
      </c>
      <c r="C88" s="198" t="s">
        <v>439</v>
      </c>
      <c r="D88" s="198" t="s">
        <v>445</v>
      </c>
      <c r="E88" s="197" t="s">
        <v>451</v>
      </c>
      <c r="F88" s="197"/>
      <c r="G88" s="197" t="s">
        <v>435</v>
      </c>
      <c r="H88" s="197"/>
      <c r="I88" s="197" t="s">
        <v>448</v>
      </c>
      <c r="J88" s="197" t="s">
        <v>449</v>
      </c>
      <c r="K88" s="197" t="s">
        <v>443</v>
      </c>
      <c r="L88" s="197"/>
      <c r="M88" s="197" t="s">
        <v>441</v>
      </c>
      <c r="N88" s="197"/>
      <c r="O88" s="197" t="s">
        <v>430</v>
      </c>
    </row>
    <row r="89" customHeight="1" spans="1:15">
      <c r="A89" s="199" t="s">
        <v>252</v>
      </c>
      <c r="B89" s="199" t="s">
        <v>452</v>
      </c>
      <c r="C89" s="198" t="s">
        <v>439</v>
      </c>
      <c r="D89" s="198" t="s">
        <v>445</v>
      </c>
      <c r="E89" s="197" t="s">
        <v>451</v>
      </c>
      <c r="F89" s="197"/>
      <c r="G89" s="197" t="s">
        <v>435</v>
      </c>
      <c r="H89" s="197"/>
      <c r="I89" s="197" t="s">
        <v>448</v>
      </c>
      <c r="J89" s="197" t="s">
        <v>449</v>
      </c>
      <c r="K89" s="197" t="s">
        <v>443</v>
      </c>
      <c r="L89" s="197"/>
      <c r="M89" s="197" t="s">
        <v>441</v>
      </c>
      <c r="N89" s="197"/>
      <c r="O89" s="197" t="s">
        <v>430</v>
      </c>
    </row>
    <row r="90" customHeight="1" spans="1:15">
      <c r="A90" s="199" t="s">
        <v>257</v>
      </c>
      <c r="B90" s="199" t="s">
        <v>452</v>
      </c>
      <c r="C90" s="198" t="s">
        <v>439</v>
      </c>
      <c r="D90" s="198" t="s">
        <v>445</v>
      </c>
      <c r="E90" s="197" t="s">
        <v>451</v>
      </c>
      <c r="F90" s="197"/>
      <c r="G90" s="197" t="s">
        <v>435</v>
      </c>
      <c r="H90" s="197"/>
      <c r="I90" s="197" t="s">
        <v>448</v>
      </c>
      <c r="J90" s="197" t="s">
        <v>449</v>
      </c>
      <c r="K90" s="197" t="s">
        <v>443</v>
      </c>
      <c r="L90" s="197"/>
      <c r="M90" s="197" t="s">
        <v>441</v>
      </c>
      <c r="N90" s="197"/>
      <c r="O90" s="197" t="s">
        <v>430</v>
      </c>
    </row>
    <row r="91" customHeight="1" spans="1:15">
      <c r="A91" s="199"/>
      <c r="B91" s="25" t="s">
        <v>453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customHeight="1" spans="1:15">
      <c r="A92" s="25" t="s">
        <v>259</v>
      </c>
      <c r="B92" s="199" t="s">
        <v>453</v>
      </c>
      <c r="C92" s="198" t="s">
        <v>439</v>
      </c>
      <c r="D92" s="198" t="s">
        <v>445</v>
      </c>
      <c r="E92" s="197" t="s">
        <v>451</v>
      </c>
      <c r="F92" s="197"/>
      <c r="G92" s="197" t="s">
        <v>435</v>
      </c>
      <c r="H92" s="197"/>
      <c r="I92" s="197" t="s">
        <v>448</v>
      </c>
      <c r="J92" s="197" t="s">
        <v>449</v>
      </c>
      <c r="K92" s="197" t="s">
        <v>443</v>
      </c>
      <c r="L92" s="197"/>
      <c r="M92" s="197" t="s">
        <v>441</v>
      </c>
      <c r="N92" s="197"/>
      <c r="O92" s="197" t="s">
        <v>430</v>
      </c>
    </row>
    <row r="93" customHeight="1" spans="1:15">
      <c r="A93" s="25" t="s">
        <v>261</v>
      </c>
      <c r="B93" s="199" t="s">
        <v>453</v>
      </c>
      <c r="C93" s="198" t="s">
        <v>439</v>
      </c>
      <c r="D93" s="198" t="s">
        <v>445</v>
      </c>
      <c r="E93" s="197" t="s">
        <v>451</v>
      </c>
      <c r="F93" s="197"/>
      <c r="G93" s="197" t="s">
        <v>435</v>
      </c>
      <c r="H93" s="197"/>
      <c r="I93" s="197" t="s">
        <v>448</v>
      </c>
      <c r="J93" s="197" t="s">
        <v>449</v>
      </c>
      <c r="K93" s="197" t="s">
        <v>443</v>
      </c>
      <c r="L93" s="197"/>
      <c r="M93" s="197" t="s">
        <v>441</v>
      </c>
      <c r="N93" s="197"/>
      <c r="O93" s="197" t="s">
        <v>430</v>
      </c>
    </row>
    <row r="94" customHeight="1" spans="1:15">
      <c r="A94" s="25"/>
      <c r="B94" s="25"/>
      <c r="C94" s="25"/>
      <c r="D94" s="25"/>
      <c r="E94" s="25" t="s">
        <v>454</v>
      </c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customHeight="1" spans="1:15">
      <c r="A95" s="25" t="s">
        <v>264</v>
      </c>
      <c r="B95" s="199" t="s">
        <v>453</v>
      </c>
      <c r="C95" s="198" t="s">
        <v>439</v>
      </c>
      <c r="D95" s="198" t="s">
        <v>445</v>
      </c>
      <c r="E95" s="197" t="s">
        <v>454</v>
      </c>
      <c r="F95" s="197"/>
      <c r="G95" s="197" t="s">
        <v>435</v>
      </c>
      <c r="H95" s="197"/>
      <c r="I95" s="197" t="s">
        <v>448</v>
      </c>
      <c r="J95" s="197" t="s">
        <v>449</v>
      </c>
      <c r="K95" s="197" t="s">
        <v>443</v>
      </c>
      <c r="L95" s="197"/>
      <c r="M95" s="197" t="s">
        <v>441</v>
      </c>
      <c r="N95" s="197"/>
      <c r="O95" s="197" t="s">
        <v>430</v>
      </c>
    </row>
    <row r="96" customHeight="1" spans="1:15">
      <c r="A96" s="25" t="s">
        <v>266</v>
      </c>
      <c r="B96" s="199" t="s">
        <v>455</v>
      </c>
      <c r="C96" s="198" t="s">
        <v>439</v>
      </c>
      <c r="D96" s="198" t="s">
        <v>445</v>
      </c>
      <c r="E96" s="197" t="s">
        <v>454</v>
      </c>
      <c r="F96" s="197"/>
      <c r="G96" s="197" t="s">
        <v>435</v>
      </c>
      <c r="H96" s="197"/>
      <c r="I96" s="197" t="s">
        <v>448</v>
      </c>
      <c r="J96" s="197" t="s">
        <v>449</v>
      </c>
      <c r="K96" s="197" t="s">
        <v>443</v>
      </c>
      <c r="L96" s="197"/>
      <c r="M96" s="197" t="s">
        <v>456</v>
      </c>
      <c r="N96" s="197" t="s">
        <v>457</v>
      </c>
      <c r="O96" s="197" t="s">
        <v>430</v>
      </c>
    </row>
    <row r="97" customHeight="1" spans="1:15">
      <c r="A97" s="25" t="s">
        <v>268</v>
      </c>
      <c r="B97" s="199" t="s">
        <v>455</v>
      </c>
      <c r="C97" s="198" t="s">
        <v>439</v>
      </c>
      <c r="D97" s="198" t="s">
        <v>445</v>
      </c>
      <c r="E97" s="197" t="s">
        <v>454</v>
      </c>
      <c r="F97" s="197"/>
      <c r="G97" s="197" t="s">
        <v>435</v>
      </c>
      <c r="H97" s="197"/>
      <c r="I97" s="197" t="s">
        <v>448</v>
      </c>
      <c r="J97" s="197" t="s">
        <v>449</v>
      </c>
      <c r="K97" s="197" t="s">
        <v>443</v>
      </c>
      <c r="L97" s="197"/>
      <c r="M97" s="197" t="s">
        <v>456</v>
      </c>
      <c r="N97" s="197" t="s">
        <v>457</v>
      </c>
      <c r="O97" s="197" t="s">
        <v>430</v>
      </c>
    </row>
    <row r="98" customHeight="1" spans="1:15">
      <c r="A98" s="25" t="s">
        <v>270</v>
      </c>
      <c r="B98" s="199" t="s">
        <v>455</v>
      </c>
      <c r="C98" s="198" t="s">
        <v>439</v>
      </c>
      <c r="D98" s="198" t="s">
        <v>445</v>
      </c>
      <c r="E98" s="197" t="s">
        <v>454</v>
      </c>
      <c r="F98" s="197"/>
      <c r="G98" s="197" t="s">
        <v>435</v>
      </c>
      <c r="H98" s="197"/>
      <c r="I98" s="197" t="s">
        <v>448</v>
      </c>
      <c r="J98" s="197" t="s">
        <v>449</v>
      </c>
      <c r="K98" s="197" t="s">
        <v>443</v>
      </c>
      <c r="L98" s="197"/>
      <c r="M98" s="197" t="s">
        <v>456</v>
      </c>
      <c r="N98" s="197" t="s">
        <v>457</v>
      </c>
      <c r="O98" s="197" t="s">
        <v>430</v>
      </c>
    </row>
    <row r="99" customHeight="1" spans="1:15">
      <c r="A99" s="25" t="s">
        <v>272</v>
      </c>
      <c r="B99" s="199" t="s">
        <v>455</v>
      </c>
      <c r="C99" s="198" t="s">
        <v>439</v>
      </c>
      <c r="D99" s="198" t="s">
        <v>445</v>
      </c>
      <c r="E99" s="197" t="s">
        <v>454</v>
      </c>
      <c r="F99" s="197"/>
      <c r="G99" s="197" t="s">
        <v>458</v>
      </c>
      <c r="H99" s="197"/>
      <c r="I99" s="197" t="s">
        <v>448</v>
      </c>
      <c r="J99" s="197" t="s">
        <v>449</v>
      </c>
      <c r="K99" s="197" t="s">
        <v>443</v>
      </c>
      <c r="L99" s="197"/>
      <c r="M99" s="197" t="s">
        <v>456</v>
      </c>
      <c r="N99" s="197" t="s">
        <v>457</v>
      </c>
      <c r="O99" s="197" t="s">
        <v>430</v>
      </c>
    </row>
    <row r="100" customHeight="1" spans="1:15">
      <c r="A100" s="25" t="s">
        <v>275</v>
      </c>
      <c r="B100" s="199" t="s">
        <v>455</v>
      </c>
      <c r="C100" s="198" t="s">
        <v>439</v>
      </c>
      <c r="D100" s="198" t="s">
        <v>445</v>
      </c>
      <c r="E100" s="197" t="s">
        <v>454</v>
      </c>
      <c r="F100" s="197"/>
      <c r="G100" s="197" t="s">
        <v>458</v>
      </c>
      <c r="H100" s="197"/>
      <c r="I100" s="197" t="s">
        <v>448</v>
      </c>
      <c r="J100" s="197" t="s">
        <v>449</v>
      </c>
      <c r="K100" s="197" t="s">
        <v>443</v>
      </c>
      <c r="L100" s="197"/>
      <c r="M100" s="197" t="s">
        <v>456</v>
      </c>
      <c r="N100" s="197" t="s">
        <v>457</v>
      </c>
      <c r="O100" s="197" t="s">
        <v>430</v>
      </c>
    </row>
    <row r="101" customHeight="1" spans="1:15">
      <c r="A101" s="25" t="s">
        <v>276</v>
      </c>
      <c r="B101" s="199" t="s">
        <v>459</v>
      </c>
      <c r="C101" s="198" t="s">
        <v>439</v>
      </c>
      <c r="D101" s="198" t="s">
        <v>460</v>
      </c>
      <c r="E101" s="197" t="s">
        <v>454</v>
      </c>
      <c r="F101" s="197"/>
      <c r="G101" s="197" t="s">
        <v>458</v>
      </c>
      <c r="H101" s="197"/>
      <c r="I101" s="197" t="s">
        <v>448</v>
      </c>
      <c r="J101" s="197" t="s">
        <v>449</v>
      </c>
      <c r="K101" s="197" t="s">
        <v>443</v>
      </c>
      <c r="L101" s="197"/>
      <c r="M101" s="197" t="s">
        <v>456</v>
      </c>
      <c r="N101" s="197" t="s">
        <v>457</v>
      </c>
      <c r="O101" s="197" t="s">
        <v>430</v>
      </c>
    </row>
    <row r="102" customHeight="1" spans="1:15">
      <c r="A102" s="25" t="s">
        <v>278</v>
      </c>
      <c r="B102" s="199" t="s">
        <v>459</v>
      </c>
      <c r="C102" s="198" t="s">
        <v>439</v>
      </c>
      <c r="D102" s="198" t="s">
        <v>460</v>
      </c>
      <c r="E102" s="197" t="s">
        <v>454</v>
      </c>
      <c r="F102" s="197"/>
      <c r="G102" s="197" t="s">
        <v>458</v>
      </c>
      <c r="H102" s="197"/>
      <c r="I102" s="197" t="s">
        <v>448</v>
      </c>
      <c r="J102" s="197" t="s">
        <v>449</v>
      </c>
      <c r="K102" s="197" t="s">
        <v>461</v>
      </c>
      <c r="L102" s="197"/>
      <c r="M102" s="197" t="s">
        <v>456</v>
      </c>
      <c r="N102" s="197" t="s">
        <v>457</v>
      </c>
      <c r="O102" s="197" t="s">
        <v>430</v>
      </c>
    </row>
    <row r="103" customHeight="1" spans="1:15">
      <c r="A103" s="25" t="s">
        <v>281</v>
      </c>
      <c r="B103" s="199" t="s">
        <v>459</v>
      </c>
      <c r="C103" s="198" t="s">
        <v>439</v>
      </c>
      <c r="D103" s="198" t="s">
        <v>460</v>
      </c>
      <c r="E103" s="197" t="s">
        <v>462</v>
      </c>
      <c r="F103" s="197" t="s">
        <v>463</v>
      </c>
      <c r="G103" s="197" t="s">
        <v>458</v>
      </c>
      <c r="H103" s="197"/>
      <c r="I103" s="197" t="s">
        <v>448</v>
      </c>
      <c r="J103" s="197" t="s">
        <v>449</v>
      </c>
      <c r="K103" s="197" t="s">
        <v>461</v>
      </c>
      <c r="L103" s="197"/>
      <c r="M103" s="197" t="s">
        <v>456</v>
      </c>
      <c r="N103" s="197" t="s">
        <v>457</v>
      </c>
      <c r="O103" s="197" t="s">
        <v>430</v>
      </c>
    </row>
    <row r="104" customHeight="1" spans="1:15">
      <c r="A104" s="25" t="s">
        <v>283</v>
      </c>
      <c r="B104" s="199" t="s">
        <v>464</v>
      </c>
      <c r="C104" s="198" t="s">
        <v>439</v>
      </c>
      <c r="D104" s="198" t="s">
        <v>460</v>
      </c>
      <c r="E104" s="197" t="s">
        <v>462</v>
      </c>
      <c r="F104" s="197" t="s">
        <v>463</v>
      </c>
      <c r="G104" s="197" t="s">
        <v>465</v>
      </c>
      <c r="H104" s="197"/>
      <c r="I104" s="197" t="s">
        <v>448</v>
      </c>
      <c r="J104" s="197" t="s">
        <v>449</v>
      </c>
      <c r="K104" s="197" t="s">
        <v>466</v>
      </c>
      <c r="L104" s="197" t="s">
        <v>467</v>
      </c>
      <c r="M104" s="197" t="s">
        <v>456</v>
      </c>
      <c r="N104" s="197" t="s">
        <v>457</v>
      </c>
      <c r="O104" s="197" t="s">
        <v>468</v>
      </c>
    </row>
    <row r="105" customHeight="1" spans="1:15">
      <c r="A105" s="25" t="s">
        <v>284</v>
      </c>
      <c r="B105" s="199" t="s">
        <v>464</v>
      </c>
      <c r="C105" s="198" t="s">
        <v>439</v>
      </c>
      <c r="D105" s="198" t="s">
        <v>460</v>
      </c>
      <c r="E105" s="197" t="s">
        <v>462</v>
      </c>
      <c r="F105" s="197" t="s">
        <v>463</v>
      </c>
      <c r="G105" s="197" t="s">
        <v>465</v>
      </c>
      <c r="H105" s="197"/>
      <c r="I105" s="197" t="s">
        <v>448</v>
      </c>
      <c r="J105" s="197" t="s">
        <v>449</v>
      </c>
      <c r="K105" s="197" t="s">
        <v>466</v>
      </c>
      <c r="L105" s="197" t="s">
        <v>467</v>
      </c>
      <c r="M105" s="197" t="s">
        <v>456</v>
      </c>
      <c r="N105" s="197" t="s">
        <v>457</v>
      </c>
      <c r="O105" s="197" t="s">
        <v>468</v>
      </c>
    </row>
    <row r="106" customHeight="1" spans="1:15">
      <c r="A106" s="25" t="s">
        <v>287</v>
      </c>
      <c r="B106" s="199" t="s">
        <v>464</v>
      </c>
      <c r="C106" s="198" t="s">
        <v>439</v>
      </c>
      <c r="D106" s="198" t="s">
        <v>460</v>
      </c>
      <c r="E106" s="197" t="s">
        <v>462</v>
      </c>
      <c r="F106" s="197" t="s">
        <v>463</v>
      </c>
      <c r="G106" s="197" t="s">
        <v>465</v>
      </c>
      <c r="H106" s="197"/>
      <c r="I106" s="197" t="s">
        <v>448</v>
      </c>
      <c r="J106" s="197" t="s">
        <v>449</v>
      </c>
      <c r="K106" s="197" t="s">
        <v>466</v>
      </c>
      <c r="L106" s="197" t="s">
        <v>467</v>
      </c>
      <c r="M106" s="197" t="s">
        <v>456</v>
      </c>
      <c r="N106" s="197" t="s">
        <v>457</v>
      </c>
      <c r="O106" s="197" t="s">
        <v>468</v>
      </c>
    </row>
    <row r="107" customHeight="1" spans="1:15">
      <c r="A107" s="25" t="s">
        <v>291</v>
      </c>
      <c r="B107" s="199" t="s">
        <v>469</v>
      </c>
      <c r="C107" s="198" t="s">
        <v>439</v>
      </c>
      <c r="D107" s="198" t="s">
        <v>460</v>
      </c>
      <c r="E107" s="197" t="s">
        <v>462</v>
      </c>
      <c r="F107" s="197" t="s">
        <v>463</v>
      </c>
      <c r="G107" s="197" t="s">
        <v>465</v>
      </c>
      <c r="H107" s="197"/>
      <c r="I107" s="197" t="s">
        <v>448</v>
      </c>
      <c r="J107" s="197" t="s">
        <v>449</v>
      </c>
      <c r="K107" s="197" t="s">
        <v>466</v>
      </c>
      <c r="L107" s="197" t="s">
        <v>467</v>
      </c>
      <c r="M107" s="197" t="s">
        <v>456</v>
      </c>
      <c r="N107" s="197" t="s">
        <v>457</v>
      </c>
      <c r="O107" s="197" t="s">
        <v>468</v>
      </c>
    </row>
    <row r="108" customHeight="1" spans="1:15">
      <c r="A108" s="25" t="s">
        <v>292</v>
      </c>
      <c r="B108" s="199" t="s">
        <v>469</v>
      </c>
      <c r="C108" s="198" t="s">
        <v>439</v>
      </c>
      <c r="D108" s="198" t="s">
        <v>460</v>
      </c>
      <c r="E108" s="197" t="s">
        <v>462</v>
      </c>
      <c r="F108" s="197" t="s">
        <v>463</v>
      </c>
      <c r="G108" s="197" t="s">
        <v>465</v>
      </c>
      <c r="H108" s="197"/>
      <c r="I108" s="197" t="s">
        <v>448</v>
      </c>
      <c r="J108" s="197" t="s">
        <v>449</v>
      </c>
      <c r="K108" s="197" t="s">
        <v>466</v>
      </c>
      <c r="L108" s="197" t="s">
        <v>467</v>
      </c>
      <c r="M108" s="197" t="s">
        <v>456</v>
      </c>
      <c r="N108" s="197" t="s">
        <v>457</v>
      </c>
      <c r="O108" s="197" t="s">
        <v>468</v>
      </c>
    </row>
    <row r="109" customHeight="1" spans="1:15">
      <c r="A109" s="25" t="s">
        <v>293</v>
      </c>
      <c r="B109" s="199" t="s">
        <v>469</v>
      </c>
      <c r="C109" s="198" t="s">
        <v>439</v>
      </c>
      <c r="D109" s="198" t="s">
        <v>460</v>
      </c>
      <c r="E109" s="197" t="s">
        <v>462</v>
      </c>
      <c r="F109" s="197" t="s">
        <v>463</v>
      </c>
      <c r="G109" s="197" t="s">
        <v>465</v>
      </c>
      <c r="H109" s="197"/>
      <c r="I109" s="197" t="s">
        <v>448</v>
      </c>
      <c r="J109" s="197" t="s">
        <v>449</v>
      </c>
      <c r="K109" s="197" t="s">
        <v>466</v>
      </c>
      <c r="L109" s="197" t="s">
        <v>467</v>
      </c>
      <c r="M109" s="197" t="s">
        <v>456</v>
      </c>
      <c r="N109" s="197" t="s">
        <v>457</v>
      </c>
      <c r="O109" s="197" t="s">
        <v>468</v>
      </c>
    </row>
    <row r="110" customHeight="1" spans="1:15">
      <c r="A110" s="25" t="s">
        <v>296</v>
      </c>
      <c r="B110" s="199" t="s">
        <v>470</v>
      </c>
      <c r="C110" s="198" t="s">
        <v>439</v>
      </c>
      <c r="D110" s="198" t="s">
        <v>460</v>
      </c>
      <c r="E110" s="197" t="s">
        <v>462</v>
      </c>
      <c r="F110" s="197" t="s">
        <v>463</v>
      </c>
      <c r="G110" s="197" t="s">
        <v>471</v>
      </c>
      <c r="H110" s="197" t="s">
        <v>472</v>
      </c>
      <c r="I110" s="197" t="s">
        <v>448</v>
      </c>
      <c r="J110" s="197" t="s">
        <v>449</v>
      </c>
      <c r="K110" s="197" t="s">
        <v>466</v>
      </c>
      <c r="L110" s="197" t="s">
        <v>467</v>
      </c>
      <c r="M110" s="197" t="s">
        <v>456</v>
      </c>
      <c r="N110" s="197" t="s">
        <v>457</v>
      </c>
      <c r="O110" s="197" t="s">
        <v>468</v>
      </c>
    </row>
    <row r="111" customHeight="1" spans="1:16">
      <c r="A111" s="29" t="s">
        <v>298</v>
      </c>
      <c r="B111" s="199" t="s">
        <v>473</v>
      </c>
      <c r="C111" s="198" t="s">
        <v>439</v>
      </c>
      <c r="D111" s="198" t="s">
        <v>460</v>
      </c>
      <c r="E111" s="197" t="s">
        <v>462</v>
      </c>
      <c r="F111" s="197" t="s">
        <v>463</v>
      </c>
      <c r="G111" s="197" t="s">
        <v>471</v>
      </c>
      <c r="H111" s="197" t="s">
        <v>472</v>
      </c>
      <c r="I111" s="197" t="s">
        <v>448</v>
      </c>
      <c r="J111" s="197" t="s">
        <v>449</v>
      </c>
      <c r="K111" s="197" t="s">
        <v>466</v>
      </c>
      <c r="L111" s="197" t="s">
        <v>467</v>
      </c>
      <c r="M111" s="197" t="s">
        <v>456</v>
      </c>
      <c r="N111" s="197" t="s">
        <v>457</v>
      </c>
      <c r="O111" s="197" t="s">
        <v>474</v>
      </c>
      <c r="P111" s="3" t="s">
        <v>475</v>
      </c>
    </row>
    <row r="112" customHeight="1" spans="1:15">
      <c r="A112" s="135"/>
      <c r="B112" s="199" t="s">
        <v>476</v>
      </c>
      <c r="C112" s="198"/>
      <c r="D112" s="198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</row>
    <row r="113" customHeight="1" spans="1:16">
      <c r="A113" s="25" t="s">
        <v>299</v>
      </c>
      <c r="B113" s="199" t="s">
        <v>476</v>
      </c>
      <c r="C113" s="198" t="s">
        <v>439</v>
      </c>
      <c r="D113" s="198" t="s">
        <v>460</v>
      </c>
      <c r="E113" s="197" t="s">
        <v>462</v>
      </c>
      <c r="F113" s="197" t="s">
        <v>463</v>
      </c>
      <c r="G113" s="197" t="s">
        <v>471</v>
      </c>
      <c r="H113" s="197" t="s">
        <v>472</v>
      </c>
      <c r="I113" s="197" t="s">
        <v>448</v>
      </c>
      <c r="J113" s="197" t="s">
        <v>449</v>
      </c>
      <c r="K113" s="197" t="s">
        <v>466</v>
      </c>
      <c r="L113" s="197" t="s">
        <v>467</v>
      </c>
      <c r="M113" s="197" t="s">
        <v>456</v>
      </c>
      <c r="N113" s="197" t="s">
        <v>457</v>
      </c>
      <c r="O113" s="197" t="s">
        <v>474</v>
      </c>
      <c r="P113" s="3" t="s">
        <v>475</v>
      </c>
    </row>
    <row r="114" customHeight="1" spans="1:16">
      <c r="A114" s="25" t="s">
        <v>300</v>
      </c>
      <c r="B114" s="199" t="s">
        <v>476</v>
      </c>
      <c r="C114" s="198" t="s">
        <v>439</v>
      </c>
      <c r="D114" s="198" t="s">
        <v>460</v>
      </c>
      <c r="E114" s="197" t="s">
        <v>462</v>
      </c>
      <c r="F114" s="197" t="s">
        <v>463</v>
      </c>
      <c r="G114" s="197" t="s">
        <v>471</v>
      </c>
      <c r="H114" s="197" t="s">
        <v>472</v>
      </c>
      <c r="I114" s="197" t="s">
        <v>448</v>
      </c>
      <c r="J114" s="197" t="s">
        <v>449</v>
      </c>
      <c r="K114" s="197" t="s">
        <v>466</v>
      </c>
      <c r="L114" s="197" t="s">
        <v>467</v>
      </c>
      <c r="M114" s="197" t="s">
        <v>456</v>
      </c>
      <c r="N114" s="197" t="s">
        <v>457</v>
      </c>
      <c r="O114" s="197" t="s">
        <v>474</v>
      </c>
      <c r="P114" s="3" t="s">
        <v>475</v>
      </c>
    </row>
    <row r="115" customHeight="1" spans="1:16">
      <c r="A115" s="25" t="s">
        <v>302</v>
      </c>
      <c r="B115" s="199" t="s">
        <v>476</v>
      </c>
      <c r="C115" s="198" t="s">
        <v>439</v>
      </c>
      <c r="D115" s="198" t="s">
        <v>460</v>
      </c>
      <c r="E115" s="197" t="s">
        <v>462</v>
      </c>
      <c r="F115" s="197" t="s">
        <v>463</v>
      </c>
      <c r="G115" s="197" t="s">
        <v>471</v>
      </c>
      <c r="H115" s="197" t="s">
        <v>472</v>
      </c>
      <c r="I115" s="197" t="s">
        <v>448</v>
      </c>
      <c r="J115" s="197" t="s">
        <v>449</v>
      </c>
      <c r="K115" s="197" t="s">
        <v>466</v>
      </c>
      <c r="L115" s="197" t="s">
        <v>467</v>
      </c>
      <c r="M115" s="197" t="s">
        <v>456</v>
      </c>
      <c r="N115" s="197" t="s">
        <v>457</v>
      </c>
      <c r="O115" s="197" t="s">
        <v>474</v>
      </c>
      <c r="P115" s="3" t="s">
        <v>475</v>
      </c>
    </row>
    <row r="116" customHeight="1" spans="1:16">
      <c r="A116" s="29" t="s">
        <v>304</v>
      </c>
      <c r="B116" s="199" t="s">
        <v>476</v>
      </c>
      <c r="C116" s="198" t="s">
        <v>439</v>
      </c>
      <c r="D116" s="198" t="s">
        <v>460</v>
      </c>
      <c r="E116" s="197" t="s">
        <v>462</v>
      </c>
      <c r="F116" s="197" t="s">
        <v>463</v>
      </c>
      <c r="G116" s="197" t="s">
        <v>471</v>
      </c>
      <c r="H116" s="197" t="s">
        <v>472</v>
      </c>
      <c r="I116" s="197" t="s">
        <v>448</v>
      </c>
      <c r="J116" s="197" t="s">
        <v>449</v>
      </c>
      <c r="K116" s="197" t="s">
        <v>466</v>
      </c>
      <c r="L116" s="197" t="s">
        <v>467</v>
      </c>
      <c r="M116" s="197" t="s">
        <v>456</v>
      </c>
      <c r="N116" s="197" t="s">
        <v>457</v>
      </c>
      <c r="O116" s="197" t="s">
        <v>477</v>
      </c>
      <c r="P116" s="3" t="s">
        <v>475</v>
      </c>
    </row>
    <row r="117" customHeight="1" spans="1:15">
      <c r="A117" s="135"/>
      <c r="B117" s="209"/>
      <c r="C117" s="210"/>
      <c r="D117" s="210"/>
      <c r="E117" s="211" t="s">
        <v>478</v>
      </c>
      <c r="F117" s="197" t="s">
        <v>479</v>
      </c>
      <c r="G117" s="211"/>
      <c r="H117" s="211"/>
      <c r="I117" s="211"/>
      <c r="J117" s="211"/>
      <c r="K117" s="211"/>
      <c r="L117" s="211"/>
      <c r="M117" s="211"/>
      <c r="N117" s="211"/>
      <c r="O117" s="211"/>
    </row>
    <row r="118" s="1" customFormat="1" customHeight="1" spans="1:1">
      <c r="A118" s="30"/>
    </row>
    <row r="119" customHeight="1" spans="1:16">
      <c r="A119" s="199" t="s">
        <v>305</v>
      </c>
      <c r="B119" s="199" t="s">
        <v>480</v>
      </c>
      <c r="C119" s="198" t="s">
        <v>439</v>
      </c>
      <c r="D119" s="198" t="s">
        <v>460</v>
      </c>
      <c r="E119" s="197" t="s">
        <v>478</v>
      </c>
      <c r="F119" s="197" t="s">
        <v>479</v>
      </c>
      <c r="G119" s="197" t="s">
        <v>471</v>
      </c>
      <c r="H119" s="197" t="s">
        <v>472</v>
      </c>
      <c r="I119" s="197" t="s">
        <v>448</v>
      </c>
      <c r="J119" s="197" t="s">
        <v>449</v>
      </c>
      <c r="K119" s="197" t="s">
        <v>466</v>
      </c>
      <c r="L119" s="197" t="s">
        <v>467</v>
      </c>
      <c r="M119" s="197" t="s">
        <v>456</v>
      </c>
      <c r="N119" s="197" t="s">
        <v>457</v>
      </c>
      <c r="O119" s="197" t="s">
        <v>477</v>
      </c>
      <c r="P119" s="3" t="s">
        <v>475</v>
      </c>
    </row>
    <row r="120" customHeight="1" spans="1:16">
      <c r="A120" s="199" t="s">
        <v>307</v>
      </c>
      <c r="B120" s="199" t="s">
        <v>480</v>
      </c>
      <c r="C120" s="198" t="s">
        <v>439</v>
      </c>
      <c r="D120" s="198" t="s">
        <v>460</v>
      </c>
      <c r="E120" s="197" t="s">
        <v>478</v>
      </c>
      <c r="F120" s="197" t="s">
        <v>479</v>
      </c>
      <c r="G120" s="197" t="s">
        <v>471</v>
      </c>
      <c r="H120" s="197" t="s">
        <v>472</v>
      </c>
      <c r="I120" s="197" t="s">
        <v>448</v>
      </c>
      <c r="J120" s="197" t="s">
        <v>449</v>
      </c>
      <c r="K120" s="197" t="s">
        <v>466</v>
      </c>
      <c r="L120" s="197" t="s">
        <v>467</v>
      </c>
      <c r="M120" s="197" t="s">
        <v>456</v>
      </c>
      <c r="N120" s="197" t="s">
        <v>457</v>
      </c>
      <c r="O120" s="197" t="s">
        <v>477</v>
      </c>
      <c r="P120" s="3" t="s">
        <v>475</v>
      </c>
    </row>
    <row r="121" customHeight="1" spans="1:16">
      <c r="A121" s="199" t="s">
        <v>311</v>
      </c>
      <c r="B121" s="199" t="s">
        <v>480</v>
      </c>
      <c r="C121" s="198" t="s">
        <v>439</v>
      </c>
      <c r="D121" s="198" t="s">
        <v>460</v>
      </c>
      <c r="E121" s="197" t="s">
        <v>478</v>
      </c>
      <c r="F121" s="197" t="s">
        <v>479</v>
      </c>
      <c r="G121" s="197" t="s">
        <v>471</v>
      </c>
      <c r="H121" s="197" t="s">
        <v>472</v>
      </c>
      <c r="I121" s="197" t="s">
        <v>448</v>
      </c>
      <c r="J121" s="197" t="s">
        <v>449</v>
      </c>
      <c r="K121" s="197" t="s">
        <v>466</v>
      </c>
      <c r="L121" s="197" t="s">
        <v>467</v>
      </c>
      <c r="M121" s="197" t="s">
        <v>456</v>
      </c>
      <c r="N121" s="197" t="s">
        <v>457</v>
      </c>
      <c r="O121" s="197" t="s">
        <v>477</v>
      </c>
      <c r="P121" s="3" t="s">
        <v>475</v>
      </c>
    </row>
    <row r="122" customHeight="1" spans="1:16">
      <c r="A122" s="199" t="s">
        <v>312</v>
      </c>
      <c r="B122" s="199" t="s">
        <v>481</v>
      </c>
      <c r="C122" s="198" t="s">
        <v>439</v>
      </c>
      <c r="D122" s="198" t="s">
        <v>460</v>
      </c>
      <c r="E122" s="197" t="s">
        <v>478</v>
      </c>
      <c r="F122" s="197" t="s">
        <v>479</v>
      </c>
      <c r="G122" s="197" t="s">
        <v>471</v>
      </c>
      <c r="H122" s="197" t="s">
        <v>472</v>
      </c>
      <c r="I122" s="197" t="s">
        <v>448</v>
      </c>
      <c r="J122" s="197" t="s">
        <v>449</v>
      </c>
      <c r="K122" s="197" t="s">
        <v>466</v>
      </c>
      <c r="L122" s="197" t="s">
        <v>467</v>
      </c>
      <c r="M122" s="197" t="s">
        <v>482</v>
      </c>
      <c r="N122" s="197" t="s">
        <v>457</v>
      </c>
      <c r="O122" s="197" t="s">
        <v>477</v>
      </c>
      <c r="P122" s="3" t="s">
        <v>475</v>
      </c>
    </row>
    <row r="123" customHeight="1" spans="1:16">
      <c r="A123" s="199" t="s">
        <v>314</v>
      </c>
      <c r="B123" s="199" t="s">
        <v>481</v>
      </c>
      <c r="C123" s="198" t="s">
        <v>439</v>
      </c>
      <c r="D123" s="198" t="s">
        <v>460</v>
      </c>
      <c r="E123" s="197" t="s">
        <v>478</v>
      </c>
      <c r="F123" s="197" t="s">
        <v>479</v>
      </c>
      <c r="G123" s="197" t="s">
        <v>471</v>
      </c>
      <c r="H123" s="197" t="s">
        <v>472</v>
      </c>
      <c r="I123" s="197" t="s">
        <v>448</v>
      </c>
      <c r="J123" s="197" t="s">
        <v>449</v>
      </c>
      <c r="K123" s="197" t="s">
        <v>466</v>
      </c>
      <c r="L123" s="197" t="s">
        <v>467</v>
      </c>
      <c r="M123" s="197" t="s">
        <v>482</v>
      </c>
      <c r="N123" s="197" t="s">
        <v>457</v>
      </c>
      <c r="O123" s="197" t="s">
        <v>477</v>
      </c>
      <c r="P123" s="3" t="s">
        <v>475</v>
      </c>
    </row>
    <row r="124" customHeight="1" spans="1:16">
      <c r="A124" s="199" t="s">
        <v>315</v>
      </c>
      <c r="B124" s="199" t="s">
        <v>481</v>
      </c>
      <c r="C124" s="198" t="s">
        <v>439</v>
      </c>
      <c r="D124" s="198" t="s">
        <v>460</v>
      </c>
      <c r="E124" s="197" t="s">
        <v>478</v>
      </c>
      <c r="F124" s="197" t="s">
        <v>479</v>
      </c>
      <c r="G124" s="197" t="s">
        <v>471</v>
      </c>
      <c r="H124" s="197" t="s">
        <v>472</v>
      </c>
      <c r="I124" s="197" t="s">
        <v>448</v>
      </c>
      <c r="J124" s="197" t="s">
        <v>449</v>
      </c>
      <c r="K124" s="197" t="s">
        <v>466</v>
      </c>
      <c r="L124" s="197" t="s">
        <v>467</v>
      </c>
      <c r="M124" s="197" t="s">
        <v>482</v>
      </c>
      <c r="N124" s="197" t="s">
        <v>457</v>
      </c>
      <c r="O124" s="197" t="s">
        <v>477</v>
      </c>
      <c r="P124" s="3" t="s">
        <v>475</v>
      </c>
    </row>
    <row r="125" customHeight="1" spans="1:15">
      <c r="A125" s="199"/>
      <c r="B125" s="199"/>
      <c r="C125" s="199"/>
      <c r="D125" s="199"/>
      <c r="E125" s="199"/>
      <c r="F125" s="199"/>
      <c r="G125" s="199"/>
      <c r="H125" s="199"/>
      <c r="I125" s="199" t="s">
        <v>483</v>
      </c>
      <c r="J125" s="197" t="s">
        <v>484</v>
      </c>
      <c r="K125" s="199"/>
      <c r="L125" s="199"/>
      <c r="M125" s="199"/>
      <c r="N125" s="199"/>
      <c r="O125" s="199"/>
    </row>
    <row r="126" customHeight="1" spans="1:16">
      <c r="A126" s="199" t="s">
        <v>316</v>
      </c>
      <c r="B126" s="199" t="s">
        <v>481</v>
      </c>
      <c r="C126" s="198" t="s">
        <v>439</v>
      </c>
      <c r="D126" s="198" t="s">
        <v>460</v>
      </c>
      <c r="E126" s="197" t="s">
        <v>478</v>
      </c>
      <c r="F126" s="197" t="s">
        <v>479</v>
      </c>
      <c r="G126" s="197" t="s">
        <v>471</v>
      </c>
      <c r="H126" s="197" t="s">
        <v>472</v>
      </c>
      <c r="I126" s="197" t="s">
        <v>483</v>
      </c>
      <c r="J126" s="197" t="s">
        <v>484</v>
      </c>
      <c r="K126" s="197" t="s">
        <v>466</v>
      </c>
      <c r="L126" s="197" t="s">
        <v>467</v>
      </c>
      <c r="M126" s="197" t="s">
        <v>482</v>
      </c>
      <c r="N126" s="197" t="s">
        <v>457</v>
      </c>
      <c r="O126" s="197" t="s">
        <v>477</v>
      </c>
      <c r="P126" s="3" t="s">
        <v>475</v>
      </c>
    </row>
    <row r="127" customHeight="1" spans="1:16">
      <c r="A127" s="199" t="s">
        <v>318</v>
      </c>
      <c r="B127" s="199" t="s">
        <v>481</v>
      </c>
      <c r="C127" s="198" t="s">
        <v>439</v>
      </c>
      <c r="D127" s="198" t="s">
        <v>460</v>
      </c>
      <c r="E127" s="197" t="s">
        <v>485</v>
      </c>
      <c r="F127" s="197" t="s">
        <v>479</v>
      </c>
      <c r="G127" s="197" t="s">
        <v>471</v>
      </c>
      <c r="H127" s="197" t="s">
        <v>472</v>
      </c>
      <c r="I127" s="197" t="s">
        <v>483</v>
      </c>
      <c r="J127" s="197" t="s">
        <v>484</v>
      </c>
      <c r="K127" s="197" t="s">
        <v>466</v>
      </c>
      <c r="L127" s="197"/>
      <c r="M127" s="197" t="s">
        <v>482</v>
      </c>
      <c r="N127" s="197" t="s">
        <v>457</v>
      </c>
      <c r="O127" s="197" t="s">
        <v>477</v>
      </c>
      <c r="P127" s="3" t="s">
        <v>475</v>
      </c>
    </row>
    <row r="128" customHeight="1" spans="1:15">
      <c r="A128" s="199"/>
      <c r="B128" s="199" t="s">
        <v>486</v>
      </c>
      <c r="C128" s="199"/>
      <c r="D128" s="199"/>
      <c r="E128" s="199"/>
      <c r="F128" s="199"/>
      <c r="G128" s="199"/>
      <c r="H128" s="199"/>
      <c r="I128" s="199"/>
      <c r="J128" s="199"/>
      <c r="K128" s="199"/>
      <c r="L128" s="197" t="s">
        <v>467</v>
      </c>
      <c r="M128" s="199"/>
      <c r="N128" s="199"/>
      <c r="O128" s="199"/>
    </row>
    <row r="129" customHeight="1" spans="1:16">
      <c r="A129" s="199" t="s">
        <v>319</v>
      </c>
      <c r="B129" s="199" t="s">
        <v>486</v>
      </c>
      <c r="C129" s="198" t="s">
        <v>439</v>
      </c>
      <c r="D129" s="198" t="s">
        <v>460</v>
      </c>
      <c r="E129" s="197" t="s">
        <v>485</v>
      </c>
      <c r="F129" s="197" t="s">
        <v>479</v>
      </c>
      <c r="G129" s="197" t="s">
        <v>471</v>
      </c>
      <c r="H129" s="197" t="s">
        <v>472</v>
      </c>
      <c r="I129" s="197" t="s">
        <v>483</v>
      </c>
      <c r="J129" s="197" t="s">
        <v>484</v>
      </c>
      <c r="K129" s="197" t="s">
        <v>466</v>
      </c>
      <c r="L129" s="197" t="s">
        <v>467</v>
      </c>
      <c r="M129" s="197" t="s">
        <v>482</v>
      </c>
      <c r="N129" s="197" t="s">
        <v>457</v>
      </c>
      <c r="O129" s="197" t="s">
        <v>477</v>
      </c>
      <c r="P129" s="3" t="s">
        <v>475</v>
      </c>
    </row>
    <row r="130" customHeight="1" spans="1:16">
      <c r="A130" s="199" t="s">
        <v>321</v>
      </c>
      <c r="B130" s="199" t="s">
        <v>486</v>
      </c>
      <c r="C130" s="198" t="s">
        <v>439</v>
      </c>
      <c r="D130" s="198" t="s">
        <v>460</v>
      </c>
      <c r="E130" s="197" t="s">
        <v>485</v>
      </c>
      <c r="F130" s="197" t="s">
        <v>479</v>
      </c>
      <c r="G130" s="197" t="s">
        <v>471</v>
      </c>
      <c r="H130" s="197" t="s">
        <v>472</v>
      </c>
      <c r="I130" s="197" t="s">
        <v>483</v>
      </c>
      <c r="J130" s="197" t="s">
        <v>484</v>
      </c>
      <c r="K130" s="197" t="s">
        <v>466</v>
      </c>
      <c r="L130" s="197" t="s">
        <v>467</v>
      </c>
      <c r="M130" s="197" t="s">
        <v>482</v>
      </c>
      <c r="N130" s="197" t="s">
        <v>457</v>
      </c>
      <c r="O130" s="197" t="s">
        <v>477</v>
      </c>
      <c r="P130" s="3" t="s">
        <v>475</v>
      </c>
    </row>
    <row r="131" customHeight="1" spans="1:16">
      <c r="A131" s="199" t="s">
        <v>322</v>
      </c>
      <c r="B131" s="199" t="s">
        <v>486</v>
      </c>
      <c r="C131" s="198" t="s">
        <v>439</v>
      </c>
      <c r="D131" s="198" t="s">
        <v>460</v>
      </c>
      <c r="E131" s="197" t="s">
        <v>485</v>
      </c>
      <c r="F131" s="197" t="s">
        <v>479</v>
      </c>
      <c r="G131" s="197" t="s">
        <v>471</v>
      </c>
      <c r="H131" s="197" t="s">
        <v>472</v>
      </c>
      <c r="I131" s="197" t="s">
        <v>483</v>
      </c>
      <c r="J131" s="197" t="s">
        <v>484</v>
      </c>
      <c r="K131" s="197" t="s">
        <v>466</v>
      </c>
      <c r="L131" s="197" t="s">
        <v>467</v>
      </c>
      <c r="M131" s="197" t="s">
        <v>482</v>
      </c>
      <c r="N131" s="197" t="s">
        <v>457</v>
      </c>
      <c r="O131" s="197" t="s">
        <v>477</v>
      </c>
      <c r="P131" s="3" t="s">
        <v>475</v>
      </c>
    </row>
    <row r="132" customHeight="1" spans="1:15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</row>
    <row r="133" customHeight="1" spans="1:16">
      <c r="A133" s="212" t="s">
        <v>323</v>
      </c>
      <c r="B133" s="199" t="s">
        <v>487</v>
      </c>
      <c r="C133" s="198" t="s">
        <v>488</v>
      </c>
      <c r="D133" s="198" t="s">
        <v>488</v>
      </c>
      <c r="E133" s="197" t="s">
        <v>489</v>
      </c>
      <c r="F133" s="197" t="s">
        <v>479</v>
      </c>
      <c r="G133" s="197" t="s">
        <v>490</v>
      </c>
      <c r="H133" s="197" t="s">
        <v>472</v>
      </c>
      <c r="I133" s="197" t="s">
        <v>483</v>
      </c>
      <c r="J133" s="197" t="s">
        <v>484</v>
      </c>
      <c r="K133" s="197" t="s">
        <v>491</v>
      </c>
      <c r="L133" s="197" t="s">
        <v>467</v>
      </c>
      <c r="M133" s="197" t="s">
        <v>482</v>
      </c>
      <c r="N133" s="197" t="s">
        <v>457</v>
      </c>
      <c r="O133" s="197" t="s">
        <v>492</v>
      </c>
      <c r="P133" s="3" t="s">
        <v>475</v>
      </c>
    </row>
    <row r="134" customHeight="1" spans="1:15">
      <c r="A134" s="213"/>
      <c r="B134" s="199" t="s">
        <v>493</v>
      </c>
      <c r="C134" s="198" t="s">
        <v>488</v>
      </c>
      <c r="D134" s="198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</row>
    <row r="135" customHeight="1" spans="1:16">
      <c r="A135" s="199" t="s">
        <v>324</v>
      </c>
      <c r="B135" s="199" t="s">
        <v>493</v>
      </c>
      <c r="C135" s="198" t="s">
        <v>488</v>
      </c>
      <c r="D135" s="198" t="s">
        <v>488</v>
      </c>
      <c r="E135" s="197" t="s">
        <v>489</v>
      </c>
      <c r="F135" s="197" t="s">
        <v>479</v>
      </c>
      <c r="G135" s="197" t="s">
        <v>490</v>
      </c>
      <c r="H135" s="197" t="s">
        <v>472</v>
      </c>
      <c r="I135" s="197" t="s">
        <v>483</v>
      </c>
      <c r="J135" s="197" t="s">
        <v>484</v>
      </c>
      <c r="K135" s="197" t="s">
        <v>491</v>
      </c>
      <c r="L135" s="197" t="s">
        <v>467</v>
      </c>
      <c r="M135" s="197" t="s">
        <v>482</v>
      </c>
      <c r="N135" s="197" t="s">
        <v>457</v>
      </c>
      <c r="O135" s="197" t="s">
        <v>492</v>
      </c>
      <c r="P135" s="3" t="s">
        <v>475</v>
      </c>
    </row>
    <row r="136" customHeight="1" spans="1:16">
      <c r="A136" s="199" t="s">
        <v>325</v>
      </c>
      <c r="B136" s="199" t="s">
        <v>493</v>
      </c>
      <c r="C136" s="198" t="s">
        <v>488</v>
      </c>
      <c r="D136" s="198" t="s">
        <v>488</v>
      </c>
      <c r="E136" s="197" t="s">
        <v>489</v>
      </c>
      <c r="F136" s="197" t="s">
        <v>479</v>
      </c>
      <c r="G136" s="197" t="s">
        <v>490</v>
      </c>
      <c r="H136" s="197" t="s">
        <v>472</v>
      </c>
      <c r="I136" s="197" t="s">
        <v>483</v>
      </c>
      <c r="J136" s="197" t="s">
        <v>484</v>
      </c>
      <c r="K136" s="197" t="s">
        <v>491</v>
      </c>
      <c r="L136" s="197" t="s">
        <v>467</v>
      </c>
      <c r="M136" s="197" t="s">
        <v>482</v>
      </c>
      <c r="N136" s="197" t="s">
        <v>457</v>
      </c>
      <c r="O136" s="197" t="s">
        <v>492</v>
      </c>
      <c r="P136" s="3" t="s">
        <v>475</v>
      </c>
    </row>
    <row r="137" customHeight="1" spans="1:16">
      <c r="A137" s="199" t="s">
        <v>326</v>
      </c>
      <c r="B137" s="199" t="s">
        <v>493</v>
      </c>
      <c r="C137" s="198" t="s">
        <v>488</v>
      </c>
      <c r="D137" s="198" t="s">
        <v>488</v>
      </c>
      <c r="E137" s="197" t="s">
        <v>489</v>
      </c>
      <c r="F137" s="197" t="s">
        <v>479</v>
      </c>
      <c r="G137" s="197" t="s">
        <v>490</v>
      </c>
      <c r="H137" s="197" t="s">
        <v>472</v>
      </c>
      <c r="I137" s="197" t="s">
        <v>483</v>
      </c>
      <c r="J137" s="197" t="s">
        <v>484</v>
      </c>
      <c r="K137" s="197" t="s">
        <v>491</v>
      </c>
      <c r="L137" s="197" t="s">
        <v>467</v>
      </c>
      <c r="M137" s="197" t="s">
        <v>482</v>
      </c>
      <c r="N137" s="197" t="s">
        <v>457</v>
      </c>
      <c r="O137" s="197" t="s">
        <v>492</v>
      </c>
      <c r="P137" s="3" t="s">
        <v>475</v>
      </c>
    </row>
    <row r="138" customHeight="1" spans="1:16">
      <c r="A138" s="199" t="s">
        <v>327</v>
      </c>
      <c r="B138" s="199" t="s">
        <v>493</v>
      </c>
      <c r="C138" s="198" t="s">
        <v>488</v>
      </c>
      <c r="D138" s="198" t="s">
        <v>488</v>
      </c>
      <c r="E138" s="197" t="s">
        <v>489</v>
      </c>
      <c r="F138" s="197" t="s">
        <v>479</v>
      </c>
      <c r="G138" s="197" t="s">
        <v>490</v>
      </c>
      <c r="H138" s="197" t="s">
        <v>472</v>
      </c>
      <c r="I138" s="197" t="s">
        <v>483</v>
      </c>
      <c r="J138" s="197" t="s">
        <v>484</v>
      </c>
      <c r="K138" s="197" t="s">
        <v>491</v>
      </c>
      <c r="L138" s="197" t="s">
        <v>467</v>
      </c>
      <c r="M138" s="197" t="s">
        <v>482</v>
      </c>
      <c r="N138" s="197" t="s">
        <v>457</v>
      </c>
      <c r="O138" s="197" t="s">
        <v>492</v>
      </c>
      <c r="P138" s="3" t="s">
        <v>475</v>
      </c>
    </row>
    <row r="139" customHeight="1" spans="1:16">
      <c r="A139" s="212" t="s">
        <v>328</v>
      </c>
      <c r="B139" s="199" t="s">
        <v>494</v>
      </c>
      <c r="C139" s="198" t="s">
        <v>488</v>
      </c>
      <c r="D139" s="198" t="s">
        <v>488</v>
      </c>
      <c r="E139" s="197" t="s">
        <v>489</v>
      </c>
      <c r="F139" s="197" t="s">
        <v>479</v>
      </c>
      <c r="G139" s="197" t="s">
        <v>490</v>
      </c>
      <c r="H139" s="197" t="s">
        <v>472</v>
      </c>
      <c r="I139" s="197" t="s">
        <v>495</v>
      </c>
      <c r="J139" s="197" t="s">
        <v>484</v>
      </c>
      <c r="K139" s="197" t="s">
        <v>491</v>
      </c>
      <c r="L139" s="197" t="s">
        <v>467</v>
      </c>
      <c r="M139" s="197" t="s">
        <v>496</v>
      </c>
      <c r="N139" s="197" t="s">
        <v>457</v>
      </c>
      <c r="O139" s="197" t="s">
        <v>492</v>
      </c>
      <c r="P139" s="3" t="s">
        <v>475</v>
      </c>
    </row>
    <row r="140" customHeight="1" spans="1:15">
      <c r="A140" s="213"/>
      <c r="B140" s="199" t="s">
        <v>497</v>
      </c>
      <c r="C140" s="210"/>
      <c r="D140" s="210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</row>
    <row r="141" customHeight="1" spans="1:16">
      <c r="A141" s="212" t="s">
        <v>329</v>
      </c>
      <c r="B141" s="199" t="s">
        <v>497</v>
      </c>
      <c r="C141" s="198" t="s">
        <v>488</v>
      </c>
      <c r="D141" s="198" t="s">
        <v>488</v>
      </c>
      <c r="E141" s="197" t="s">
        <v>489</v>
      </c>
      <c r="F141" s="197" t="s">
        <v>479</v>
      </c>
      <c r="G141" s="197" t="s">
        <v>490</v>
      </c>
      <c r="H141" s="197" t="s">
        <v>472</v>
      </c>
      <c r="I141" s="197" t="s">
        <v>495</v>
      </c>
      <c r="J141" s="197" t="s">
        <v>484</v>
      </c>
      <c r="K141" s="197" t="s">
        <v>491</v>
      </c>
      <c r="L141" s="197" t="s">
        <v>467</v>
      </c>
      <c r="M141" s="197" t="s">
        <v>496</v>
      </c>
      <c r="N141" s="197" t="s">
        <v>457</v>
      </c>
      <c r="O141" s="197" t="s">
        <v>492</v>
      </c>
      <c r="P141" s="3" t="s">
        <v>475</v>
      </c>
    </row>
    <row r="142" customHeight="1" spans="1:16">
      <c r="A142" s="199" t="s">
        <v>330</v>
      </c>
      <c r="B142" s="214" t="s">
        <v>497</v>
      </c>
      <c r="C142" s="198" t="s">
        <v>488</v>
      </c>
      <c r="D142" s="198" t="s">
        <v>488</v>
      </c>
      <c r="E142" s="197" t="s">
        <v>489</v>
      </c>
      <c r="F142" s="197" t="s">
        <v>479</v>
      </c>
      <c r="G142" s="197" t="s">
        <v>490</v>
      </c>
      <c r="H142" s="197" t="s">
        <v>472</v>
      </c>
      <c r="I142" s="197" t="s">
        <v>495</v>
      </c>
      <c r="J142" s="197" t="s">
        <v>484</v>
      </c>
      <c r="K142" s="197" t="s">
        <v>491</v>
      </c>
      <c r="L142" s="197" t="s">
        <v>467</v>
      </c>
      <c r="M142" s="197" t="s">
        <v>496</v>
      </c>
      <c r="N142" s="197" t="s">
        <v>457</v>
      </c>
      <c r="O142" s="197" t="s">
        <v>492</v>
      </c>
      <c r="P142" s="3" t="s">
        <v>475</v>
      </c>
    </row>
    <row r="143" customHeight="1" spans="1:16">
      <c r="A143" s="199" t="s">
        <v>332</v>
      </c>
      <c r="B143" s="214" t="s">
        <v>497</v>
      </c>
      <c r="C143" s="198" t="s">
        <v>488</v>
      </c>
      <c r="D143" s="198" t="s">
        <v>488</v>
      </c>
      <c r="E143" s="197" t="s">
        <v>489</v>
      </c>
      <c r="F143" s="197" t="s">
        <v>479</v>
      </c>
      <c r="G143" s="197" t="s">
        <v>490</v>
      </c>
      <c r="H143" s="197" t="s">
        <v>472</v>
      </c>
      <c r="I143" s="197" t="s">
        <v>495</v>
      </c>
      <c r="J143" s="197" t="s">
        <v>484</v>
      </c>
      <c r="K143" s="197" t="s">
        <v>491</v>
      </c>
      <c r="L143" s="197" t="s">
        <v>467</v>
      </c>
      <c r="M143" s="197" t="s">
        <v>496</v>
      </c>
      <c r="N143" s="197" t="s">
        <v>457</v>
      </c>
      <c r="O143" s="197" t="s">
        <v>492</v>
      </c>
      <c r="P143" s="3" t="s">
        <v>475</v>
      </c>
    </row>
    <row r="144" customHeight="1" spans="1:15">
      <c r="A144" s="199"/>
      <c r="B144" s="209"/>
      <c r="C144" s="210"/>
      <c r="D144" s="210"/>
      <c r="E144" s="211" t="s">
        <v>498</v>
      </c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</row>
    <row r="145" customHeight="1" spans="1:16">
      <c r="A145" s="199" t="s">
        <v>333</v>
      </c>
      <c r="B145" s="214" t="s">
        <v>497</v>
      </c>
      <c r="C145" s="198" t="s">
        <v>488</v>
      </c>
      <c r="D145" s="198" t="s">
        <v>488</v>
      </c>
      <c r="E145" s="197" t="s">
        <v>498</v>
      </c>
      <c r="F145" s="197" t="s">
        <v>479</v>
      </c>
      <c r="G145" s="197" t="s">
        <v>490</v>
      </c>
      <c r="H145" s="197" t="s">
        <v>472</v>
      </c>
      <c r="I145" s="197" t="s">
        <v>495</v>
      </c>
      <c r="J145" s="197" t="s">
        <v>484</v>
      </c>
      <c r="K145" s="197" t="s">
        <v>491</v>
      </c>
      <c r="L145" s="197" t="s">
        <v>467</v>
      </c>
      <c r="M145" s="197" t="s">
        <v>496</v>
      </c>
      <c r="N145" s="197" t="s">
        <v>457</v>
      </c>
      <c r="O145" s="197" t="s">
        <v>492</v>
      </c>
      <c r="P145" s="3" t="s">
        <v>475</v>
      </c>
    </row>
    <row r="146" customHeight="1" spans="1:16">
      <c r="A146" s="199" t="s">
        <v>334</v>
      </c>
      <c r="B146" s="214" t="s">
        <v>497</v>
      </c>
      <c r="C146" s="198" t="s">
        <v>488</v>
      </c>
      <c r="D146" s="198" t="s">
        <v>488</v>
      </c>
      <c r="E146" s="197" t="s">
        <v>498</v>
      </c>
      <c r="F146" s="197" t="s">
        <v>479</v>
      </c>
      <c r="G146" s="197" t="s">
        <v>490</v>
      </c>
      <c r="H146" s="197" t="s">
        <v>472</v>
      </c>
      <c r="I146" s="197" t="s">
        <v>495</v>
      </c>
      <c r="J146" s="197" t="s">
        <v>484</v>
      </c>
      <c r="K146" s="197" t="s">
        <v>491</v>
      </c>
      <c r="L146" s="197" t="s">
        <v>467</v>
      </c>
      <c r="M146" s="197" t="s">
        <v>496</v>
      </c>
      <c r="N146" s="197" t="s">
        <v>457</v>
      </c>
      <c r="O146" s="197" t="s">
        <v>492</v>
      </c>
      <c r="P146" s="3" t="s">
        <v>475</v>
      </c>
    </row>
    <row r="147" customHeight="1" spans="1:16">
      <c r="A147" s="199" t="s">
        <v>336</v>
      </c>
      <c r="B147" s="214" t="s">
        <v>499</v>
      </c>
      <c r="C147" s="198" t="s">
        <v>488</v>
      </c>
      <c r="D147" s="198" t="s">
        <v>488</v>
      </c>
      <c r="E147" s="197" t="s">
        <v>498</v>
      </c>
      <c r="F147" s="197" t="s">
        <v>479</v>
      </c>
      <c r="G147" s="197" t="s">
        <v>490</v>
      </c>
      <c r="H147" s="197" t="s">
        <v>472</v>
      </c>
      <c r="I147" s="197" t="s">
        <v>495</v>
      </c>
      <c r="J147" s="197" t="s">
        <v>484</v>
      </c>
      <c r="K147" s="197" t="s">
        <v>491</v>
      </c>
      <c r="L147" s="197" t="s">
        <v>467</v>
      </c>
      <c r="M147" s="197" t="s">
        <v>496</v>
      </c>
      <c r="N147" s="197" t="s">
        <v>457</v>
      </c>
      <c r="O147" s="197" t="s">
        <v>492</v>
      </c>
      <c r="P147" s="3" t="s">
        <v>475</v>
      </c>
    </row>
    <row r="148" customHeight="1" spans="1:16">
      <c r="A148" s="199" t="s">
        <v>337</v>
      </c>
      <c r="B148" s="199" t="s">
        <v>499</v>
      </c>
      <c r="C148" s="198" t="s">
        <v>488</v>
      </c>
      <c r="D148" s="198" t="s">
        <v>488</v>
      </c>
      <c r="E148" s="197" t="s">
        <v>498</v>
      </c>
      <c r="F148" s="197" t="s">
        <v>479</v>
      </c>
      <c r="G148" s="197" t="s">
        <v>490</v>
      </c>
      <c r="H148" s="197" t="s">
        <v>472</v>
      </c>
      <c r="I148" s="197" t="s">
        <v>495</v>
      </c>
      <c r="J148" s="197" t="s">
        <v>484</v>
      </c>
      <c r="K148" s="197" t="s">
        <v>491</v>
      </c>
      <c r="L148" s="197" t="s">
        <v>467</v>
      </c>
      <c r="M148" s="197" t="s">
        <v>496</v>
      </c>
      <c r="N148" s="197" t="s">
        <v>457</v>
      </c>
      <c r="O148" s="197" t="s">
        <v>492</v>
      </c>
      <c r="P148" s="3" t="s">
        <v>475</v>
      </c>
    </row>
    <row r="149" customHeight="1" spans="1:16">
      <c r="A149" s="199" t="s">
        <v>338</v>
      </c>
      <c r="B149" s="199" t="s">
        <v>500</v>
      </c>
      <c r="C149" s="198" t="s">
        <v>488</v>
      </c>
      <c r="D149" s="198" t="s">
        <v>488</v>
      </c>
      <c r="E149" s="197" t="s">
        <v>498</v>
      </c>
      <c r="F149" s="197" t="s">
        <v>479</v>
      </c>
      <c r="G149" s="197" t="s">
        <v>490</v>
      </c>
      <c r="H149" s="197" t="s">
        <v>472</v>
      </c>
      <c r="I149" s="197" t="s">
        <v>495</v>
      </c>
      <c r="J149" s="197" t="s">
        <v>484</v>
      </c>
      <c r="K149" s="197" t="s">
        <v>491</v>
      </c>
      <c r="L149" s="197" t="s">
        <v>467</v>
      </c>
      <c r="M149" s="197" t="s">
        <v>496</v>
      </c>
      <c r="N149" s="197" t="s">
        <v>457</v>
      </c>
      <c r="O149" s="197" t="s">
        <v>492</v>
      </c>
      <c r="P149" s="3" t="s">
        <v>475</v>
      </c>
    </row>
    <row r="150" customHeight="1" spans="1:15">
      <c r="A150" s="199"/>
      <c r="B150" s="199" t="s">
        <v>501</v>
      </c>
      <c r="C150" s="198" t="s">
        <v>488</v>
      </c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customHeight="1" spans="1:16">
      <c r="A151" s="199" t="s">
        <v>339</v>
      </c>
      <c r="B151" s="199" t="s">
        <v>500</v>
      </c>
      <c r="C151" s="198" t="s">
        <v>488</v>
      </c>
      <c r="D151" s="198" t="s">
        <v>488</v>
      </c>
      <c r="E151" s="197" t="s">
        <v>502</v>
      </c>
      <c r="F151" s="197" t="s">
        <v>479</v>
      </c>
      <c r="G151" s="197" t="s">
        <v>490</v>
      </c>
      <c r="H151" s="197" t="s">
        <v>472</v>
      </c>
      <c r="I151" s="197" t="s">
        <v>495</v>
      </c>
      <c r="J151" s="197" t="s">
        <v>484</v>
      </c>
      <c r="K151" s="197" t="s">
        <v>491</v>
      </c>
      <c r="L151" s="197" t="s">
        <v>467</v>
      </c>
      <c r="M151" s="197" t="s">
        <v>496</v>
      </c>
      <c r="N151" s="197" t="s">
        <v>457</v>
      </c>
      <c r="O151" s="197" t="s">
        <v>492</v>
      </c>
      <c r="P151" s="3" t="s">
        <v>475</v>
      </c>
    </row>
    <row r="152" customHeight="1" spans="1:16">
      <c r="A152" s="199" t="s">
        <v>341</v>
      </c>
      <c r="B152" s="199" t="s">
        <v>503</v>
      </c>
      <c r="C152" s="198" t="s">
        <v>488</v>
      </c>
      <c r="D152" s="198" t="s">
        <v>488</v>
      </c>
      <c r="E152" s="197" t="s">
        <v>504</v>
      </c>
      <c r="F152" s="197" t="s">
        <v>479</v>
      </c>
      <c r="G152" s="197" t="s">
        <v>490</v>
      </c>
      <c r="H152" s="197" t="s">
        <v>472</v>
      </c>
      <c r="I152" s="197" t="s">
        <v>495</v>
      </c>
      <c r="J152" s="197" t="s">
        <v>484</v>
      </c>
      <c r="K152" s="197" t="s">
        <v>491</v>
      </c>
      <c r="L152" s="197" t="s">
        <v>467</v>
      </c>
      <c r="M152" s="197" t="s">
        <v>496</v>
      </c>
      <c r="N152" s="197" t="s">
        <v>457</v>
      </c>
      <c r="O152" s="197" t="s">
        <v>492</v>
      </c>
      <c r="P152" s="3" t="s">
        <v>475</v>
      </c>
    </row>
    <row r="153" customHeight="1" spans="1:16">
      <c r="A153" s="199" t="s">
        <v>343</v>
      </c>
      <c r="B153" s="199" t="s">
        <v>503</v>
      </c>
      <c r="C153" s="198" t="s">
        <v>488</v>
      </c>
      <c r="D153" s="198" t="s">
        <v>488</v>
      </c>
      <c r="E153" s="197" t="s">
        <v>504</v>
      </c>
      <c r="F153" s="197" t="s">
        <v>479</v>
      </c>
      <c r="G153" s="197" t="s">
        <v>490</v>
      </c>
      <c r="H153" s="197" t="s">
        <v>472</v>
      </c>
      <c r="I153" s="197" t="s">
        <v>495</v>
      </c>
      <c r="J153" s="197" t="s">
        <v>484</v>
      </c>
      <c r="K153" s="197" t="s">
        <v>491</v>
      </c>
      <c r="L153" s="197" t="s">
        <v>467</v>
      </c>
      <c r="M153" s="197" t="s">
        <v>496</v>
      </c>
      <c r="N153" s="197" t="s">
        <v>457</v>
      </c>
      <c r="O153" s="197" t="s">
        <v>492</v>
      </c>
      <c r="P153" s="3" t="s">
        <v>475</v>
      </c>
    </row>
    <row r="154" customHeight="1" spans="1:16">
      <c r="A154" s="212" t="s">
        <v>345</v>
      </c>
      <c r="B154" s="199" t="s">
        <v>503</v>
      </c>
      <c r="C154" s="198" t="s">
        <v>488</v>
      </c>
      <c r="D154" s="198" t="s">
        <v>488</v>
      </c>
      <c r="E154" s="197" t="s">
        <v>504</v>
      </c>
      <c r="F154" s="197" t="s">
        <v>479</v>
      </c>
      <c r="G154" s="197" t="s">
        <v>490</v>
      </c>
      <c r="H154" s="197" t="s">
        <v>472</v>
      </c>
      <c r="I154" s="197" t="s">
        <v>495</v>
      </c>
      <c r="J154" s="197" t="s">
        <v>484</v>
      </c>
      <c r="K154" s="197" t="s">
        <v>491</v>
      </c>
      <c r="L154" s="197" t="s">
        <v>467</v>
      </c>
      <c r="M154" s="197" t="s">
        <v>496</v>
      </c>
      <c r="N154" s="197" t="s">
        <v>457</v>
      </c>
      <c r="O154" s="197" t="s">
        <v>492</v>
      </c>
      <c r="P154" s="106" t="s">
        <v>475</v>
      </c>
    </row>
    <row r="155" customHeight="1" spans="1:15">
      <c r="A155" s="213"/>
      <c r="B155" s="25" t="s">
        <v>505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</row>
    <row r="156" s="1" customFormat="1" customHeight="1"/>
    <row r="157" customHeight="1" spans="1:16">
      <c r="A157" s="199" t="s">
        <v>347</v>
      </c>
      <c r="B157" s="199" t="s">
        <v>506</v>
      </c>
      <c r="C157" s="198" t="s">
        <v>488</v>
      </c>
      <c r="D157" s="198" t="s">
        <v>488</v>
      </c>
      <c r="E157" s="197" t="s">
        <v>507</v>
      </c>
      <c r="F157" s="197" t="s">
        <v>479</v>
      </c>
      <c r="G157" s="197" t="s">
        <v>508</v>
      </c>
      <c r="H157" s="197" t="s">
        <v>472</v>
      </c>
      <c r="I157" s="197" t="s">
        <v>509</v>
      </c>
      <c r="J157" s="197" t="s">
        <v>484</v>
      </c>
      <c r="K157" s="197" t="s">
        <v>510</v>
      </c>
      <c r="L157" s="197" t="s">
        <v>467</v>
      </c>
      <c r="M157" s="197" t="s">
        <v>511</v>
      </c>
      <c r="N157" s="197" t="s">
        <v>457</v>
      </c>
      <c r="O157" s="197" t="s">
        <v>492</v>
      </c>
      <c r="P157" s="106" t="s">
        <v>475</v>
      </c>
    </row>
    <row r="158" customHeight="1" spans="1:16">
      <c r="A158" s="199" t="s">
        <v>351</v>
      </c>
      <c r="B158" s="199" t="s">
        <v>506</v>
      </c>
      <c r="C158" s="198" t="s">
        <v>488</v>
      </c>
      <c r="D158" s="198" t="s">
        <v>488</v>
      </c>
      <c r="E158" s="197" t="s">
        <v>507</v>
      </c>
      <c r="F158" s="197" t="s">
        <v>479</v>
      </c>
      <c r="G158" s="197" t="s">
        <v>508</v>
      </c>
      <c r="H158" s="197" t="s">
        <v>472</v>
      </c>
      <c r="I158" s="197" t="s">
        <v>509</v>
      </c>
      <c r="J158" s="197" t="s">
        <v>484</v>
      </c>
      <c r="K158" s="197" t="s">
        <v>510</v>
      </c>
      <c r="L158" s="197" t="s">
        <v>467</v>
      </c>
      <c r="M158" s="197" t="s">
        <v>511</v>
      </c>
      <c r="N158" s="197" t="s">
        <v>457</v>
      </c>
      <c r="O158" s="197" t="s">
        <v>492</v>
      </c>
      <c r="P158" s="106" t="s">
        <v>475</v>
      </c>
    </row>
    <row r="159" customHeight="1" spans="1:16">
      <c r="A159" s="212" t="s">
        <v>352</v>
      </c>
      <c r="B159" s="199" t="s">
        <v>506</v>
      </c>
      <c r="C159" s="198" t="s">
        <v>488</v>
      </c>
      <c r="D159" s="198" t="s">
        <v>488</v>
      </c>
      <c r="E159" s="197" t="s">
        <v>507</v>
      </c>
      <c r="F159" s="197" t="s">
        <v>479</v>
      </c>
      <c r="G159" s="197" t="s">
        <v>508</v>
      </c>
      <c r="H159" s="197" t="s">
        <v>472</v>
      </c>
      <c r="I159" s="197" t="s">
        <v>509</v>
      </c>
      <c r="J159" s="197" t="s">
        <v>484</v>
      </c>
      <c r="K159" s="197" t="s">
        <v>510</v>
      </c>
      <c r="L159" s="197" t="s">
        <v>467</v>
      </c>
      <c r="M159" s="197" t="s">
        <v>511</v>
      </c>
      <c r="N159" s="197" t="s">
        <v>457</v>
      </c>
      <c r="O159" s="197" t="s">
        <v>492</v>
      </c>
      <c r="P159" s="106" t="s">
        <v>475</v>
      </c>
    </row>
    <row r="160" customHeight="1" spans="1:16">
      <c r="A160" s="213"/>
      <c r="B160" s="199"/>
      <c r="C160" s="198"/>
      <c r="D160" s="198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 t="s">
        <v>512</v>
      </c>
      <c r="P160" s="106"/>
    </row>
    <row r="161" customHeight="1" spans="1:16">
      <c r="A161" s="199" t="s">
        <v>354</v>
      </c>
      <c r="B161" s="199" t="s">
        <v>513</v>
      </c>
      <c r="C161" s="198" t="s">
        <v>488</v>
      </c>
      <c r="D161" s="198" t="s">
        <v>488</v>
      </c>
      <c r="E161" s="197" t="s">
        <v>507</v>
      </c>
      <c r="F161" s="197" t="s">
        <v>479</v>
      </c>
      <c r="G161" s="197" t="s">
        <v>508</v>
      </c>
      <c r="H161" s="197" t="s">
        <v>472</v>
      </c>
      <c r="I161" s="197" t="s">
        <v>509</v>
      </c>
      <c r="J161" s="197" t="s">
        <v>484</v>
      </c>
      <c r="K161" s="197" t="s">
        <v>510</v>
      </c>
      <c r="L161" s="197" t="s">
        <v>467</v>
      </c>
      <c r="M161" s="197" t="s">
        <v>511</v>
      </c>
      <c r="N161" s="197" t="s">
        <v>457</v>
      </c>
      <c r="O161" s="197" t="s">
        <v>512</v>
      </c>
      <c r="P161" s="106" t="s">
        <v>475</v>
      </c>
    </row>
    <row r="162" customHeight="1" spans="1:16">
      <c r="A162" s="199" t="s">
        <v>357</v>
      </c>
      <c r="B162" s="199" t="s">
        <v>513</v>
      </c>
      <c r="C162" s="198" t="s">
        <v>488</v>
      </c>
      <c r="D162" s="198" t="s">
        <v>488</v>
      </c>
      <c r="E162" s="197" t="s">
        <v>514</v>
      </c>
      <c r="F162" s="197" t="s">
        <v>479</v>
      </c>
      <c r="G162" s="197" t="s">
        <v>508</v>
      </c>
      <c r="H162" s="197" t="s">
        <v>472</v>
      </c>
      <c r="I162" s="197" t="s">
        <v>509</v>
      </c>
      <c r="J162" s="197" t="s">
        <v>484</v>
      </c>
      <c r="K162" s="197" t="s">
        <v>510</v>
      </c>
      <c r="L162" s="197" t="s">
        <v>467</v>
      </c>
      <c r="M162" s="197" t="s">
        <v>511</v>
      </c>
      <c r="N162" s="197" t="s">
        <v>457</v>
      </c>
      <c r="O162" s="197" t="s">
        <v>512</v>
      </c>
      <c r="P162" s="106" t="s">
        <v>475</v>
      </c>
    </row>
    <row r="163" customHeight="1" spans="1:16">
      <c r="A163" s="199" t="s">
        <v>361</v>
      </c>
      <c r="B163" s="199" t="s">
        <v>515</v>
      </c>
      <c r="C163" s="198" t="s">
        <v>413</v>
      </c>
      <c r="D163" s="198"/>
      <c r="E163" s="197" t="s">
        <v>516</v>
      </c>
      <c r="F163" s="197" t="s">
        <v>479</v>
      </c>
      <c r="G163" s="197" t="s">
        <v>508</v>
      </c>
      <c r="H163" s="197" t="s">
        <v>472</v>
      </c>
      <c r="I163" s="197" t="s">
        <v>509</v>
      </c>
      <c r="J163" s="197" t="s">
        <v>484</v>
      </c>
      <c r="K163" s="197" t="s">
        <v>510</v>
      </c>
      <c r="L163" s="197" t="s">
        <v>467</v>
      </c>
      <c r="M163" s="197" t="s">
        <v>511</v>
      </c>
      <c r="N163" s="197" t="s">
        <v>457</v>
      </c>
      <c r="O163" s="197" t="s">
        <v>512</v>
      </c>
      <c r="P163" s="106" t="s">
        <v>475</v>
      </c>
    </row>
    <row r="164" customHeight="1" spans="1:16">
      <c r="A164" s="199" t="s">
        <v>367</v>
      </c>
      <c r="B164" s="199" t="s">
        <v>515</v>
      </c>
      <c r="C164" s="198" t="s">
        <v>413</v>
      </c>
      <c r="D164" s="198"/>
      <c r="E164" s="197" t="s">
        <v>516</v>
      </c>
      <c r="F164" s="197" t="s">
        <v>479</v>
      </c>
      <c r="G164" s="197" t="s">
        <v>508</v>
      </c>
      <c r="H164" s="197" t="s">
        <v>472</v>
      </c>
      <c r="I164" s="197" t="s">
        <v>509</v>
      </c>
      <c r="J164" s="197" t="s">
        <v>484</v>
      </c>
      <c r="K164" s="197" t="s">
        <v>510</v>
      </c>
      <c r="L164" s="197" t="s">
        <v>467</v>
      </c>
      <c r="M164" s="197" t="s">
        <v>511</v>
      </c>
      <c r="N164" s="197" t="s">
        <v>457</v>
      </c>
      <c r="O164" s="197" t="s">
        <v>512</v>
      </c>
      <c r="P164" s="106" t="s">
        <v>475</v>
      </c>
    </row>
    <row r="165" customHeight="1" spans="1:16">
      <c r="A165" s="199" t="s">
        <v>369</v>
      </c>
      <c r="B165" s="199" t="s">
        <v>517</v>
      </c>
      <c r="C165" s="198" t="s">
        <v>413</v>
      </c>
      <c r="D165" s="198"/>
      <c r="E165" s="197" t="s">
        <v>516</v>
      </c>
      <c r="F165" s="197" t="s">
        <v>479</v>
      </c>
      <c r="G165" s="197" t="s">
        <v>508</v>
      </c>
      <c r="H165" s="197" t="s">
        <v>472</v>
      </c>
      <c r="I165" s="197" t="s">
        <v>509</v>
      </c>
      <c r="J165" s="197" t="s">
        <v>484</v>
      </c>
      <c r="K165" s="197" t="s">
        <v>510</v>
      </c>
      <c r="L165" s="197" t="s">
        <v>467</v>
      </c>
      <c r="M165" s="197" t="s">
        <v>511</v>
      </c>
      <c r="N165" s="197" t="s">
        <v>457</v>
      </c>
      <c r="O165" s="197" t="s">
        <v>512</v>
      </c>
      <c r="P165" s="106" t="s">
        <v>475</v>
      </c>
    </row>
    <row r="166" customHeight="1" spans="1:16">
      <c r="A166" s="199" t="s">
        <v>518</v>
      </c>
      <c r="B166" s="199" t="s">
        <v>517</v>
      </c>
      <c r="C166" s="198" t="s">
        <v>413</v>
      </c>
      <c r="D166" s="198"/>
      <c r="E166" s="197" t="s">
        <v>516</v>
      </c>
      <c r="F166" s="197" t="s">
        <v>479</v>
      </c>
      <c r="G166" s="197" t="s">
        <v>508</v>
      </c>
      <c r="H166" s="197" t="s">
        <v>472</v>
      </c>
      <c r="I166" s="197" t="s">
        <v>509</v>
      </c>
      <c r="J166" s="197" t="s">
        <v>484</v>
      </c>
      <c r="K166" s="197" t="s">
        <v>510</v>
      </c>
      <c r="L166" s="197" t="s">
        <v>467</v>
      </c>
      <c r="M166" s="197" t="s">
        <v>511</v>
      </c>
      <c r="N166" s="197" t="s">
        <v>457</v>
      </c>
      <c r="O166" s="197" t="s">
        <v>512</v>
      </c>
      <c r="P166" s="106" t="s">
        <v>475</v>
      </c>
    </row>
    <row r="167" customHeight="1" spans="1:16">
      <c r="A167" s="199" t="s">
        <v>375</v>
      </c>
      <c r="B167" s="199" t="s">
        <v>517</v>
      </c>
      <c r="C167" s="198" t="s">
        <v>413</v>
      </c>
      <c r="D167" s="198"/>
      <c r="E167" s="197" t="s">
        <v>516</v>
      </c>
      <c r="F167" s="197" t="s">
        <v>479</v>
      </c>
      <c r="G167" s="197" t="s">
        <v>508</v>
      </c>
      <c r="H167" s="197" t="s">
        <v>472</v>
      </c>
      <c r="I167" s="197" t="s">
        <v>509</v>
      </c>
      <c r="J167" s="197" t="s">
        <v>484</v>
      </c>
      <c r="K167" s="197" t="s">
        <v>510</v>
      </c>
      <c r="L167" s="197" t="s">
        <v>467</v>
      </c>
      <c r="M167" s="197" t="s">
        <v>511</v>
      </c>
      <c r="N167" s="197" t="s">
        <v>457</v>
      </c>
      <c r="O167" s="197" t="s">
        <v>512</v>
      </c>
      <c r="P167" s="106" t="s">
        <v>475</v>
      </c>
    </row>
  </sheetData>
  <mergeCells count="33">
    <mergeCell ref="A1:O1"/>
    <mergeCell ref="B6:O6"/>
    <mergeCell ref="B37:O37"/>
    <mergeCell ref="A6:A8"/>
    <mergeCell ref="A16:A17"/>
    <mergeCell ref="A24:A25"/>
    <mergeCell ref="A31:A32"/>
    <mergeCell ref="A37:A39"/>
    <mergeCell ref="A46:A47"/>
    <mergeCell ref="A50:A51"/>
    <mergeCell ref="A53:A54"/>
    <mergeCell ref="A57:A58"/>
    <mergeCell ref="A61:A62"/>
    <mergeCell ref="A71:A72"/>
    <mergeCell ref="A73:A74"/>
    <mergeCell ref="A80:A81"/>
    <mergeCell ref="A83:A84"/>
    <mergeCell ref="A90:A91"/>
    <mergeCell ref="A93:A94"/>
    <mergeCell ref="A111:A112"/>
    <mergeCell ref="A116:A117"/>
    <mergeCell ref="A124:A125"/>
    <mergeCell ref="A127:A128"/>
    <mergeCell ref="A133:A134"/>
    <mergeCell ref="A139:A140"/>
    <mergeCell ref="A143:A144"/>
    <mergeCell ref="A149:A150"/>
    <mergeCell ref="A154:A155"/>
    <mergeCell ref="A159:A160"/>
    <mergeCell ref="C7:C8"/>
    <mergeCell ref="C38:C39"/>
    <mergeCell ref="D7:D8"/>
    <mergeCell ref="D38:D39"/>
  </mergeCells>
  <pageMargins left="0.75" right="0.75" top="1" bottom="1" header="0.511805555555556" footer="0.511805555555556"/>
  <pageSetup paperSize="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9"/>
  <sheetViews>
    <sheetView zoomScale="160" zoomScaleNormal="160" topLeftCell="A31" workbookViewId="0">
      <pane xSplit="1" ySplit="6" topLeftCell="B141" activePane="bottomRight" state="frozen"/>
      <selection/>
      <selection pane="topRight"/>
      <selection pane="bottomLeft"/>
      <selection pane="bottomRight" activeCell="B154" sqref="B154"/>
    </sheetView>
  </sheetViews>
  <sheetFormatPr defaultColWidth="9.10185185185185" defaultRowHeight="15" customHeight="1" outlineLevelCol="7"/>
  <cols>
    <col min="1" max="1" width="11.8888888888889" style="3" customWidth="1"/>
    <col min="2" max="2" width="12.5555555555556" style="3" customWidth="1"/>
    <col min="3" max="5" width="9.10185185185185" style="3"/>
    <col min="6" max="6" width="12.6666666666667" style="3" customWidth="1"/>
    <col min="7" max="16384" width="9.10185185185185" style="3"/>
  </cols>
  <sheetData>
    <row r="1" customHeight="1" spans="1:8">
      <c r="A1" s="5" t="s">
        <v>376</v>
      </c>
      <c r="B1" s="5"/>
      <c r="C1" s="5"/>
      <c r="D1" s="5"/>
      <c r="E1" s="5"/>
      <c r="F1" s="5"/>
      <c r="G1" s="5"/>
      <c r="H1" s="5"/>
    </row>
    <row r="2" customHeight="1" spans="1:8">
      <c r="A2" s="160"/>
      <c r="B2" s="160"/>
      <c r="C2" s="160"/>
      <c r="D2" s="160"/>
      <c r="E2" s="160"/>
      <c r="F2" s="160"/>
      <c r="G2" s="160"/>
      <c r="H2" s="160"/>
    </row>
    <row r="3" customHeight="1" spans="1:8">
      <c r="A3" s="6" t="s">
        <v>120</v>
      </c>
      <c r="B3" s="7" t="s">
        <v>121</v>
      </c>
      <c r="C3" s="7"/>
      <c r="D3" s="7"/>
      <c r="E3" s="7"/>
      <c r="F3" s="7"/>
      <c r="G3" s="7"/>
      <c r="H3" s="7"/>
    </row>
    <row r="4" customHeight="1" spans="1:8">
      <c r="A4" s="6" t="s">
        <v>122</v>
      </c>
      <c r="B4" s="7" t="s">
        <v>377</v>
      </c>
      <c r="C4" s="7"/>
      <c r="D4" s="7"/>
      <c r="E4" s="7"/>
      <c r="F4" s="7"/>
      <c r="G4" s="7"/>
      <c r="H4" s="7"/>
    </row>
    <row r="5" customHeight="1" spans="1:8">
      <c r="A5" s="161" t="s">
        <v>380</v>
      </c>
      <c r="B5" s="162" t="s">
        <v>381</v>
      </c>
      <c r="C5" s="163"/>
      <c r="D5" s="163"/>
      <c r="E5" s="163"/>
      <c r="F5" s="163"/>
      <c r="G5" s="163"/>
      <c r="H5" s="164"/>
    </row>
    <row r="6" customHeight="1" spans="1:8">
      <c r="A6" s="165"/>
      <c r="B6" s="166" t="s">
        <v>382</v>
      </c>
      <c r="C6" s="167" t="s">
        <v>385</v>
      </c>
      <c r="D6" s="165" t="s">
        <v>386</v>
      </c>
      <c r="E6" s="167" t="s">
        <v>387</v>
      </c>
      <c r="F6" s="165" t="s">
        <v>388</v>
      </c>
      <c r="G6" s="167" t="s">
        <v>389</v>
      </c>
      <c r="H6" s="165" t="s">
        <v>390</v>
      </c>
    </row>
    <row r="7" customHeight="1" spans="1:8">
      <c r="A7" s="168"/>
      <c r="B7" s="169" t="s">
        <v>391</v>
      </c>
      <c r="C7" s="169" t="s">
        <v>392</v>
      </c>
      <c r="D7" s="169" t="s">
        <v>393</v>
      </c>
      <c r="E7" s="169" t="s">
        <v>394</v>
      </c>
      <c r="F7" s="169" t="s">
        <v>395</v>
      </c>
      <c r="G7" s="169" t="s">
        <v>395</v>
      </c>
      <c r="H7" s="169" t="s">
        <v>396</v>
      </c>
    </row>
    <row r="8" customFormat="1" customHeight="1" spans="1:8">
      <c r="A8" s="117" t="s">
        <v>397</v>
      </c>
      <c r="B8" s="170">
        <v>115</v>
      </c>
      <c r="C8" s="170">
        <v>18.74</v>
      </c>
      <c r="D8" s="170">
        <v>2.3</v>
      </c>
      <c r="E8" s="170">
        <v>2</v>
      </c>
      <c r="F8" s="170">
        <v>1</v>
      </c>
      <c r="G8" s="170">
        <v>1</v>
      </c>
      <c r="H8" s="170">
        <v>0.5</v>
      </c>
    </row>
    <row r="9" customHeight="1" spans="1:8">
      <c r="A9" s="117" t="s">
        <v>406</v>
      </c>
      <c r="B9" s="170">
        <v>115</v>
      </c>
      <c r="C9" s="170">
        <v>18.74</v>
      </c>
      <c r="D9" s="170">
        <v>2.3</v>
      </c>
      <c r="E9" s="170">
        <v>2</v>
      </c>
      <c r="F9" s="170">
        <v>1</v>
      </c>
      <c r="G9" s="170">
        <v>1</v>
      </c>
      <c r="H9" s="170">
        <v>0.5</v>
      </c>
    </row>
    <row r="10" customHeight="1" spans="1:8">
      <c r="A10" s="117" t="s">
        <v>407</v>
      </c>
      <c r="B10" s="170">
        <v>115</v>
      </c>
      <c r="C10" s="170">
        <v>18.74</v>
      </c>
      <c r="D10" s="170">
        <v>2.3</v>
      </c>
      <c r="E10" s="170">
        <v>2</v>
      </c>
      <c r="F10" s="170">
        <v>1</v>
      </c>
      <c r="G10" s="170">
        <v>1</v>
      </c>
      <c r="H10" s="170">
        <v>0.5</v>
      </c>
    </row>
    <row r="11" customHeight="1" spans="1:8">
      <c r="A11" s="117" t="s">
        <v>408</v>
      </c>
      <c r="B11" s="170">
        <v>115</v>
      </c>
      <c r="C11" s="170">
        <v>18.74</v>
      </c>
      <c r="D11" s="170">
        <v>2.3</v>
      </c>
      <c r="E11" s="170">
        <v>2</v>
      </c>
      <c r="F11" s="170">
        <v>1</v>
      </c>
      <c r="G11" s="170">
        <v>1</v>
      </c>
      <c r="H11" s="170">
        <v>0.5</v>
      </c>
    </row>
    <row r="12" customHeight="1" spans="1:8">
      <c r="A12" s="117" t="s">
        <v>409</v>
      </c>
      <c r="B12" s="170">
        <v>115</v>
      </c>
      <c r="C12" s="170">
        <v>18.74</v>
      </c>
      <c r="D12" s="170">
        <v>2.3</v>
      </c>
      <c r="E12" s="170">
        <v>2</v>
      </c>
      <c r="F12" s="170">
        <v>1</v>
      </c>
      <c r="G12" s="170">
        <v>1</v>
      </c>
      <c r="H12" s="170">
        <v>0.5</v>
      </c>
    </row>
    <row r="13" customHeight="1" spans="1:8">
      <c r="A13" s="117" t="s">
        <v>11</v>
      </c>
      <c r="B13" s="170">
        <v>115</v>
      </c>
      <c r="C13" s="170">
        <v>18.74</v>
      </c>
      <c r="D13" s="170">
        <v>2.3</v>
      </c>
      <c r="E13" s="170">
        <v>2</v>
      </c>
      <c r="F13" s="170">
        <v>1</v>
      </c>
      <c r="G13" s="170">
        <v>1</v>
      </c>
      <c r="H13" s="170">
        <v>0.5</v>
      </c>
    </row>
    <row r="14" customHeight="1" spans="1:8">
      <c r="A14" s="117" t="s">
        <v>24</v>
      </c>
      <c r="B14" s="170">
        <v>115</v>
      </c>
      <c r="C14" s="170">
        <v>18.74</v>
      </c>
      <c r="D14" s="170">
        <v>2.3</v>
      </c>
      <c r="E14" s="170">
        <v>2</v>
      </c>
      <c r="F14" s="170">
        <v>1</v>
      </c>
      <c r="G14" s="170">
        <v>1</v>
      </c>
      <c r="H14" s="170">
        <v>0.5</v>
      </c>
    </row>
    <row r="15" customHeight="1" spans="1:8">
      <c r="A15" s="171" t="s">
        <v>34</v>
      </c>
      <c r="B15" s="172" t="s">
        <v>519</v>
      </c>
      <c r="C15" s="170">
        <v>18.74</v>
      </c>
      <c r="D15" s="170">
        <v>2.3</v>
      </c>
      <c r="E15" s="170">
        <v>2</v>
      </c>
      <c r="F15" s="170">
        <v>1</v>
      </c>
      <c r="G15" s="170">
        <v>1</v>
      </c>
      <c r="H15" s="170">
        <v>0.5</v>
      </c>
    </row>
    <row r="16" customHeight="1" spans="1:2">
      <c r="A16" s="127"/>
      <c r="B16" s="3" t="s">
        <v>520</v>
      </c>
    </row>
    <row r="17" customHeight="1" spans="1:8">
      <c r="A17" s="117" t="s">
        <v>43</v>
      </c>
      <c r="B17" s="170">
        <v>115</v>
      </c>
      <c r="C17" s="170">
        <v>18.74</v>
      </c>
      <c r="D17" s="170">
        <v>2.3</v>
      </c>
      <c r="E17" s="170">
        <v>2</v>
      </c>
      <c r="F17" s="170">
        <v>1</v>
      </c>
      <c r="G17" s="170">
        <v>1</v>
      </c>
      <c r="H17" s="170">
        <v>0.5</v>
      </c>
    </row>
    <row r="18" customHeight="1" spans="1:8">
      <c r="A18" s="117" t="s">
        <v>52</v>
      </c>
      <c r="B18" s="170">
        <v>115</v>
      </c>
      <c r="C18" s="170">
        <v>18.74</v>
      </c>
      <c r="D18" s="170">
        <v>2.3</v>
      </c>
      <c r="E18" s="170">
        <v>2</v>
      </c>
      <c r="F18" s="170">
        <v>1</v>
      </c>
      <c r="G18" s="170">
        <v>1</v>
      </c>
      <c r="H18" s="170">
        <v>0.5</v>
      </c>
    </row>
    <row r="19" customHeight="1" spans="1:8">
      <c r="A19" s="117" t="s">
        <v>61</v>
      </c>
      <c r="B19" s="170">
        <v>115</v>
      </c>
      <c r="C19" s="170">
        <v>18.74</v>
      </c>
      <c r="D19" s="170">
        <v>2.3</v>
      </c>
      <c r="E19" s="170">
        <v>2</v>
      </c>
      <c r="F19" s="170">
        <v>1</v>
      </c>
      <c r="G19" s="170">
        <v>1</v>
      </c>
      <c r="H19" s="170">
        <v>0.5</v>
      </c>
    </row>
    <row r="20" customFormat="1" ht="15.9" customHeight="1" spans="1:8">
      <c r="A20" s="117" t="s">
        <v>65</v>
      </c>
      <c r="B20" s="170">
        <v>115</v>
      </c>
      <c r="C20" s="170">
        <v>18.74</v>
      </c>
      <c r="D20" s="170">
        <v>2.3</v>
      </c>
      <c r="E20" s="170">
        <v>2</v>
      </c>
      <c r="F20" s="170">
        <v>1</v>
      </c>
      <c r="G20" s="170">
        <v>1</v>
      </c>
      <c r="H20" s="170">
        <v>0.5</v>
      </c>
    </row>
    <row r="21" customFormat="1" ht="15.9" customHeight="1" spans="1:8">
      <c r="A21" s="117" t="s">
        <v>76</v>
      </c>
      <c r="B21" s="170">
        <v>115</v>
      </c>
      <c r="C21" s="170">
        <v>18.74</v>
      </c>
      <c r="D21" s="170">
        <v>2.3</v>
      </c>
      <c r="E21" s="170">
        <v>2</v>
      </c>
      <c r="F21" s="170">
        <v>1</v>
      </c>
      <c r="G21" s="170">
        <v>1</v>
      </c>
      <c r="H21" s="170">
        <v>0.5</v>
      </c>
    </row>
    <row r="22" customFormat="1" ht="15.9" customHeight="1" spans="1:8">
      <c r="A22" s="117" t="s">
        <v>83</v>
      </c>
      <c r="B22" s="170">
        <v>115</v>
      </c>
      <c r="C22" s="170">
        <v>18.74</v>
      </c>
      <c r="D22" s="170">
        <v>2.3</v>
      </c>
      <c r="E22" s="170">
        <v>2</v>
      </c>
      <c r="F22" s="170">
        <v>1</v>
      </c>
      <c r="G22" s="170">
        <v>1</v>
      </c>
      <c r="H22" s="170">
        <v>0.5</v>
      </c>
    </row>
    <row r="23" customFormat="1" ht="15.9" customHeight="1" spans="1:8">
      <c r="A23" s="117" t="s">
        <v>92</v>
      </c>
      <c r="B23" s="170">
        <v>115</v>
      </c>
      <c r="C23" s="170">
        <v>18.74</v>
      </c>
      <c r="D23" s="170">
        <v>2.3</v>
      </c>
      <c r="E23" s="170">
        <v>2</v>
      </c>
      <c r="F23" s="170">
        <v>1</v>
      </c>
      <c r="G23" s="170">
        <v>1</v>
      </c>
      <c r="H23" s="170">
        <v>0.5</v>
      </c>
    </row>
    <row r="24" customFormat="1" ht="15.9" customHeight="1" spans="1:8">
      <c r="A24" s="117" t="s">
        <v>97</v>
      </c>
      <c r="B24" s="170">
        <v>115</v>
      </c>
      <c r="C24" s="170">
        <v>18.74</v>
      </c>
      <c r="D24" s="170">
        <v>2.3</v>
      </c>
      <c r="E24" s="170">
        <v>2</v>
      </c>
      <c r="F24" s="170">
        <v>1</v>
      </c>
      <c r="G24" s="170">
        <v>1</v>
      </c>
      <c r="H24" s="170">
        <v>0.5</v>
      </c>
    </row>
    <row r="25" s="1" customFormat="1" customHeight="1"/>
    <row r="26" customHeight="1" spans="1:8">
      <c r="A26" s="117" t="s">
        <v>104</v>
      </c>
      <c r="B26" s="170">
        <v>115</v>
      </c>
      <c r="C26" s="170">
        <v>18.74</v>
      </c>
      <c r="D26" s="170">
        <v>2.3</v>
      </c>
      <c r="E26" s="170">
        <v>2</v>
      </c>
      <c r="F26" s="170">
        <v>1</v>
      </c>
      <c r="G26" s="170">
        <v>1</v>
      </c>
      <c r="H26" s="170">
        <v>0.5</v>
      </c>
    </row>
    <row r="27" customHeight="1" spans="1:8">
      <c r="A27" s="117" t="s">
        <v>110</v>
      </c>
      <c r="B27" s="170">
        <v>115</v>
      </c>
      <c r="C27" s="170">
        <v>18.74</v>
      </c>
      <c r="D27" s="170">
        <v>2.3</v>
      </c>
      <c r="E27" s="170">
        <v>2</v>
      </c>
      <c r="F27" s="170">
        <v>1</v>
      </c>
      <c r="G27" s="170">
        <v>1</v>
      </c>
      <c r="H27" s="170">
        <v>0.5</v>
      </c>
    </row>
    <row r="28" s="1" customFormat="1" customHeight="1"/>
    <row r="29" customHeight="1" spans="1:8">
      <c r="A29" s="171" t="s">
        <v>114</v>
      </c>
      <c r="B29" s="170">
        <v>115</v>
      </c>
      <c r="C29" s="170">
        <v>18.74</v>
      </c>
      <c r="D29" s="170">
        <v>2.3</v>
      </c>
      <c r="E29" s="170">
        <v>2</v>
      </c>
      <c r="F29" s="170">
        <v>1</v>
      </c>
      <c r="G29" s="170">
        <v>0.73</v>
      </c>
      <c r="H29" s="170">
        <v>0.5</v>
      </c>
    </row>
    <row r="30" customHeight="1" spans="1:8">
      <c r="A30" s="127"/>
      <c r="B30" s="127"/>
      <c r="C30" s="127"/>
      <c r="D30" s="127"/>
      <c r="E30" s="127"/>
      <c r="F30" s="127"/>
      <c r="G30" s="127">
        <v>0.27</v>
      </c>
      <c r="H30" s="127"/>
    </row>
    <row r="31" s="1" customFormat="1" customHeight="1"/>
    <row r="32" customHeight="1" spans="1:2">
      <c r="A32" s="6" t="s">
        <v>120</v>
      </c>
      <c r="B32" s="7" t="s">
        <v>121</v>
      </c>
    </row>
    <row r="33" customHeight="1" spans="1:2">
      <c r="A33" s="6" t="s">
        <v>122</v>
      </c>
      <c r="B33" s="7" t="s">
        <v>123</v>
      </c>
    </row>
    <row r="34" customHeight="1" spans="1:8">
      <c r="A34" s="161" t="s">
        <v>380</v>
      </c>
      <c r="B34" s="162" t="s">
        <v>381</v>
      </c>
      <c r="C34" s="163"/>
      <c r="D34" s="163"/>
      <c r="E34" s="163"/>
      <c r="F34" s="163"/>
      <c r="G34" s="163"/>
      <c r="H34" s="164"/>
    </row>
    <row r="35" customHeight="1" spans="1:8">
      <c r="A35" s="165"/>
      <c r="B35" s="166" t="s">
        <v>382</v>
      </c>
      <c r="C35" s="167" t="s">
        <v>385</v>
      </c>
      <c r="D35" s="165" t="s">
        <v>386</v>
      </c>
      <c r="E35" s="167" t="s">
        <v>387</v>
      </c>
      <c r="F35" s="165" t="s">
        <v>388</v>
      </c>
      <c r="G35" s="167" t="s">
        <v>389</v>
      </c>
      <c r="H35" s="165" t="s">
        <v>390</v>
      </c>
    </row>
    <row r="36" customHeight="1" spans="1:8">
      <c r="A36" s="168"/>
      <c r="B36" s="169" t="s">
        <v>391</v>
      </c>
      <c r="C36" s="169" t="s">
        <v>392</v>
      </c>
      <c r="D36" s="169" t="s">
        <v>521</v>
      </c>
      <c r="E36" s="169" t="s">
        <v>522</v>
      </c>
      <c r="F36" s="169" t="s">
        <v>523</v>
      </c>
      <c r="G36" s="169" t="s">
        <v>523</v>
      </c>
      <c r="H36" s="169" t="s">
        <v>524</v>
      </c>
    </row>
    <row r="37" customHeight="1" spans="1:8">
      <c r="A37" s="117" t="s">
        <v>124</v>
      </c>
      <c r="B37" s="170">
        <v>115</v>
      </c>
      <c r="C37" s="170">
        <v>18.74</v>
      </c>
      <c r="D37" s="122">
        <v>2300</v>
      </c>
      <c r="E37" s="122">
        <v>2000</v>
      </c>
      <c r="F37" s="122">
        <v>1000</v>
      </c>
      <c r="G37" s="122">
        <v>1000</v>
      </c>
      <c r="H37" s="122">
        <v>500</v>
      </c>
    </row>
    <row r="38" customHeight="1" spans="1:8">
      <c r="A38" s="117" t="s">
        <v>127</v>
      </c>
      <c r="B38" s="170">
        <v>115</v>
      </c>
      <c r="C38" s="170">
        <v>18.74</v>
      </c>
      <c r="D38" s="122">
        <v>2300</v>
      </c>
      <c r="E38" s="122">
        <v>2000</v>
      </c>
      <c r="F38" s="122">
        <v>1000</v>
      </c>
      <c r="G38" s="122">
        <v>1000</v>
      </c>
      <c r="H38" s="122">
        <v>500</v>
      </c>
    </row>
    <row r="39" customHeight="1" spans="1:8">
      <c r="A39" s="117" t="s">
        <v>131</v>
      </c>
      <c r="B39" s="170">
        <v>115</v>
      </c>
      <c r="C39" s="170">
        <v>18.74</v>
      </c>
      <c r="D39" s="122">
        <v>2300</v>
      </c>
      <c r="E39" s="122">
        <v>2000</v>
      </c>
      <c r="F39" s="122">
        <v>1000</v>
      </c>
      <c r="G39" s="122">
        <v>1000</v>
      </c>
      <c r="H39" s="122">
        <v>500</v>
      </c>
    </row>
    <row r="40" customHeight="1" spans="1:8">
      <c r="A40" s="117" t="s">
        <v>138</v>
      </c>
      <c r="B40" s="170">
        <v>115</v>
      </c>
      <c r="C40" s="170">
        <v>18.74</v>
      </c>
      <c r="D40" s="122">
        <v>2300</v>
      </c>
      <c r="E40" s="122">
        <v>2000</v>
      </c>
      <c r="F40" s="122">
        <v>1000</v>
      </c>
      <c r="G40" s="122">
        <v>1000</v>
      </c>
      <c r="H40" s="122">
        <v>500</v>
      </c>
    </row>
    <row r="41" customHeight="1" spans="1:8">
      <c r="A41" s="117" t="s">
        <v>140</v>
      </c>
      <c r="B41" s="170">
        <v>115</v>
      </c>
      <c r="C41" s="170">
        <v>18.74</v>
      </c>
      <c r="D41" s="122">
        <v>2300</v>
      </c>
      <c r="E41" s="122">
        <v>2000</v>
      </c>
      <c r="F41" s="122">
        <v>1000</v>
      </c>
      <c r="G41" s="122">
        <v>1000</v>
      </c>
      <c r="H41" s="122">
        <v>500</v>
      </c>
    </row>
    <row r="42" customHeight="1" spans="1:8">
      <c r="A42" s="173" t="s">
        <v>144</v>
      </c>
      <c r="B42" s="174">
        <v>115</v>
      </c>
      <c r="C42" s="174">
        <v>18.74</v>
      </c>
      <c r="D42" s="122">
        <v>2300</v>
      </c>
      <c r="E42" s="122">
        <v>2000</v>
      </c>
      <c r="F42" s="122">
        <v>1000</v>
      </c>
      <c r="G42" s="122">
        <v>1000</v>
      </c>
      <c r="H42" s="122">
        <v>500</v>
      </c>
    </row>
    <row r="43" customHeight="1" spans="1:8">
      <c r="A43" s="122" t="s">
        <v>150</v>
      </c>
      <c r="B43" s="122" t="s">
        <v>525</v>
      </c>
      <c r="C43" s="122">
        <v>18.74</v>
      </c>
      <c r="D43" s="122">
        <v>2300</v>
      </c>
      <c r="E43" s="122">
        <v>2000</v>
      </c>
      <c r="F43" s="122">
        <v>1000</v>
      </c>
      <c r="G43" s="122">
        <v>1000</v>
      </c>
      <c r="H43" s="122">
        <v>500</v>
      </c>
    </row>
    <row r="44" customHeight="1" spans="1:8">
      <c r="A44" s="122"/>
      <c r="B44" s="25" t="s">
        <v>526</v>
      </c>
      <c r="C44" s="25"/>
      <c r="D44" s="25"/>
      <c r="E44" s="25"/>
      <c r="F44" s="25"/>
      <c r="G44" s="25"/>
      <c r="H44" s="25"/>
    </row>
    <row r="45" customHeight="1" spans="1:8">
      <c r="A45" s="122" t="s">
        <v>152</v>
      </c>
      <c r="B45" s="122">
        <v>115</v>
      </c>
      <c r="C45" s="122">
        <v>18.74</v>
      </c>
      <c r="D45" s="122">
        <v>2300</v>
      </c>
      <c r="E45" s="122">
        <v>2000</v>
      </c>
      <c r="F45" s="122">
        <v>1000</v>
      </c>
      <c r="G45" s="122">
        <v>1000</v>
      </c>
      <c r="H45" s="122">
        <v>500</v>
      </c>
    </row>
    <row r="46" customHeight="1" spans="1:8">
      <c r="A46" s="122" t="s">
        <v>155</v>
      </c>
      <c r="B46" s="122">
        <v>115</v>
      </c>
      <c r="C46" s="122">
        <v>18.74</v>
      </c>
      <c r="D46" s="122">
        <v>2300</v>
      </c>
      <c r="E46" s="122">
        <v>2000</v>
      </c>
      <c r="F46" s="122">
        <v>1000</v>
      </c>
      <c r="G46" s="122">
        <v>1000</v>
      </c>
      <c r="H46" s="122">
        <v>500</v>
      </c>
    </row>
    <row r="47" customHeight="1" spans="1:8">
      <c r="A47" s="122" t="s">
        <v>159</v>
      </c>
      <c r="B47" s="122">
        <v>115</v>
      </c>
      <c r="C47" s="122">
        <v>18.74</v>
      </c>
      <c r="D47" s="122">
        <v>2300</v>
      </c>
      <c r="E47" s="122">
        <v>2000</v>
      </c>
      <c r="F47" s="122">
        <v>1000</v>
      </c>
      <c r="G47" s="122">
        <v>1000</v>
      </c>
      <c r="H47" s="122">
        <v>500</v>
      </c>
    </row>
    <row r="48" customHeight="1" spans="1:8">
      <c r="A48" s="122" t="s">
        <v>165</v>
      </c>
      <c r="B48" s="122">
        <v>115</v>
      </c>
      <c r="C48" s="122">
        <v>18.74</v>
      </c>
      <c r="D48" s="122">
        <v>2300</v>
      </c>
      <c r="E48" s="122">
        <v>2000</v>
      </c>
      <c r="F48" s="122">
        <v>1000</v>
      </c>
      <c r="G48" s="122">
        <v>1000</v>
      </c>
      <c r="H48" s="122">
        <v>500</v>
      </c>
    </row>
    <row r="49" customHeight="1" spans="1:8">
      <c r="A49" s="122" t="s">
        <v>169</v>
      </c>
      <c r="B49" s="122">
        <v>115</v>
      </c>
      <c r="C49" s="122">
        <v>18.74</v>
      </c>
      <c r="D49" s="122">
        <v>2300</v>
      </c>
      <c r="E49" s="122">
        <v>2000</v>
      </c>
      <c r="F49" s="122">
        <v>1000</v>
      </c>
      <c r="G49" s="122">
        <v>1000</v>
      </c>
      <c r="H49" s="122">
        <v>500</v>
      </c>
    </row>
    <row r="50" customHeight="1" spans="1:8">
      <c r="A50" s="122" t="s">
        <v>171</v>
      </c>
      <c r="B50" s="122">
        <v>115</v>
      </c>
      <c r="C50" s="122">
        <v>18.74</v>
      </c>
      <c r="D50" s="122">
        <v>2300</v>
      </c>
      <c r="E50" s="122">
        <v>2000</v>
      </c>
      <c r="F50" s="122">
        <v>1000</v>
      </c>
      <c r="G50" s="122">
        <v>1000</v>
      </c>
      <c r="H50" s="122">
        <v>500</v>
      </c>
    </row>
    <row r="51" customHeight="1" spans="1:8">
      <c r="A51" s="122" t="s">
        <v>177</v>
      </c>
      <c r="B51" s="122">
        <v>115</v>
      </c>
      <c r="C51" s="122">
        <v>18.74</v>
      </c>
      <c r="D51" s="122">
        <v>2300</v>
      </c>
      <c r="E51" s="122">
        <v>2000</v>
      </c>
      <c r="F51" s="122">
        <v>1000</v>
      </c>
      <c r="G51" s="122">
        <v>1000</v>
      </c>
      <c r="H51" s="122">
        <v>500</v>
      </c>
    </row>
    <row r="52" customHeight="1" spans="1:8">
      <c r="A52" s="122" t="s">
        <v>181</v>
      </c>
      <c r="B52" s="122">
        <v>115</v>
      </c>
      <c r="C52" s="122">
        <v>18.74</v>
      </c>
      <c r="D52" s="122">
        <v>2300</v>
      </c>
      <c r="E52" s="122">
        <v>2000</v>
      </c>
      <c r="F52" s="122">
        <v>1000</v>
      </c>
      <c r="G52" s="122">
        <v>1000</v>
      </c>
      <c r="H52" s="122">
        <v>500</v>
      </c>
    </row>
    <row r="53" customHeight="1" spans="1:8">
      <c r="A53" s="122" t="s">
        <v>182</v>
      </c>
      <c r="B53" s="122">
        <v>115</v>
      </c>
      <c r="C53" s="122">
        <v>18.74</v>
      </c>
      <c r="D53" s="122">
        <v>2300</v>
      </c>
      <c r="E53" s="122">
        <v>2000</v>
      </c>
      <c r="F53" s="122">
        <v>1000</v>
      </c>
      <c r="G53" s="122">
        <v>1000</v>
      </c>
      <c r="H53" s="122">
        <v>500</v>
      </c>
    </row>
    <row r="54" customHeight="1" spans="1:8">
      <c r="A54" s="122" t="s">
        <v>185</v>
      </c>
      <c r="B54" s="122">
        <v>115</v>
      </c>
      <c r="C54" s="122">
        <v>18.74</v>
      </c>
      <c r="D54" s="122">
        <v>2300</v>
      </c>
      <c r="E54" s="122">
        <v>2000</v>
      </c>
      <c r="F54" s="122">
        <v>1000</v>
      </c>
      <c r="G54" s="122">
        <v>1000</v>
      </c>
      <c r="H54" s="122">
        <v>500</v>
      </c>
    </row>
    <row r="55" customHeight="1" spans="1:8">
      <c r="A55" s="124" t="s">
        <v>189</v>
      </c>
      <c r="B55" s="122">
        <v>36.72</v>
      </c>
      <c r="C55" s="122">
        <v>18.74</v>
      </c>
      <c r="D55" s="122">
        <v>2300</v>
      </c>
      <c r="E55" s="122">
        <v>2000</v>
      </c>
      <c r="F55" s="122">
        <v>1000</v>
      </c>
      <c r="G55" s="122">
        <v>1000</v>
      </c>
      <c r="H55" s="122">
        <v>500</v>
      </c>
    </row>
    <row r="56" customHeight="1" spans="1:8">
      <c r="A56" s="121"/>
      <c r="B56" s="122">
        <v>78.28</v>
      </c>
      <c r="C56" s="122"/>
      <c r="D56" s="122"/>
      <c r="E56" s="122"/>
      <c r="F56" s="122"/>
      <c r="G56" s="122"/>
      <c r="H56" s="122"/>
    </row>
    <row r="57" customHeight="1" spans="1:8">
      <c r="A57" s="122" t="s">
        <v>192</v>
      </c>
      <c r="B57" s="122">
        <v>115</v>
      </c>
      <c r="C57" s="122">
        <v>18.74</v>
      </c>
      <c r="D57" s="122">
        <v>2300</v>
      </c>
      <c r="E57" s="122">
        <v>2000</v>
      </c>
      <c r="F57" s="122">
        <v>1000</v>
      </c>
      <c r="G57" s="122">
        <v>1000</v>
      </c>
      <c r="H57" s="122">
        <v>500</v>
      </c>
    </row>
    <row r="58" customHeight="1" spans="1:8">
      <c r="A58" s="122" t="s">
        <v>196</v>
      </c>
      <c r="B58" s="122">
        <v>115</v>
      </c>
      <c r="C58" s="122">
        <v>18.74</v>
      </c>
      <c r="D58" s="122">
        <v>2300</v>
      </c>
      <c r="E58" s="122">
        <v>2000</v>
      </c>
      <c r="F58" s="122">
        <v>1000</v>
      </c>
      <c r="G58" s="122">
        <v>1000</v>
      </c>
      <c r="H58" s="122">
        <v>500</v>
      </c>
    </row>
    <row r="59" customHeight="1" spans="1:8">
      <c r="A59" s="122" t="s">
        <v>527</v>
      </c>
      <c r="B59" s="122">
        <v>115</v>
      </c>
      <c r="C59" s="122">
        <v>18.74</v>
      </c>
      <c r="D59" s="122">
        <v>2300</v>
      </c>
      <c r="E59" s="122">
        <v>2000</v>
      </c>
      <c r="F59" s="122">
        <v>1000</v>
      </c>
      <c r="G59" s="122">
        <v>1000</v>
      </c>
      <c r="H59" s="122">
        <v>500</v>
      </c>
    </row>
    <row r="63" customHeight="1" spans="1:8">
      <c r="A63" s="122" t="s">
        <v>200</v>
      </c>
      <c r="B63" s="122">
        <v>115</v>
      </c>
      <c r="C63" s="122">
        <v>18.74</v>
      </c>
      <c r="D63" s="122">
        <v>2300</v>
      </c>
      <c r="E63" s="122">
        <v>2000</v>
      </c>
      <c r="F63" s="122">
        <v>1000</v>
      </c>
      <c r="G63" s="122">
        <v>1000</v>
      </c>
      <c r="H63" s="122">
        <v>500</v>
      </c>
    </row>
    <row r="64" customHeight="1" spans="1:8">
      <c r="A64" s="122" t="s">
        <v>203</v>
      </c>
      <c r="B64" s="122">
        <v>115</v>
      </c>
      <c r="C64" s="122">
        <v>18.74</v>
      </c>
      <c r="D64" s="122">
        <v>2300</v>
      </c>
      <c r="E64" s="122">
        <v>2000</v>
      </c>
      <c r="F64" s="122">
        <v>1000</v>
      </c>
      <c r="G64" s="122">
        <v>1000</v>
      </c>
      <c r="H64" s="122">
        <v>500</v>
      </c>
    </row>
    <row r="65" ht="15.6" customHeight="1" spans="1:8">
      <c r="A65" s="122" t="s">
        <v>206</v>
      </c>
      <c r="B65" s="122">
        <v>115</v>
      </c>
      <c r="C65" s="122">
        <v>18.74</v>
      </c>
      <c r="D65" s="122">
        <v>2300</v>
      </c>
      <c r="E65" s="122">
        <v>2000</v>
      </c>
      <c r="F65" s="122">
        <v>1000</v>
      </c>
      <c r="G65" s="122">
        <v>1000</v>
      </c>
      <c r="H65" s="122">
        <v>500</v>
      </c>
    </row>
    <row r="66" customHeight="1" spans="1:8">
      <c r="A66" s="122" t="s">
        <v>210</v>
      </c>
      <c r="B66" s="122">
        <v>115</v>
      </c>
      <c r="C66" s="122">
        <v>18.74</v>
      </c>
      <c r="D66" s="122">
        <v>2300</v>
      </c>
      <c r="E66" s="122">
        <v>2000</v>
      </c>
      <c r="F66" s="122">
        <v>1000</v>
      </c>
      <c r="G66" s="122">
        <v>1000</v>
      </c>
      <c r="H66" s="122">
        <v>500</v>
      </c>
    </row>
    <row r="67" customHeight="1" spans="1:8">
      <c r="A67" s="122" t="s">
        <v>213</v>
      </c>
      <c r="B67" s="122">
        <v>115</v>
      </c>
      <c r="C67" s="122">
        <v>18.74</v>
      </c>
      <c r="D67" s="122">
        <v>2300</v>
      </c>
      <c r="E67" s="122">
        <v>2000</v>
      </c>
      <c r="F67" s="122">
        <v>1000</v>
      </c>
      <c r="G67" s="122">
        <v>1000</v>
      </c>
      <c r="H67" s="122">
        <v>500</v>
      </c>
    </row>
    <row r="68" customHeight="1" spans="1:8">
      <c r="A68" s="122" t="s">
        <v>218</v>
      </c>
      <c r="B68" s="122">
        <v>115</v>
      </c>
      <c r="C68" s="122">
        <v>18.74</v>
      </c>
      <c r="D68" s="122">
        <v>2300</v>
      </c>
      <c r="E68" s="122">
        <v>2000</v>
      </c>
      <c r="F68" s="122">
        <v>1000</v>
      </c>
      <c r="G68" s="122">
        <v>1000</v>
      </c>
      <c r="H68" s="122">
        <v>500</v>
      </c>
    </row>
    <row r="69" customHeight="1" spans="1:8">
      <c r="A69" s="126"/>
      <c r="B69" s="122"/>
      <c r="C69" s="122"/>
      <c r="D69" s="122"/>
      <c r="E69" s="122"/>
      <c r="F69" s="122"/>
      <c r="G69" s="122"/>
      <c r="H69" s="122"/>
    </row>
    <row r="70" customHeight="1" spans="1:8">
      <c r="A70" s="126" t="s">
        <v>221</v>
      </c>
      <c r="B70" s="122">
        <v>21.93</v>
      </c>
      <c r="C70" s="122">
        <v>18.74</v>
      </c>
      <c r="D70" s="122">
        <v>2300</v>
      </c>
      <c r="E70" s="122">
        <v>2000</v>
      </c>
      <c r="F70" s="122">
        <v>1000</v>
      </c>
      <c r="G70" s="122">
        <v>1000</v>
      </c>
      <c r="H70" s="122">
        <v>500</v>
      </c>
    </row>
    <row r="71" customHeight="1" spans="1:2">
      <c r="A71" s="127"/>
      <c r="B71" s="3">
        <v>93.07</v>
      </c>
    </row>
    <row r="72" customHeight="1" spans="1:8">
      <c r="A72" s="122" t="s">
        <v>223</v>
      </c>
      <c r="B72" s="122">
        <v>115</v>
      </c>
      <c r="C72" s="122">
        <v>18.74</v>
      </c>
      <c r="D72" s="122">
        <v>2300</v>
      </c>
      <c r="E72" s="122">
        <v>2000</v>
      </c>
      <c r="F72" s="122">
        <v>1000</v>
      </c>
      <c r="G72" s="122">
        <v>1000</v>
      </c>
      <c r="H72" s="122">
        <v>500</v>
      </c>
    </row>
    <row r="73" s="1" customFormat="1" customHeight="1"/>
    <row r="74" customHeight="1" spans="1:8">
      <c r="A74" s="122" t="s">
        <v>226</v>
      </c>
      <c r="B74" s="122">
        <v>115</v>
      </c>
      <c r="C74" s="122">
        <v>18.74</v>
      </c>
      <c r="D74" s="122">
        <v>2300</v>
      </c>
      <c r="E74" s="122">
        <v>2000</v>
      </c>
      <c r="F74" s="122">
        <v>1000</v>
      </c>
      <c r="G74" s="122">
        <v>1000</v>
      </c>
      <c r="H74" s="122">
        <v>500</v>
      </c>
    </row>
    <row r="75" customHeight="1" spans="1:8">
      <c r="A75" s="122" t="s">
        <v>228</v>
      </c>
      <c r="B75" s="122">
        <v>115</v>
      </c>
      <c r="C75" s="122">
        <v>18.74</v>
      </c>
      <c r="D75" s="122">
        <v>2300</v>
      </c>
      <c r="E75" s="122">
        <v>2000</v>
      </c>
      <c r="F75" s="122">
        <v>1000</v>
      </c>
      <c r="G75" s="122">
        <v>1000</v>
      </c>
      <c r="H75" s="122">
        <v>500</v>
      </c>
    </row>
    <row r="76" customHeight="1" spans="1:8">
      <c r="A76" s="122" t="s">
        <v>230</v>
      </c>
      <c r="B76" s="122">
        <v>115</v>
      </c>
      <c r="C76" s="122">
        <v>18.74</v>
      </c>
      <c r="D76" s="122">
        <v>2300</v>
      </c>
      <c r="E76" s="122">
        <v>2000</v>
      </c>
      <c r="F76" s="122">
        <v>1000</v>
      </c>
      <c r="G76" s="122">
        <v>1000</v>
      </c>
      <c r="H76" s="122">
        <v>500</v>
      </c>
    </row>
    <row r="77" customHeight="1" spans="1:8">
      <c r="A77" s="122" t="s">
        <v>233</v>
      </c>
      <c r="B77" s="122">
        <v>115</v>
      </c>
      <c r="C77" s="122">
        <v>18.74</v>
      </c>
      <c r="D77" s="122">
        <v>2300</v>
      </c>
      <c r="E77" s="122">
        <v>2000</v>
      </c>
      <c r="F77" s="122">
        <v>1000</v>
      </c>
      <c r="G77" s="122">
        <v>1000</v>
      </c>
      <c r="H77" s="122">
        <v>500</v>
      </c>
    </row>
    <row r="78" customHeight="1" spans="1:8">
      <c r="A78" s="122" t="s">
        <v>237</v>
      </c>
      <c r="B78" s="122">
        <v>115</v>
      </c>
      <c r="C78" s="122">
        <v>18.74</v>
      </c>
      <c r="D78" s="122">
        <v>2300</v>
      </c>
      <c r="E78" s="122">
        <v>2000</v>
      </c>
      <c r="F78" s="122">
        <v>1000</v>
      </c>
      <c r="G78" s="122">
        <v>1000</v>
      </c>
      <c r="H78" s="122">
        <v>500</v>
      </c>
    </row>
    <row r="79" customHeight="1" spans="1:8">
      <c r="A79" s="126" t="s">
        <v>239</v>
      </c>
      <c r="B79" s="122">
        <v>71.33</v>
      </c>
      <c r="C79" s="122">
        <v>18.74</v>
      </c>
      <c r="D79" s="122">
        <v>2300</v>
      </c>
      <c r="E79" s="122">
        <v>2000</v>
      </c>
      <c r="F79" s="122">
        <v>1000</v>
      </c>
      <c r="G79" s="122">
        <v>1000</v>
      </c>
      <c r="H79" s="122">
        <v>500</v>
      </c>
    </row>
    <row r="80" customHeight="1" spans="1:2">
      <c r="A80" s="127"/>
      <c r="B80" s="3">
        <v>43.67</v>
      </c>
    </row>
    <row r="81" customHeight="1" spans="1:8">
      <c r="A81" s="122" t="s">
        <v>242</v>
      </c>
      <c r="B81" s="122">
        <v>115</v>
      </c>
      <c r="C81" s="122">
        <v>18.74</v>
      </c>
      <c r="D81" s="122">
        <v>2300</v>
      </c>
      <c r="E81" s="122">
        <v>2000</v>
      </c>
      <c r="F81" s="122">
        <v>1000</v>
      </c>
      <c r="G81" s="122">
        <v>1000</v>
      </c>
      <c r="H81" s="122">
        <v>500</v>
      </c>
    </row>
    <row r="82" customHeight="1" spans="1:8">
      <c r="A82" s="122" t="s">
        <v>244</v>
      </c>
      <c r="B82" s="122">
        <v>115</v>
      </c>
      <c r="C82" s="122">
        <v>18.74</v>
      </c>
      <c r="D82" s="122">
        <v>2300</v>
      </c>
      <c r="E82" s="122">
        <v>2000</v>
      </c>
      <c r="F82" s="122">
        <v>1000</v>
      </c>
      <c r="G82" s="122">
        <v>1000</v>
      </c>
      <c r="H82" s="122">
        <v>500</v>
      </c>
    </row>
    <row r="83" customHeight="1" spans="1:8">
      <c r="A83" s="122" t="s">
        <v>246</v>
      </c>
      <c r="B83" s="122">
        <v>115</v>
      </c>
      <c r="C83" s="122">
        <v>18.74</v>
      </c>
      <c r="D83" s="122">
        <v>2300</v>
      </c>
      <c r="E83" s="122">
        <v>2000</v>
      </c>
      <c r="F83" s="122">
        <v>1000</v>
      </c>
      <c r="G83" s="122">
        <v>1000</v>
      </c>
      <c r="H83" s="122">
        <v>500</v>
      </c>
    </row>
    <row r="84" customHeight="1" spans="1:8">
      <c r="A84" s="122" t="s">
        <v>248</v>
      </c>
      <c r="B84" s="122">
        <v>115</v>
      </c>
      <c r="C84" s="122">
        <v>18.74</v>
      </c>
      <c r="D84" s="122">
        <v>2300</v>
      </c>
      <c r="E84" s="122">
        <v>2000</v>
      </c>
      <c r="F84" s="122">
        <v>1000</v>
      </c>
      <c r="G84" s="122">
        <v>1000</v>
      </c>
      <c r="H84" s="122">
        <v>500</v>
      </c>
    </row>
    <row r="85" customHeight="1" spans="1:8">
      <c r="A85" s="122" t="s">
        <v>252</v>
      </c>
      <c r="B85" s="122">
        <v>115</v>
      </c>
      <c r="C85" s="122">
        <v>18.74</v>
      </c>
      <c r="D85" s="122">
        <v>2300</v>
      </c>
      <c r="E85" s="122">
        <v>2000</v>
      </c>
      <c r="F85" s="122">
        <v>1000</v>
      </c>
      <c r="G85" s="122">
        <v>1000</v>
      </c>
      <c r="H85" s="122">
        <v>500</v>
      </c>
    </row>
    <row r="86" customHeight="1" spans="1:8">
      <c r="A86" s="126" t="s">
        <v>257</v>
      </c>
      <c r="B86" s="122">
        <v>35.62</v>
      </c>
      <c r="C86" s="122">
        <v>18.74</v>
      </c>
      <c r="D86" s="122">
        <v>2300</v>
      </c>
      <c r="E86" s="122">
        <v>2000</v>
      </c>
      <c r="F86" s="122">
        <v>1000</v>
      </c>
      <c r="G86" s="122">
        <v>1000</v>
      </c>
      <c r="H86" s="122">
        <v>500</v>
      </c>
    </row>
    <row r="87" customHeight="1" spans="1:2">
      <c r="A87" s="127"/>
      <c r="B87" s="3">
        <v>79.38</v>
      </c>
    </row>
    <row r="88" customHeight="1" spans="1:8">
      <c r="A88" s="122" t="s">
        <v>259</v>
      </c>
      <c r="B88" s="122">
        <v>115</v>
      </c>
      <c r="C88" s="122">
        <v>18.74</v>
      </c>
      <c r="D88" s="122">
        <v>2300</v>
      </c>
      <c r="E88" s="122">
        <v>2000</v>
      </c>
      <c r="F88" s="122">
        <v>1000</v>
      </c>
      <c r="G88" s="122">
        <v>1000</v>
      </c>
      <c r="H88" s="122">
        <v>500</v>
      </c>
    </row>
    <row r="89" customHeight="1" spans="1:8">
      <c r="A89" s="122" t="s">
        <v>261</v>
      </c>
      <c r="B89" s="122">
        <v>115</v>
      </c>
      <c r="C89" s="122">
        <v>18.74</v>
      </c>
      <c r="D89" s="122">
        <v>2300</v>
      </c>
      <c r="E89" s="122">
        <v>2000</v>
      </c>
      <c r="F89" s="122">
        <v>1000</v>
      </c>
      <c r="G89" s="122">
        <v>1000</v>
      </c>
      <c r="H89" s="122">
        <v>500</v>
      </c>
    </row>
    <row r="90" customHeight="1" spans="1:8">
      <c r="A90" s="122" t="s">
        <v>264</v>
      </c>
      <c r="B90" s="122">
        <v>115</v>
      </c>
      <c r="C90" s="122">
        <v>18.74</v>
      </c>
      <c r="D90" s="122">
        <v>2300</v>
      </c>
      <c r="E90" s="122">
        <v>2000</v>
      </c>
      <c r="F90" s="122">
        <v>1000</v>
      </c>
      <c r="G90" s="122">
        <v>1000</v>
      </c>
      <c r="H90" s="122">
        <v>500</v>
      </c>
    </row>
    <row r="91" customHeight="1" spans="1:8">
      <c r="A91" s="122" t="s">
        <v>266</v>
      </c>
      <c r="B91" s="122">
        <v>115</v>
      </c>
      <c r="C91" s="122">
        <v>18.74</v>
      </c>
      <c r="D91" s="122">
        <v>2300</v>
      </c>
      <c r="E91" s="122">
        <v>2000</v>
      </c>
      <c r="F91" s="122">
        <v>1000</v>
      </c>
      <c r="G91" s="122">
        <v>1000</v>
      </c>
      <c r="H91" s="122">
        <v>500</v>
      </c>
    </row>
    <row r="92" customHeight="1" spans="1:8">
      <c r="A92" s="122" t="s">
        <v>268</v>
      </c>
      <c r="B92" s="122">
        <v>115</v>
      </c>
      <c r="C92" s="122">
        <v>18.74</v>
      </c>
      <c r="D92" s="122">
        <v>2300</v>
      </c>
      <c r="E92" s="122">
        <v>2000</v>
      </c>
      <c r="F92" s="122">
        <v>1000</v>
      </c>
      <c r="G92" s="122">
        <v>1000</v>
      </c>
      <c r="H92" s="122">
        <v>500</v>
      </c>
    </row>
    <row r="93" customHeight="1" spans="1:8">
      <c r="A93" s="122" t="s">
        <v>270</v>
      </c>
      <c r="B93" s="122">
        <v>115</v>
      </c>
      <c r="C93" s="122">
        <v>18.74</v>
      </c>
      <c r="D93" s="122">
        <v>2300</v>
      </c>
      <c r="E93" s="122">
        <v>2000</v>
      </c>
      <c r="F93" s="122">
        <v>1000</v>
      </c>
      <c r="G93" s="122">
        <v>1000</v>
      </c>
      <c r="H93" s="122">
        <v>500</v>
      </c>
    </row>
    <row r="94" customHeight="1" spans="1:8">
      <c r="A94" s="122" t="s">
        <v>272</v>
      </c>
      <c r="B94" s="122">
        <v>115</v>
      </c>
      <c r="C94" s="122">
        <v>18.74</v>
      </c>
      <c r="D94" s="122">
        <v>2300</v>
      </c>
      <c r="E94" s="122">
        <v>2000</v>
      </c>
      <c r="F94" s="122">
        <v>1000</v>
      </c>
      <c r="G94" s="122">
        <v>1000</v>
      </c>
      <c r="H94" s="122">
        <v>500</v>
      </c>
    </row>
    <row r="95" customHeight="1" spans="1:8">
      <c r="A95" s="122" t="s">
        <v>275</v>
      </c>
      <c r="B95" s="122">
        <v>115</v>
      </c>
      <c r="C95" s="122">
        <v>18.74</v>
      </c>
      <c r="D95" s="122">
        <v>2300</v>
      </c>
      <c r="E95" s="122">
        <v>2000</v>
      </c>
      <c r="F95" s="122">
        <v>1000</v>
      </c>
      <c r="G95" s="122">
        <v>1000</v>
      </c>
      <c r="H95" s="122">
        <v>500</v>
      </c>
    </row>
    <row r="96" customHeight="1" spans="1:8">
      <c r="A96" s="122" t="s">
        <v>276</v>
      </c>
      <c r="B96" s="122">
        <v>115</v>
      </c>
      <c r="C96" s="122">
        <v>18.74</v>
      </c>
      <c r="D96" s="122">
        <v>2300</v>
      </c>
      <c r="E96" s="122">
        <v>2000</v>
      </c>
      <c r="F96" s="122">
        <v>1000</v>
      </c>
      <c r="G96" s="122">
        <v>1000</v>
      </c>
      <c r="H96" s="122">
        <v>500</v>
      </c>
    </row>
    <row r="97" customHeight="1" spans="1:8">
      <c r="A97" s="122" t="s">
        <v>278</v>
      </c>
      <c r="B97" s="122">
        <v>115</v>
      </c>
      <c r="C97" s="122">
        <v>18.74</v>
      </c>
      <c r="D97" s="122">
        <v>2300</v>
      </c>
      <c r="E97" s="122">
        <v>2000</v>
      </c>
      <c r="F97" s="122">
        <v>1000</v>
      </c>
      <c r="G97" s="122">
        <v>1000</v>
      </c>
      <c r="H97" s="122">
        <v>500</v>
      </c>
    </row>
    <row r="98" customHeight="1" spans="1:8">
      <c r="A98" s="25" t="s">
        <v>281</v>
      </c>
      <c r="B98" s="122">
        <v>115</v>
      </c>
      <c r="C98" s="122">
        <v>18.74</v>
      </c>
      <c r="D98" s="122">
        <v>2300</v>
      </c>
      <c r="E98" s="122">
        <v>2000</v>
      </c>
      <c r="F98" s="122">
        <v>1000</v>
      </c>
      <c r="G98" s="122">
        <v>1000</v>
      </c>
      <c r="H98" s="122">
        <v>500</v>
      </c>
    </row>
    <row r="99" customHeight="1" spans="1:8">
      <c r="A99" s="25" t="s">
        <v>283</v>
      </c>
      <c r="B99" s="122">
        <v>115</v>
      </c>
      <c r="C99" s="122">
        <v>18.74</v>
      </c>
      <c r="D99" s="122">
        <v>2300</v>
      </c>
      <c r="E99" s="122">
        <v>2000</v>
      </c>
      <c r="F99" s="122">
        <v>1000</v>
      </c>
      <c r="G99" s="122">
        <v>1000</v>
      </c>
      <c r="H99" s="122">
        <v>500</v>
      </c>
    </row>
    <row r="100" customHeight="1" spans="1:8">
      <c r="A100" s="25" t="s">
        <v>284</v>
      </c>
      <c r="B100" s="122">
        <v>115</v>
      </c>
      <c r="C100" s="122">
        <v>18.74</v>
      </c>
      <c r="D100" s="122">
        <v>2300</v>
      </c>
      <c r="E100" s="122">
        <v>2000</v>
      </c>
      <c r="F100" s="122">
        <v>1000</v>
      </c>
      <c r="G100" s="122">
        <v>1000</v>
      </c>
      <c r="H100" s="122">
        <v>500</v>
      </c>
    </row>
    <row r="101" customHeight="1" spans="1:8">
      <c r="A101" s="25" t="s">
        <v>287</v>
      </c>
      <c r="B101" s="25"/>
      <c r="C101" s="25"/>
      <c r="D101" s="25"/>
      <c r="E101" s="25"/>
      <c r="F101" s="25"/>
      <c r="G101" s="25"/>
      <c r="H101" s="25"/>
    </row>
    <row r="102" customHeight="1" spans="1:8">
      <c r="A102" s="25" t="s">
        <v>291</v>
      </c>
      <c r="B102" s="25"/>
      <c r="C102" s="25"/>
      <c r="D102" s="25"/>
      <c r="E102" s="25"/>
      <c r="F102" s="25"/>
      <c r="G102" s="25"/>
      <c r="H102" s="25"/>
    </row>
    <row r="103" customHeight="1" spans="1:8">
      <c r="A103" s="25" t="s">
        <v>292</v>
      </c>
      <c r="B103" s="25"/>
      <c r="C103" s="25"/>
      <c r="D103" s="25"/>
      <c r="E103" s="25"/>
      <c r="F103" s="25"/>
      <c r="G103" s="25"/>
      <c r="H103" s="25"/>
    </row>
    <row r="104" customHeight="1" spans="1:8">
      <c r="A104" s="25" t="s">
        <v>293</v>
      </c>
      <c r="B104" s="25"/>
      <c r="C104" s="25"/>
      <c r="D104" s="25"/>
      <c r="E104" s="25"/>
      <c r="F104" s="25"/>
      <c r="G104" s="25"/>
      <c r="H104" s="25"/>
    </row>
    <row r="105" customHeight="1" spans="1:8">
      <c r="A105" s="25" t="s">
        <v>296</v>
      </c>
      <c r="B105" s="25"/>
      <c r="C105" s="25"/>
      <c r="D105" s="25"/>
      <c r="E105" s="25"/>
      <c r="F105" s="25"/>
      <c r="G105" s="25"/>
      <c r="H105" s="25"/>
    </row>
    <row r="106" customHeight="1" spans="1:8">
      <c r="A106" s="29" t="s">
        <v>298</v>
      </c>
      <c r="B106" s="122">
        <v>17.27</v>
      </c>
      <c r="C106" s="122">
        <v>18.74</v>
      </c>
      <c r="D106" s="122">
        <v>2300</v>
      </c>
      <c r="E106" s="122">
        <v>2000</v>
      </c>
      <c r="F106" s="122">
        <v>1000</v>
      </c>
      <c r="G106" s="122">
        <v>1000</v>
      </c>
      <c r="H106" s="122">
        <v>500</v>
      </c>
    </row>
    <row r="107" customHeight="1" spans="1:8">
      <c r="A107" s="135"/>
      <c r="B107" s="122">
        <v>97.73</v>
      </c>
      <c r="C107" s="122"/>
      <c r="D107" s="122"/>
      <c r="E107" s="122"/>
      <c r="F107" s="122"/>
      <c r="G107" s="122"/>
      <c r="H107" s="122"/>
    </row>
    <row r="108" customHeight="1" spans="1:8">
      <c r="A108" s="25" t="s">
        <v>299</v>
      </c>
      <c r="B108" s="122">
        <v>115</v>
      </c>
      <c r="C108" s="122">
        <v>18.74</v>
      </c>
      <c r="D108" s="122">
        <v>2300</v>
      </c>
      <c r="E108" s="122">
        <v>2000</v>
      </c>
      <c r="F108" s="122">
        <v>1000</v>
      </c>
      <c r="G108" s="122">
        <v>1000</v>
      </c>
      <c r="H108" s="122">
        <v>500</v>
      </c>
    </row>
    <row r="109" customHeight="1" spans="1:8">
      <c r="A109" s="25" t="s">
        <v>300</v>
      </c>
      <c r="B109" s="122">
        <v>115</v>
      </c>
      <c r="C109" s="122">
        <v>18.74</v>
      </c>
      <c r="D109" s="122">
        <v>2300</v>
      </c>
      <c r="E109" s="122">
        <v>2000</v>
      </c>
      <c r="F109" s="122">
        <v>1000</v>
      </c>
      <c r="G109" s="122">
        <v>1000</v>
      </c>
      <c r="H109" s="122">
        <v>500</v>
      </c>
    </row>
    <row r="110" customHeight="1" spans="1:8">
      <c r="A110" s="25" t="s">
        <v>302</v>
      </c>
      <c r="B110" s="122">
        <v>115</v>
      </c>
      <c r="C110" s="122">
        <v>18.74</v>
      </c>
      <c r="D110" s="122">
        <v>2300</v>
      </c>
      <c r="E110" s="122">
        <v>2000</v>
      </c>
      <c r="F110" s="122">
        <v>1000</v>
      </c>
      <c r="G110" s="122">
        <v>1000</v>
      </c>
      <c r="H110" s="122">
        <v>500</v>
      </c>
    </row>
    <row r="111" customHeight="1" spans="1:8">
      <c r="A111" s="25" t="s">
        <v>304</v>
      </c>
      <c r="B111" s="122">
        <v>115</v>
      </c>
      <c r="C111" s="122">
        <v>8.04</v>
      </c>
      <c r="D111" s="122">
        <v>2300</v>
      </c>
      <c r="E111" s="122">
        <v>2000</v>
      </c>
      <c r="F111" s="122">
        <v>1000</v>
      </c>
      <c r="G111" s="122">
        <v>1000</v>
      </c>
      <c r="H111" s="122">
        <v>500</v>
      </c>
    </row>
    <row r="112" customHeight="1" spans="1:8">
      <c r="A112" s="25"/>
      <c r="B112" s="25"/>
      <c r="C112" s="25">
        <v>10.7</v>
      </c>
      <c r="D112" s="25"/>
      <c r="E112" s="25"/>
      <c r="F112" s="25"/>
      <c r="G112" s="25"/>
      <c r="H112" s="25"/>
    </row>
    <row r="113" s="1" customFormat="1" customHeight="1" spans="1:8">
      <c r="A113" s="30"/>
      <c r="B113" s="30"/>
      <c r="C113" s="30"/>
      <c r="D113" s="30"/>
      <c r="E113" s="30"/>
      <c r="F113" s="30"/>
      <c r="G113" s="30"/>
      <c r="H113" s="30"/>
    </row>
    <row r="114" customHeight="1" spans="1:8">
      <c r="A114" s="29" t="s">
        <v>305</v>
      </c>
      <c r="B114" s="122">
        <v>88.8</v>
      </c>
      <c r="C114" s="122">
        <v>18.74</v>
      </c>
      <c r="D114" s="122">
        <v>2300</v>
      </c>
      <c r="E114" s="122">
        <v>2000</v>
      </c>
      <c r="F114" s="122">
        <v>1000</v>
      </c>
      <c r="G114" s="122">
        <v>1000</v>
      </c>
      <c r="H114" s="122">
        <v>500</v>
      </c>
    </row>
    <row r="115" customHeight="1" spans="1:8">
      <c r="A115" s="135"/>
      <c r="B115" s="122">
        <v>26.2</v>
      </c>
      <c r="C115" s="122"/>
      <c r="D115" s="122"/>
      <c r="E115" s="122"/>
      <c r="F115" s="122"/>
      <c r="G115" s="122"/>
      <c r="H115" s="122"/>
    </row>
    <row r="116" customHeight="1" spans="1:8">
      <c r="A116" s="25" t="s">
        <v>307</v>
      </c>
      <c r="B116" s="122">
        <v>115</v>
      </c>
      <c r="C116" s="122">
        <v>18.74</v>
      </c>
      <c r="D116" s="122">
        <v>2300</v>
      </c>
      <c r="E116" s="122">
        <v>2000</v>
      </c>
      <c r="F116" s="122">
        <v>1000</v>
      </c>
      <c r="G116" s="122">
        <v>1000</v>
      </c>
      <c r="H116" s="122">
        <v>500</v>
      </c>
    </row>
    <row r="117" customHeight="1" spans="1:8">
      <c r="A117" s="25" t="s">
        <v>311</v>
      </c>
      <c r="B117" s="122">
        <v>115</v>
      </c>
      <c r="C117" s="122">
        <v>18.74</v>
      </c>
      <c r="D117" s="122">
        <v>2300</v>
      </c>
      <c r="E117" s="122">
        <v>2000</v>
      </c>
      <c r="F117" s="122">
        <v>1000</v>
      </c>
      <c r="G117" s="122">
        <v>1000</v>
      </c>
      <c r="H117" s="122">
        <v>500</v>
      </c>
    </row>
    <row r="118" customHeight="1" spans="1:8">
      <c r="A118" s="25" t="s">
        <v>312</v>
      </c>
      <c r="B118" s="122">
        <v>115</v>
      </c>
      <c r="C118" s="122">
        <v>18.74</v>
      </c>
      <c r="D118" s="122">
        <v>2300</v>
      </c>
      <c r="E118" s="122">
        <v>2000</v>
      </c>
      <c r="F118" s="122">
        <v>1000</v>
      </c>
      <c r="G118" s="122">
        <v>1000</v>
      </c>
      <c r="H118" s="122">
        <v>500</v>
      </c>
    </row>
    <row r="119" customHeight="1" spans="1:8">
      <c r="A119" s="25" t="s">
        <v>314</v>
      </c>
      <c r="B119" s="122">
        <v>115</v>
      </c>
      <c r="C119" s="122">
        <v>18.74</v>
      </c>
      <c r="D119" s="122">
        <v>2300</v>
      </c>
      <c r="E119" s="122">
        <v>2000</v>
      </c>
      <c r="F119" s="122">
        <v>1000</v>
      </c>
      <c r="G119" s="122">
        <v>1000</v>
      </c>
      <c r="H119" s="122">
        <v>500</v>
      </c>
    </row>
    <row r="120" customHeight="1" spans="1:8">
      <c r="A120" s="175" t="s">
        <v>315</v>
      </c>
      <c r="B120" s="122">
        <v>115</v>
      </c>
      <c r="C120" s="122">
        <v>18.74</v>
      </c>
      <c r="D120" s="122">
        <v>2300</v>
      </c>
      <c r="E120" s="122">
        <v>600</v>
      </c>
      <c r="F120" s="122">
        <v>1000</v>
      </c>
      <c r="G120" s="122">
        <v>1000</v>
      </c>
      <c r="H120" s="122">
        <v>500</v>
      </c>
    </row>
    <row r="121" customHeight="1" spans="1:8">
      <c r="A121" s="176"/>
      <c r="B121" s="25"/>
      <c r="C121" s="25"/>
      <c r="D121" s="25"/>
      <c r="E121" s="25">
        <v>1940</v>
      </c>
      <c r="F121" s="25"/>
      <c r="G121" s="25"/>
      <c r="H121" s="25"/>
    </row>
    <row r="122" customHeight="1" spans="1:8">
      <c r="A122" s="177" t="s">
        <v>316</v>
      </c>
      <c r="B122" s="122">
        <v>115</v>
      </c>
      <c r="C122" s="122">
        <v>18.74</v>
      </c>
      <c r="D122" s="122">
        <v>2300</v>
      </c>
      <c r="E122" s="122">
        <v>2000</v>
      </c>
      <c r="F122" s="122">
        <v>1000</v>
      </c>
      <c r="G122" s="122">
        <v>1000</v>
      </c>
      <c r="H122" s="122">
        <v>500</v>
      </c>
    </row>
    <row r="123" customHeight="1" spans="1:8">
      <c r="A123" s="177" t="s">
        <v>318</v>
      </c>
      <c r="B123" s="122">
        <v>100.72</v>
      </c>
      <c r="C123" s="122">
        <v>18.74</v>
      </c>
      <c r="D123" s="122">
        <v>2300</v>
      </c>
      <c r="E123" s="122">
        <v>2000</v>
      </c>
      <c r="F123" s="122">
        <v>1000</v>
      </c>
      <c r="G123" s="122">
        <v>1000</v>
      </c>
      <c r="H123" s="122">
        <v>500</v>
      </c>
    </row>
    <row r="124" customHeight="1" spans="1:8">
      <c r="A124" s="177"/>
      <c r="B124" s="25">
        <v>14.28</v>
      </c>
      <c r="C124" s="25"/>
      <c r="D124" s="25"/>
      <c r="E124" s="25"/>
      <c r="F124" s="25"/>
      <c r="G124" s="25"/>
      <c r="H124" s="25"/>
    </row>
    <row r="125" customHeight="1" spans="1:8">
      <c r="A125" s="177" t="s">
        <v>319</v>
      </c>
      <c r="B125" s="122">
        <v>115</v>
      </c>
      <c r="C125" s="122">
        <v>18.74</v>
      </c>
      <c r="D125" s="122">
        <v>2300</v>
      </c>
      <c r="E125" s="122">
        <v>2000</v>
      </c>
      <c r="F125" s="122">
        <v>1000</v>
      </c>
      <c r="G125" s="122">
        <v>1000</v>
      </c>
      <c r="H125" s="122">
        <v>500</v>
      </c>
    </row>
    <row r="126" customHeight="1" spans="1:8">
      <c r="A126" s="177" t="s">
        <v>321</v>
      </c>
      <c r="B126" s="122">
        <v>115</v>
      </c>
      <c r="C126" s="122">
        <v>18.74</v>
      </c>
      <c r="D126" s="122">
        <v>2300</v>
      </c>
      <c r="E126" s="122">
        <v>2000</v>
      </c>
      <c r="F126" s="122">
        <v>1000</v>
      </c>
      <c r="G126" s="122">
        <v>1000</v>
      </c>
      <c r="H126" s="122">
        <v>500</v>
      </c>
    </row>
    <row r="127" customHeight="1" spans="1:8">
      <c r="A127" s="177" t="s">
        <v>322</v>
      </c>
      <c r="B127" s="122">
        <v>115</v>
      </c>
      <c r="C127" s="122">
        <v>18.74</v>
      </c>
      <c r="D127" s="122">
        <v>2300</v>
      </c>
      <c r="E127" s="122">
        <v>2000</v>
      </c>
      <c r="F127" s="122">
        <v>1000</v>
      </c>
      <c r="G127" s="122">
        <v>1000</v>
      </c>
      <c r="H127" s="122">
        <v>500</v>
      </c>
    </row>
    <row r="128" s="1" customFormat="1" customHeight="1" spans="2:8">
      <c r="B128" s="111"/>
      <c r="C128" s="111"/>
      <c r="D128" s="111"/>
      <c r="E128" s="111"/>
      <c r="F128" s="111"/>
      <c r="G128" s="111"/>
      <c r="H128" s="111"/>
    </row>
    <row r="129" customHeight="1" spans="1:8">
      <c r="A129" s="178" t="s">
        <v>323</v>
      </c>
      <c r="B129" s="106"/>
      <c r="C129" s="106"/>
      <c r="D129" s="106"/>
      <c r="E129" s="106"/>
      <c r="F129" s="106"/>
      <c r="G129" s="106"/>
      <c r="H129" s="106"/>
    </row>
    <row r="130" customHeight="1" spans="1:8">
      <c r="A130" s="178" t="s">
        <v>324</v>
      </c>
      <c r="B130" s="106"/>
      <c r="C130" s="106"/>
      <c r="D130" s="106"/>
      <c r="E130" s="106"/>
      <c r="F130" s="106"/>
      <c r="G130" s="106"/>
      <c r="H130" s="106"/>
    </row>
    <row r="131" customHeight="1" spans="1:8">
      <c r="A131" s="177" t="s">
        <v>311</v>
      </c>
      <c r="B131" s="122">
        <v>115</v>
      </c>
      <c r="C131" s="122">
        <v>18.74</v>
      </c>
      <c r="D131" s="122">
        <v>2300</v>
      </c>
      <c r="E131" s="122">
        <v>2000</v>
      </c>
      <c r="F131" s="122">
        <v>1000</v>
      </c>
      <c r="G131" s="122">
        <v>1000</v>
      </c>
      <c r="H131" s="122">
        <v>500</v>
      </c>
    </row>
    <row r="132" customHeight="1" spans="1:8">
      <c r="A132" s="177" t="s">
        <v>326</v>
      </c>
      <c r="B132" s="122">
        <v>115</v>
      </c>
      <c r="C132" s="122">
        <v>18.74</v>
      </c>
      <c r="D132" s="122">
        <v>2300</v>
      </c>
      <c r="E132" s="122">
        <v>2000</v>
      </c>
      <c r="F132" s="122">
        <v>1000</v>
      </c>
      <c r="G132" s="122">
        <v>1000</v>
      </c>
      <c r="H132" s="122">
        <v>500</v>
      </c>
    </row>
    <row r="133" customHeight="1" spans="1:8">
      <c r="A133" s="177" t="s">
        <v>314</v>
      </c>
      <c r="B133" s="122">
        <v>115</v>
      </c>
      <c r="C133" s="122">
        <v>18.74</v>
      </c>
      <c r="D133" s="122">
        <v>2300</v>
      </c>
      <c r="E133" s="122">
        <v>2000</v>
      </c>
      <c r="F133" s="122">
        <v>1000</v>
      </c>
      <c r="G133" s="122">
        <v>1000</v>
      </c>
      <c r="H133" s="122">
        <v>500</v>
      </c>
    </row>
    <row r="134" customHeight="1" spans="1:8">
      <c r="A134" s="179" t="s">
        <v>328</v>
      </c>
      <c r="B134" s="122">
        <v>74.6</v>
      </c>
      <c r="C134" s="122">
        <v>18.74</v>
      </c>
      <c r="D134" s="122">
        <v>2300</v>
      </c>
      <c r="E134" s="122">
        <v>2000</v>
      </c>
      <c r="F134" s="122">
        <v>1000</v>
      </c>
      <c r="G134" s="122">
        <v>1000</v>
      </c>
      <c r="H134" s="122">
        <v>500</v>
      </c>
    </row>
    <row r="135" customHeight="1" spans="1:8">
      <c r="A135" s="180"/>
      <c r="B135" s="122">
        <v>40.4</v>
      </c>
      <c r="C135" s="122"/>
      <c r="D135" s="122"/>
      <c r="E135" s="122"/>
      <c r="F135" s="122"/>
      <c r="G135" s="122"/>
      <c r="H135" s="122"/>
    </row>
    <row r="136" customHeight="1" spans="1:8">
      <c r="A136" s="178" t="s">
        <v>329</v>
      </c>
      <c r="B136" s="122">
        <v>115</v>
      </c>
      <c r="C136" s="122">
        <v>18.74</v>
      </c>
      <c r="D136" s="122">
        <v>2300</v>
      </c>
      <c r="E136" s="122">
        <v>2000</v>
      </c>
      <c r="F136" s="122">
        <v>1000</v>
      </c>
      <c r="G136" s="122">
        <v>1000</v>
      </c>
      <c r="H136" s="122">
        <v>500</v>
      </c>
    </row>
    <row r="137" customHeight="1" spans="1:8">
      <c r="A137" s="112" t="s">
        <v>330</v>
      </c>
      <c r="B137" s="122">
        <v>115</v>
      </c>
      <c r="C137" s="122">
        <v>18.74</v>
      </c>
      <c r="D137" s="122">
        <v>2300</v>
      </c>
      <c r="E137" s="122">
        <v>2000</v>
      </c>
      <c r="F137" s="122">
        <v>1000</v>
      </c>
      <c r="G137" s="122">
        <v>1000</v>
      </c>
      <c r="H137" s="122">
        <v>500</v>
      </c>
    </row>
    <row r="138" customHeight="1" spans="1:8">
      <c r="A138" s="136" t="s">
        <v>332</v>
      </c>
      <c r="B138" s="122">
        <v>115</v>
      </c>
      <c r="C138" s="122">
        <v>12.41</v>
      </c>
      <c r="D138" s="122">
        <v>2300</v>
      </c>
      <c r="E138" s="122">
        <v>2000</v>
      </c>
      <c r="F138" s="122">
        <v>1000</v>
      </c>
      <c r="G138" s="122">
        <v>1000</v>
      </c>
      <c r="H138" s="122">
        <v>500</v>
      </c>
    </row>
    <row r="139" customHeight="1" spans="1:8">
      <c r="A139" s="137"/>
      <c r="B139" s="122"/>
      <c r="C139" s="122">
        <v>6.33</v>
      </c>
      <c r="D139" s="122"/>
      <c r="E139" s="122"/>
      <c r="F139" s="122"/>
      <c r="G139" s="122"/>
      <c r="H139" s="122"/>
    </row>
    <row r="140" customHeight="1" spans="1:8">
      <c r="A140" s="112" t="s">
        <v>333</v>
      </c>
      <c r="B140" s="122">
        <v>115</v>
      </c>
      <c r="C140" s="122">
        <v>18.74</v>
      </c>
      <c r="D140" s="122">
        <v>2300</v>
      </c>
      <c r="E140" s="122">
        <v>2000</v>
      </c>
      <c r="F140" s="122">
        <v>1000</v>
      </c>
      <c r="G140" s="122">
        <v>1000</v>
      </c>
      <c r="H140" s="122">
        <v>500</v>
      </c>
    </row>
    <row r="141" customHeight="1" spans="1:8">
      <c r="A141" s="112" t="s">
        <v>334</v>
      </c>
      <c r="B141" s="122">
        <v>115</v>
      </c>
      <c r="C141" s="122">
        <v>18.74</v>
      </c>
      <c r="D141" s="122">
        <v>2300</v>
      </c>
      <c r="E141" s="122">
        <v>2000</v>
      </c>
      <c r="F141" s="122">
        <v>1000</v>
      </c>
      <c r="G141" s="122">
        <v>1000</v>
      </c>
      <c r="H141" s="122">
        <v>500</v>
      </c>
    </row>
    <row r="142" customHeight="1" spans="1:8">
      <c r="A142" s="112" t="s">
        <v>336</v>
      </c>
      <c r="B142" s="122">
        <v>115</v>
      </c>
      <c r="C142" s="122">
        <v>18.74</v>
      </c>
      <c r="D142" s="122">
        <v>2300</v>
      </c>
      <c r="E142" s="122">
        <v>2000</v>
      </c>
      <c r="F142" s="122">
        <v>1000</v>
      </c>
      <c r="G142" s="122">
        <v>1000</v>
      </c>
      <c r="H142" s="122">
        <v>500</v>
      </c>
    </row>
    <row r="143" customHeight="1" spans="1:8">
      <c r="A143" s="112" t="s">
        <v>337</v>
      </c>
      <c r="B143" s="122">
        <v>115</v>
      </c>
      <c r="C143" s="122">
        <v>18.74</v>
      </c>
      <c r="D143" s="122">
        <v>2300</v>
      </c>
      <c r="E143" s="122">
        <v>2000</v>
      </c>
      <c r="F143" s="122">
        <v>1000</v>
      </c>
      <c r="G143" s="122">
        <v>1000</v>
      </c>
      <c r="H143" s="122">
        <v>500</v>
      </c>
    </row>
    <row r="144" customHeight="1" spans="1:8">
      <c r="A144" s="112" t="s">
        <v>338</v>
      </c>
      <c r="B144" s="122">
        <v>115</v>
      </c>
      <c r="C144" s="122">
        <v>18.74</v>
      </c>
      <c r="D144" s="122">
        <v>2300</v>
      </c>
      <c r="E144" s="122">
        <v>2000</v>
      </c>
      <c r="F144" s="122">
        <v>1000</v>
      </c>
      <c r="G144" s="122">
        <v>1000</v>
      </c>
      <c r="H144" s="122">
        <v>500</v>
      </c>
    </row>
    <row r="145" customHeight="1" spans="1:8">
      <c r="A145" s="112" t="s">
        <v>339</v>
      </c>
      <c r="B145" s="122">
        <v>115</v>
      </c>
      <c r="C145" s="122">
        <v>18.74</v>
      </c>
      <c r="D145" s="122">
        <v>2300</v>
      </c>
      <c r="E145" s="122">
        <v>2000</v>
      </c>
      <c r="F145" s="122">
        <v>1000</v>
      </c>
      <c r="G145" s="122">
        <v>1000</v>
      </c>
      <c r="H145" s="122">
        <v>500</v>
      </c>
    </row>
    <row r="146" customHeight="1" spans="1:8">
      <c r="A146" s="112" t="s">
        <v>341</v>
      </c>
      <c r="B146" s="122">
        <v>115</v>
      </c>
      <c r="C146" s="122">
        <v>18.74</v>
      </c>
      <c r="D146" s="122">
        <v>2300</v>
      </c>
      <c r="E146" s="122">
        <v>2000</v>
      </c>
      <c r="F146" s="122">
        <v>1000</v>
      </c>
      <c r="G146" s="122">
        <v>1000</v>
      </c>
      <c r="H146" s="122">
        <v>500</v>
      </c>
    </row>
    <row r="147" customHeight="1" spans="1:8">
      <c r="A147" s="112" t="s">
        <v>343</v>
      </c>
      <c r="B147" s="122">
        <v>115</v>
      </c>
      <c r="C147" s="122">
        <v>18.74</v>
      </c>
      <c r="D147" s="122">
        <v>2300</v>
      </c>
      <c r="E147" s="122">
        <v>2000</v>
      </c>
      <c r="F147" s="122">
        <v>1000</v>
      </c>
      <c r="G147" s="122">
        <v>1000</v>
      </c>
      <c r="H147" s="122">
        <v>500</v>
      </c>
    </row>
    <row r="148" customHeight="1" spans="1:8">
      <c r="A148" s="112" t="s">
        <v>345</v>
      </c>
      <c r="B148" s="122">
        <v>115</v>
      </c>
      <c r="C148" s="122">
        <v>18.74</v>
      </c>
      <c r="D148" s="122">
        <v>2300</v>
      </c>
      <c r="E148" s="122">
        <v>2000</v>
      </c>
      <c r="F148" s="122">
        <v>1000</v>
      </c>
      <c r="G148" s="122">
        <v>1000</v>
      </c>
      <c r="H148" s="122">
        <v>500</v>
      </c>
    </row>
    <row r="149" s="1" customFormat="1" customHeight="1"/>
    <row r="150" customHeight="1" spans="1:8">
      <c r="A150" s="25" t="s">
        <v>347</v>
      </c>
      <c r="B150" s="122">
        <v>115</v>
      </c>
      <c r="C150" s="122">
        <v>18.74</v>
      </c>
      <c r="D150" s="122">
        <v>2300</v>
      </c>
      <c r="E150" s="122">
        <v>2000</v>
      </c>
      <c r="F150" s="122">
        <v>1000</v>
      </c>
      <c r="G150" s="122">
        <v>1000</v>
      </c>
      <c r="H150" s="122">
        <v>500</v>
      </c>
    </row>
    <row r="151" customHeight="1" spans="1:8">
      <c r="A151" s="25" t="s">
        <v>351</v>
      </c>
      <c r="B151" s="122">
        <v>115</v>
      </c>
      <c r="C151" s="122">
        <v>18.74</v>
      </c>
      <c r="D151" s="122">
        <v>2300</v>
      </c>
      <c r="E151" s="122">
        <v>2000</v>
      </c>
      <c r="F151" s="122">
        <v>1000</v>
      </c>
      <c r="G151" s="122">
        <v>1000</v>
      </c>
      <c r="H151" s="122">
        <v>500</v>
      </c>
    </row>
    <row r="152" customHeight="1" spans="1:8">
      <c r="A152" s="25" t="s">
        <v>352</v>
      </c>
      <c r="B152" s="122">
        <v>115</v>
      </c>
      <c r="C152" s="122">
        <v>18.74</v>
      </c>
      <c r="D152" s="122">
        <v>2300</v>
      </c>
      <c r="E152" s="122">
        <v>2000</v>
      </c>
      <c r="F152" s="122">
        <v>1000</v>
      </c>
      <c r="G152" s="122">
        <v>1000</v>
      </c>
      <c r="H152" s="122">
        <v>500</v>
      </c>
    </row>
    <row r="153" customHeight="1" spans="1:8">
      <c r="A153" s="25" t="s">
        <v>354</v>
      </c>
      <c r="B153" s="122">
        <v>115</v>
      </c>
      <c r="C153" s="122">
        <v>18.74</v>
      </c>
      <c r="D153" s="122">
        <v>2300</v>
      </c>
      <c r="E153" s="122">
        <v>2000</v>
      </c>
      <c r="F153" s="122">
        <v>1000</v>
      </c>
      <c r="G153" s="122">
        <v>1000</v>
      </c>
      <c r="H153" s="122">
        <v>500</v>
      </c>
    </row>
    <row r="154" customHeight="1" spans="1:8">
      <c r="A154" s="25" t="s">
        <v>357</v>
      </c>
      <c r="B154" s="122">
        <v>115</v>
      </c>
      <c r="C154" s="122">
        <v>18.74</v>
      </c>
      <c r="D154" s="122">
        <v>2300</v>
      </c>
      <c r="E154" s="122">
        <v>2000</v>
      </c>
      <c r="F154" s="122">
        <v>1000</v>
      </c>
      <c r="G154" s="122">
        <v>1000</v>
      </c>
      <c r="H154" s="122">
        <v>500</v>
      </c>
    </row>
    <row r="155" customHeight="1" spans="1:8">
      <c r="A155" s="25" t="s">
        <v>361</v>
      </c>
      <c r="B155" s="122">
        <v>115</v>
      </c>
      <c r="C155" s="122">
        <v>18.74</v>
      </c>
      <c r="D155" s="122">
        <v>2300</v>
      </c>
      <c r="E155" s="122">
        <v>2000</v>
      </c>
      <c r="F155" s="122">
        <v>1000</v>
      </c>
      <c r="G155" s="122">
        <v>1000</v>
      </c>
      <c r="H155" s="122">
        <v>500</v>
      </c>
    </row>
    <row r="156" customHeight="1" spans="1:8">
      <c r="A156" s="25" t="s">
        <v>367</v>
      </c>
      <c r="B156" s="122">
        <v>115</v>
      </c>
      <c r="C156" s="122">
        <v>18.74</v>
      </c>
      <c r="D156" s="122">
        <v>2300</v>
      </c>
      <c r="E156" s="122">
        <v>2000</v>
      </c>
      <c r="F156" s="122">
        <v>1000</v>
      </c>
      <c r="G156" s="122">
        <v>1000</v>
      </c>
      <c r="H156" s="122">
        <v>500</v>
      </c>
    </row>
    <row r="157" customHeight="1" spans="1:8">
      <c r="A157" s="25" t="s">
        <v>369</v>
      </c>
      <c r="B157" s="122">
        <v>115</v>
      </c>
      <c r="C157" s="122">
        <v>18.74</v>
      </c>
      <c r="D157" s="122">
        <v>2300</v>
      </c>
      <c r="E157" s="122">
        <v>2000</v>
      </c>
      <c r="F157" s="122">
        <v>1000</v>
      </c>
      <c r="G157" s="122">
        <v>1000</v>
      </c>
      <c r="H157" s="122">
        <v>500</v>
      </c>
    </row>
    <row r="158" customHeight="1" spans="1:8">
      <c r="A158" s="25" t="s">
        <v>518</v>
      </c>
      <c r="B158" s="122">
        <v>115</v>
      </c>
      <c r="C158" s="122">
        <v>18.74</v>
      </c>
      <c r="D158" s="122">
        <v>2300</v>
      </c>
      <c r="E158" s="122">
        <v>2000</v>
      </c>
      <c r="F158" s="122">
        <v>1000</v>
      </c>
      <c r="G158" s="122">
        <v>1000</v>
      </c>
      <c r="H158" s="122">
        <v>500</v>
      </c>
    </row>
    <row r="159" customHeight="1" spans="1:8">
      <c r="A159" s="25" t="s">
        <v>375</v>
      </c>
      <c r="B159" s="122">
        <v>115</v>
      </c>
      <c r="C159" s="122">
        <v>18.74</v>
      </c>
      <c r="D159" s="122">
        <v>2300</v>
      </c>
      <c r="E159" s="122">
        <v>2000</v>
      </c>
      <c r="F159" s="122">
        <v>1000</v>
      </c>
      <c r="G159" s="122">
        <v>1000</v>
      </c>
      <c r="H159" s="122">
        <v>500</v>
      </c>
    </row>
  </sheetData>
  <mergeCells count="19">
    <mergeCell ref="A1:H1"/>
    <mergeCell ref="B5:H5"/>
    <mergeCell ref="B34:H34"/>
    <mergeCell ref="A5:A7"/>
    <mergeCell ref="A15:A16"/>
    <mergeCell ref="A29:A30"/>
    <mergeCell ref="A34:A36"/>
    <mergeCell ref="A43:A44"/>
    <mergeCell ref="A55:A56"/>
    <mergeCell ref="A70:A71"/>
    <mergeCell ref="A79:A80"/>
    <mergeCell ref="A86:A87"/>
    <mergeCell ref="A106:A107"/>
    <mergeCell ref="A111:A112"/>
    <mergeCell ref="A114:A115"/>
    <mergeCell ref="A120:A121"/>
    <mergeCell ref="A123:A124"/>
    <mergeCell ref="A134:A135"/>
    <mergeCell ref="A138:A139"/>
  </mergeCells>
  <pageMargins left="0.75" right="0.75" top="1" bottom="1" header="0.511805555555556" footer="0.511805555555556"/>
  <pageSetup paperSize="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7"/>
  <sheetViews>
    <sheetView zoomScale="175" zoomScaleNormal="175" topLeftCell="A38" workbookViewId="0">
      <pane xSplit="1" ySplit="3" topLeftCell="H125" activePane="bottomRight" state="frozen"/>
      <selection/>
      <selection pane="topRight"/>
      <selection pane="bottomLeft"/>
      <selection pane="bottomRight" activeCell="N147" sqref="N147"/>
    </sheetView>
  </sheetViews>
  <sheetFormatPr defaultColWidth="9.10185185185185" defaultRowHeight="15" customHeight="1"/>
  <cols>
    <col min="1" max="1" width="10.8888888888889" style="3" customWidth="1"/>
    <col min="2" max="3" width="9.10185185185185" style="3"/>
    <col min="4" max="4" width="6.43518518518519" style="3" customWidth="1"/>
    <col min="5" max="5" width="11.3333333333333" style="3" customWidth="1"/>
    <col min="6" max="7" width="11.3333333333333" style="4" customWidth="1"/>
    <col min="8" max="9" width="9.10185185185185" style="3"/>
    <col min="10" max="11" width="9.10185185185185" style="4"/>
    <col min="12" max="12" width="9.10185185185185" style="3"/>
    <col min="13" max="13" width="21.3333333333333" style="3" customWidth="1"/>
    <col min="14" max="14" width="23.1018518518519" style="3" customWidth="1"/>
    <col min="15" max="16383" width="9.10185185185185" style="3"/>
  </cols>
  <sheetData>
    <row r="1" customHeight="1" spans="1:14">
      <c r="A1" s="5" t="s">
        <v>376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Height="1" spans="3:11">
      <c r="C2" s="141"/>
      <c r="D2" s="141"/>
      <c r="E2" s="141"/>
      <c r="F2" s="142"/>
      <c r="G2" s="142"/>
      <c r="H2" s="141"/>
      <c r="I2" s="141"/>
      <c r="J2" s="142"/>
      <c r="K2" s="142"/>
    </row>
    <row r="3" customHeight="1" spans="1:14">
      <c r="A3" s="6" t="s">
        <v>120</v>
      </c>
      <c r="B3" s="7" t="s">
        <v>121</v>
      </c>
      <c r="C3" s="64"/>
      <c r="D3" s="84"/>
      <c r="E3" s="84"/>
      <c r="F3" s="84"/>
      <c r="G3" s="84"/>
      <c r="H3" s="84"/>
      <c r="I3" s="84"/>
      <c r="J3" s="84"/>
      <c r="K3" s="84"/>
      <c r="L3" s="154"/>
      <c r="M3" s="154"/>
      <c r="N3" s="155"/>
    </row>
    <row r="4" customHeight="1" spans="1:14">
      <c r="A4" s="6" t="s">
        <v>122</v>
      </c>
      <c r="B4" s="7" t="s">
        <v>377</v>
      </c>
      <c r="C4" s="64"/>
      <c r="D4" s="84"/>
      <c r="E4" s="84"/>
      <c r="F4" s="84"/>
      <c r="G4" s="84"/>
      <c r="H4" s="84"/>
      <c r="I4" s="84"/>
      <c r="J4" s="84"/>
      <c r="K4" s="84"/>
      <c r="L4" s="154"/>
      <c r="M4" s="154"/>
      <c r="N4" s="155"/>
    </row>
    <row r="5" customHeight="1" spans="1:14">
      <c r="A5" s="143" t="s">
        <v>528</v>
      </c>
      <c r="B5" s="144" t="s">
        <v>529</v>
      </c>
      <c r="C5" s="145" t="s">
        <v>530</v>
      </c>
      <c r="D5" s="146"/>
      <c r="E5" s="146"/>
      <c r="F5" s="147" t="s">
        <v>531</v>
      </c>
      <c r="G5" s="148"/>
      <c r="H5" s="147" t="s">
        <v>532</v>
      </c>
      <c r="I5" s="156"/>
      <c r="J5" s="156"/>
      <c r="K5" s="156"/>
      <c r="L5" s="148"/>
      <c r="M5" s="157" t="s">
        <v>533</v>
      </c>
      <c r="N5" s="157"/>
    </row>
    <row r="6" customHeight="1" spans="1:14">
      <c r="A6" s="149"/>
      <c r="B6" s="150"/>
      <c r="C6" s="151" t="s">
        <v>534</v>
      </c>
      <c r="D6" s="152" t="s">
        <v>535</v>
      </c>
      <c r="E6" s="151" t="s">
        <v>536</v>
      </c>
      <c r="F6" s="151" t="s">
        <v>537</v>
      </c>
      <c r="G6" s="152" t="s">
        <v>535</v>
      </c>
      <c r="H6" s="153" t="s">
        <v>535</v>
      </c>
      <c r="I6" s="158" t="s">
        <v>538</v>
      </c>
      <c r="J6" s="159" t="s">
        <v>539</v>
      </c>
      <c r="K6" s="159" t="s">
        <v>540</v>
      </c>
      <c r="L6" s="151" t="s">
        <v>541</v>
      </c>
      <c r="M6" s="157" t="s">
        <v>538</v>
      </c>
      <c r="N6" s="157" t="s">
        <v>535</v>
      </c>
    </row>
    <row r="7" customFormat="1" customHeight="1" spans="1:14">
      <c r="A7" s="122" t="s">
        <v>397</v>
      </c>
      <c r="B7" s="122" t="s">
        <v>542</v>
      </c>
      <c r="C7" s="122" t="s">
        <v>543</v>
      </c>
      <c r="D7" s="122" t="s">
        <v>544</v>
      </c>
      <c r="E7" s="122" t="s">
        <v>545</v>
      </c>
      <c r="F7" s="122" t="s">
        <v>546</v>
      </c>
      <c r="G7" s="122" t="s">
        <v>547</v>
      </c>
      <c r="H7" s="122" t="s">
        <v>548</v>
      </c>
      <c r="I7" s="122" t="s">
        <v>544</v>
      </c>
      <c r="J7" s="122">
        <v>100</v>
      </c>
      <c r="K7" s="122">
        <v>100</v>
      </c>
      <c r="L7" s="122" t="s">
        <v>549</v>
      </c>
      <c r="M7" s="122" t="s">
        <v>550</v>
      </c>
      <c r="N7" s="122" t="s">
        <v>551</v>
      </c>
    </row>
    <row r="8" customHeight="1" spans="1:14">
      <c r="A8" s="122" t="s">
        <v>406</v>
      </c>
      <c r="B8" s="122" t="s">
        <v>542</v>
      </c>
      <c r="C8" s="122" t="s">
        <v>552</v>
      </c>
      <c r="D8" s="122" t="s">
        <v>553</v>
      </c>
      <c r="E8" s="122" t="s">
        <v>554</v>
      </c>
      <c r="F8" s="122" t="s">
        <v>531</v>
      </c>
      <c r="G8" s="122" t="s">
        <v>547</v>
      </c>
      <c r="H8" s="122" t="s">
        <v>548</v>
      </c>
      <c r="I8" s="122" t="s">
        <v>553</v>
      </c>
      <c r="J8" s="122">
        <v>100</v>
      </c>
      <c r="K8" s="122">
        <v>105</v>
      </c>
      <c r="L8" s="122" t="s">
        <v>555</v>
      </c>
      <c r="M8" s="122" t="s">
        <v>550</v>
      </c>
      <c r="N8" s="122" t="s">
        <v>551</v>
      </c>
    </row>
    <row r="9" customHeight="1" spans="1:14">
      <c r="A9" s="122" t="s">
        <v>407</v>
      </c>
      <c r="B9" s="122" t="s">
        <v>542</v>
      </c>
      <c r="C9" s="122" t="s">
        <v>556</v>
      </c>
      <c r="D9" s="122" t="s">
        <v>557</v>
      </c>
      <c r="E9" s="122" t="s">
        <v>558</v>
      </c>
      <c r="F9" s="122" t="s">
        <v>559</v>
      </c>
      <c r="G9" s="122" t="s">
        <v>547</v>
      </c>
      <c r="H9" s="122" t="s">
        <v>548</v>
      </c>
      <c r="I9" s="122" t="s">
        <v>560</v>
      </c>
      <c r="J9" s="122">
        <v>90</v>
      </c>
      <c r="K9" s="122">
        <v>100</v>
      </c>
      <c r="L9" s="122" t="s">
        <v>555</v>
      </c>
      <c r="M9" s="122" t="s">
        <v>550</v>
      </c>
      <c r="N9" s="122" t="s">
        <v>551</v>
      </c>
    </row>
    <row r="10" customHeight="1" spans="1:14">
      <c r="A10" s="122" t="s">
        <v>408</v>
      </c>
      <c r="B10" s="122" t="s">
        <v>542</v>
      </c>
      <c r="C10" s="122" t="s">
        <v>552</v>
      </c>
      <c r="D10" s="122" t="s">
        <v>553</v>
      </c>
      <c r="E10" s="122" t="s">
        <v>554</v>
      </c>
      <c r="F10" s="122" t="s">
        <v>531</v>
      </c>
      <c r="G10" s="122" t="s">
        <v>547</v>
      </c>
      <c r="H10" s="122" t="s">
        <v>548</v>
      </c>
      <c r="I10" s="122" t="s">
        <v>544</v>
      </c>
      <c r="J10" s="122">
        <v>100</v>
      </c>
      <c r="K10" s="122">
        <v>100</v>
      </c>
      <c r="L10" s="122" t="s">
        <v>549</v>
      </c>
      <c r="M10" s="122" t="s">
        <v>550</v>
      </c>
      <c r="N10" s="122" t="s">
        <v>551</v>
      </c>
    </row>
    <row r="11" customHeight="1" spans="1:14">
      <c r="A11" s="122" t="s">
        <v>409</v>
      </c>
      <c r="B11" s="122" t="s">
        <v>542</v>
      </c>
      <c r="C11" s="122" t="s">
        <v>556</v>
      </c>
      <c r="D11" s="122" t="s">
        <v>557</v>
      </c>
      <c r="E11" s="122" t="s">
        <v>558</v>
      </c>
      <c r="F11" s="122" t="s">
        <v>531</v>
      </c>
      <c r="G11" s="122" t="s">
        <v>547</v>
      </c>
      <c r="H11" s="122" t="s">
        <v>561</v>
      </c>
      <c r="I11" s="122" t="s">
        <v>557</v>
      </c>
      <c r="J11" s="122">
        <v>140</v>
      </c>
      <c r="K11" s="122">
        <v>108</v>
      </c>
      <c r="L11" s="122" t="s">
        <v>562</v>
      </c>
      <c r="M11" s="122" t="s">
        <v>550</v>
      </c>
      <c r="N11" s="122" t="s">
        <v>551</v>
      </c>
    </row>
    <row r="12" customHeight="1" spans="1:14">
      <c r="A12" s="122" t="s">
        <v>11</v>
      </c>
      <c r="B12" s="122" t="s">
        <v>542</v>
      </c>
      <c r="C12" s="122" t="s">
        <v>543</v>
      </c>
      <c r="D12" s="122" t="s">
        <v>544</v>
      </c>
      <c r="E12" s="122" t="s">
        <v>545</v>
      </c>
      <c r="F12" s="122" t="s">
        <v>563</v>
      </c>
      <c r="G12" s="122" t="s">
        <v>547</v>
      </c>
      <c r="H12" s="122" t="s">
        <v>548</v>
      </c>
      <c r="I12" s="122" t="s">
        <v>553</v>
      </c>
      <c r="J12" s="122">
        <v>100</v>
      </c>
      <c r="K12" s="122">
        <v>105</v>
      </c>
      <c r="L12" s="122" t="s">
        <v>555</v>
      </c>
      <c r="M12" s="122" t="s">
        <v>550</v>
      </c>
      <c r="N12" s="122" t="s">
        <v>551</v>
      </c>
    </row>
    <row r="13" customHeight="1" spans="1:14">
      <c r="A13" s="122" t="s">
        <v>24</v>
      </c>
      <c r="B13" s="122" t="s">
        <v>542</v>
      </c>
      <c r="C13" s="122" t="s">
        <v>552</v>
      </c>
      <c r="D13" s="122" t="s">
        <v>553</v>
      </c>
      <c r="E13" s="122" t="s">
        <v>554</v>
      </c>
      <c r="F13" s="122" t="s">
        <v>546</v>
      </c>
      <c r="G13" s="122" t="s">
        <v>547</v>
      </c>
      <c r="H13" s="122" t="s">
        <v>548</v>
      </c>
      <c r="I13" s="122" t="s">
        <v>544</v>
      </c>
      <c r="J13" s="122">
        <v>100</v>
      </c>
      <c r="K13" s="122">
        <v>100</v>
      </c>
      <c r="L13" s="122" t="s">
        <v>549</v>
      </c>
      <c r="M13" s="122" t="s">
        <v>550</v>
      </c>
      <c r="N13" s="122" t="s">
        <v>551</v>
      </c>
    </row>
    <row r="14" customHeight="1" spans="1:14">
      <c r="A14" s="122" t="s">
        <v>34</v>
      </c>
      <c r="B14" s="122" t="s">
        <v>542</v>
      </c>
      <c r="C14" s="122" t="s">
        <v>552</v>
      </c>
      <c r="D14" s="122" t="s">
        <v>553</v>
      </c>
      <c r="E14" s="122" t="s">
        <v>554</v>
      </c>
      <c r="F14" s="122" t="s">
        <v>531</v>
      </c>
      <c r="G14" s="122" t="s">
        <v>547</v>
      </c>
      <c r="H14" s="122" t="s">
        <v>548</v>
      </c>
      <c r="I14" s="122" t="s">
        <v>544</v>
      </c>
      <c r="J14" s="122">
        <v>100</v>
      </c>
      <c r="K14" s="122">
        <v>100</v>
      </c>
      <c r="L14" s="122" t="s">
        <v>549</v>
      </c>
      <c r="M14" s="122" t="s">
        <v>550</v>
      </c>
      <c r="N14" s="122" t="s">
        <v>551</v>
      </c>
    </row>
    <row r="15" customHeight="1" spans="1:14">
      <c r="A15" s="122" t="s">
        <v>43</v>
      </c>
      <c r="B15" s="122" t="s">
        <v>542</v>
      </c>
      <c r="C15" s="122" t="s">
        <v>552</v>
      </c>
      <c r="D15" s="122" t="s">
        <v>553</v>
      </c>
      <c r="E15" s="122" t="s">
        <v>554</v>
      </c>
      <c r="F15" s="122" t="s">
        <v>531</v>
      </c>
      <c r="G15" s="122" t="s">
        <v>547</v>
      </c>
      <c r="H15" s="122" t="s">
        <v>548</v>
      </c>
      <c r="I15" s="122" t="s">
        <v>553</v>
      </c>
      <c r="J15" s="122">
        <v>100</v>
      </c>
      <c r="K15" s="122">
        <v>105</v>
      </c>
      <c r="L15" s="122" t="s">
        <v>555</v>
      </c>
      <c r="M15" s="122" t="s">
        <v>550</v>
      </c>
      <c r="N15" s="122" t="s">
        <v>551</v>
      </c>
    </row>
    <row r="16" customHeight="1" spans="1:14">
      <c r="A16" s="122"/>
      <c r="B16" s="122"/>
      <c r="C16" s="122"/>
      <c r="D16" s="122"/>
      <c r="E16" s="122"/>
      <c r="F16" s="122" t="s">
        <v>531</v>
      </c>
      <c r="G16" s="122"/>
      <c r="H16" s="122"/>
      <c r="I16" s="122"/>
      <c r="J16" s="122"/>
      <c r="K16" s="122"/>
      <c r="L16" s="122"/>
      <c r="M16" s="122"/>
      <c r="N16" s="122"/>
    </row>
    <row r="17" customHeight="1" spans="1:14">
      <c r="A17" s="122" t="s">
        <v>52</v>
      </c>
      <c r="B17" s="122" t="s">
        <v>542</v>
      </c>
      <c r="C17" s="122" t="s">
        <v>552</v>
      </c>
      <c r="D17" s="122" t="s">
        <v>553</v>
      </c>
      <c r="E17" s="122" t="s">
        <v>554</v>
      </c>
      <c r="F17" s="122" t="s">
        <v>531</v>
      </c>
      <c r="G17" s="122" t="s">
        <v>547</v>
      </c>
      <c r="H17" s="122" t="s">
        <v>561</v>
      </c>
      <c r="I17" s="122" t="s">
        <v>557</v>
      </c>
      <c r="J17" s="122">
        <v>140</v>
      </c>
      <c r="K17" s="122">
        <v>140</v>
      </c>
      <c r="L17" s="122" t="s">
        <v>562</v>
      </c>
      <c r="M17" s="122" t="s">
        <v>550</v>
      </c>
      <c r="N17" s="122" t="s">
        <v>551</v>
      </c>
    </row>
    <row r="18" customHeight="1" spans="1:14">
      <c r="A18" s="122"/>
      <c r="B18" s="122"/>
      <c r="C18" s="122"/>
      <c r="D18" s="122"/>
      <c r="E18" s="122"/>
      <c r="F18" s="122" t="s">
        <v>531</v>
      </c>
      <c r="G18" s="122"/>
      <c r="H18" s="122"/>
      <c r="I18" s="122"/>
      <c r="J18" s="122"/>
      <c r="K18" s="122"/>
      <c r="L18" s="122"/>
      <c r="M18" s="122"/>
      <c r="N18" s="122"/>
    </row>
    <row r="19" customHeight="1" spans="1:14">
      <c r="A19" s="122" t="s">
        <v>61</v>
      </c>
      <c r="B19" s="122" t="s">
        <v>542</v>
      </c>
      <c r="C19" s="122" t="s">
        <v>556</v>
      </c>
      <c r="D19" s="122" t="s">
        <v>557</v>
      </c>
      <c r="E19" s="122" t="s">
        <v>558</v>
      </c>
      <c r="F19" s="122" t="s">
        <v>531</v>
      </c>
      <c r="G19" s="122" t="s">
        <v>547</v>
      </c>
      <c r="H19" s="122" t="s">
        <v>548</v>
      </c>
      <c r="I19" s="122" t="s">
        <v>560</v>
      </c>
      <c r="J19" s="122">
        <v>100</v>
      </c>
      <c r="K19" s="122">
        <v>90</v>
      </c>
      <c r="L19" s="122" t="s">
        <v>555</v>
      </c>
      <c r="M19" s="122" t="s">
        <v>550</v>
      </c>
      <c r="N19" s="122" t="s">
        <v>551</v>
      </c>
    </row>
    <row r="20" customHeight="1" spans="1:14">
      <c r="A20" s="122"/>
      <c r="B20" s="106"/>
      <c r="C20" s="106"/>
      <c r="D20" s="106"/>
      <c r="E20" s="106"/>
      <c r="F20" s="122" t="s">
        <v>559</v>
      </c>
      <c r="G20" s="25"/>
      <c r="H20" s="106"/>
      <c r="I20" s="106"/>
      <c r="J20" s="25"/>
      <c r="K20" s="25"/>
      <c r="L20" s="106"/>
      <c r="M20" s="106"/>
      <c r="N20" s="106"/>
    </row>
    <row r="21" customFormat="1" customHeight="1" spans="1:14">
      <c r="A21" s="124" t="s">
        <v>65</v>
      </c>
      <c r="B21" s="122" t="s">
        <v>542</v>
      </c>
      <c r="C21" s="122" t="s">
        <v>543</v>
      </c>
      <c r="D21" s="122" t="s">
        <v>544</v>
      </c>
      <c r="E21" s="122" t="s">
        <v>545</v>
      </c>
      <c r="F21" s="122" t="s">
        <v>559</v>
      </c>
      <c r="G21" s="122" t="s">
        <v>547</v>
      </c>
      <c r="H21" s="122" t="s">
        <v>548</v>
      </c>
      <c r="I21" s="122" t="s">
        <v>544</v>
      </c>
      <c r="J21" s="122">
        <v>100</v>
      </c>
      <c r="K21" s="122">
        <v>100</v>
      </c>
      <c r="L21" s="122" t="s">
        <v>549</v>
      </c>
      <c r="M21" s="122" t="s">
        <v>550</v>
      </c>
      <c r="N21" s="122" t="s">
        <v>551</v>
      </c>
    </row>
    <row r="22" customFormat="1" customHeight="1" spans="1:14">
      <c r="A22" s="125"/>
      <c r="B22" s="122"/>
      <c r="C22" s="122"/>
      <c r="D22" s="122"/>
      <c r="E22" s="122"/>
      <c r="F22" s="122" t="s">
        <v>564</v>
      </c>
      <c r="G22" s="122"/>
      <c r="H22" s="122"/>
      <c r="I22" s="122"/>
      <c r="J22" s="122"/>
      <c r="K22" s="122"/>
      <c r="L22" s="122"/>
      <c r="M22" s="122"/>
      <c r="N22" s="122"/>
    </row>
    <row r="23" customFormat="1" customHeight="1" spans="1:14">
      <c r="A23" s="121"/>
      <c r="B23" s="122"/>
      <c r="C23" s="122"/>
      <c r="D23" s="122"/>
      <c r="E23" s="122"/>
      <c r="F23" s="122" t="s">
        <v>565</v>
      </c>
      <c r="G23" s="122"/>
      <c r="H23" s="122"/>
      <c r="I23" s="122"/>
      <c r="J23" s="122"/>
      <c r="K23" s="122"/>
      <c r="L23" s="122"/>
      <c r="M23" s="122"/>
      <c r="N23" s="122"/>
    </row>
    <row r="24" customFormat="1" customHeight="1" spans="1:14">
      <c r="A24" s="124" t="s">
        <v>76</v>
      </c>
      <c r="B24" s="122" t="s">
        <v>542</v>
      </c>
      <c r="C24" s="122" t="s">
        <v>556</v>
      </c>
      <c r="D24" s="122" t="s">
        <v>557</v>
      </c>
      <c r="E24" s="122" t="s">
        <v>558</v>
      </c>
      <c r="F24" s="122" t="s">
        <v>566</v>
      </c>
      <c r="G24" s="122" t="s">
        <v>547</v>
      </c>
      <c r="H24" s="122" t="s">
        <v>548</v>
      </c>
      <c r="I24" s="122" t="s">
        <v>544</v>
      </c>
      <c r="J24" s="122">
        <v>100</v>
      </c>
      <c r="K24" s="122">
        <v>100</v>
      </c>
      <c r="L24" s="122" t="s">
        <v>549</v>
      </c>
      <c r="M24" s="122" t="s">
        <v>550</v>
      </c>
      <c r="N24" s="122" t="s">
        <v>551</v>
      </c>
    </row>
    <row r="25" customFormat="1" customHeight="1" spans="1:14">
      <c r="A25" s="125"/>
      <c r="B25" s="122"/>
      <c r="C25" s="122"/>
      <c r="D25" s="122"/>
      <c r="E25" s="122"/>
      <c r="F25" s="122" t="s">
        <v>565</v>
      </c>
      <c r="G25" s="122"/>
      <c r="H25" s="122"/>
      <c r="I25" s="122"/>
      <c r="J25" s="122"/>
      <c r="K25" s="122"/>
      <c r="L25" s="122"/>
      <c r="M25" s="122"/>
      <c r="N25" s="122"/>
    </row>
    <row r="26" customFormat="1" customHeight="1" spans="1:14">
      <c r="A26" s="124" t="s">
        <v>83</v>
      </c>
      <c r="B26" s="122" t="s">
        <v>542</v>
      </c>
      <c r="C26" s="122" t="s">
        <v>552</v>
      </c>
      <c r="D26" s="122" t="s">
        <v>553</v>
      </c>
      <c r="E26" s="122" t="s">
        <v>554</v>
      </c>
      <c r="F26" s="122" t="s">
        <v>567</v>
      </c>
      <c r="G26" s="122" t="s">
        <v>547</v>
      </c>
      <c r="H26" s="122" t="s">
        <v>561</v>
      </c>
      <c r="I26" s="122" t="s">
        <v>557</v>
      </c>
      <c r="J26" s="122">
        <v>135</v>
      </c>
      <c r="K26" s="122">
        <v>135</v>
      </c>
      <c r="L26" s="122" t="s">
        <v>562</v>
      </c>
      <c r="M26" s="122" t="s">
        <v>550</v>
      </c>
      <c r="N26" s="122" t="s">
        <v>551</v>
      </c>
    </row>
    <row r="27" customFormat="1" customHeight="1" spans="1:14">
      <c r="A27" s="124" t="s">
        <v>92</v>
      </c>
      <c r="B27" s="122" t="s">
        <v>542</v>
      </c>
      <c r="C27" s="122" t="s">
        <v>543</v>
      </c>
      <c r="D27" s="122" t="s">
        <v>544</v>
      </c>
      <c r="E27" s="122" t="s">
        <v>568</v>
      </c>
      <c r="F27" s="122" t="s">
        <v>569</v>
      </c>
      <c r="G27" s="122" t="s">
        <v>547</v>
      </c>
      <c r="H27" s="122" t="s">
        <v>548</v>
      </c>
      <c r="I27" s="122" t="s">
        <v>553</v>
      </c>
      <c r="J27" s="122">
        <v>100</v>
      </c>
      <c r="K27" s="122">
        <v>105</v>
      </c>
      <c r="L27" s="122" t="s">
        <v>555</v>
      </c>
      <c r="M27" s="122" t="s">
        <v>550</v>
      </c>
      <c r="N27" s="122" t="s">
        <v>551</v>
      </c>
    </row>
    <row r="28" customFormat="1" customHeight="1" spans="1:14">
      <c r="A28" s="124" t="s">
        <v>97</v>
      </c>
      <c r="B28" s="122" t="s">
        <v>542</v>
      </c>
      <c r="C28" s="122" t="s">
        <v>556</v>
      </c>
      <c r="D28" s="122" t="s">
        <v>557</v>
      </c>
      <c r="E28" s="122" t="s">
        <v>558</v>
      </c>
      <c r="F28" s="122" t="s">
        <v>569</v>
      </c>
      <c r="G28" s="122" t="s">
        <v>547</v>
      </c>
      <c r="H28" s="122" t="s">
        <v>561</v>
      </c>
      <c r="I28" s="122" t="s">
        <v>557</v>
      </c>
      <c r="J28" s="122">
        <v>134</v>
      </c>
      <c r="K28" s="122">
        <v>133</v>
      </c>
      <c r="L28" s="122" t="s">
        <v>562</v>
      </c>
      <c r="M28" s="122" t="s">
        <v>550</v>
      </c>
      <c r="N28" s="122" t="s">
        <v>551</v>
      </c>
    </row>
    <row r="29" customFormat="1" customHeight="1" spans="1:14">
      <c r="A29" s="125"/>
      <c r="B29" s="122"/>
      <c r="C29" s="122"/>
      <c r="D29" s="122"/>
      <c r="E29" s="122"/>
      <c r="F29" s="122" t="s">
        <v>570</v>
      </c>
      <c r="G29" s="122"/>
      <c r="H29" s="122"/>
      <c r="I29" s="122"/>
      <c r="J29" s="122"/>
      <c r="K29" s="122"/>
      <c r="L29" s="122"/>
      <c r="M29" s="122"/>
      <c r="N29" s="122"/>
    </row>
    <row r="30" customFormat="1" customHeight="1" spans="1:14">
      <c r="A30" s="125"/>
      <c r="B30" s="122"/>
      <c r="C30" s="122"/>
      <c r="D30" s="122"/>
      <c r="E30" s="122"/>
      <c r="F30" s="122" t="s">
        <v>571</v>
      </c>
      <c r="G30" s="122"/>
      <c r="H30" s="122"/>
      <c r="I30" s="122"/>
      <c r="J30" s="122"/>
      <c r="K30" s="122"/>
      <c r="L30" s="122"/>
      <c r="M30" s="122"/>
      <c r="N30" s="122"/>
    </row>
    <row r="31" s="1" customFormat="1" customHeight="1" spans="1:14">
      <c r="A31" s="111"/>
      <c r="B31" s="111"/>
      <c r="C31" s="111"/>
      <c r="D31" s="111"/>
      <c r="E31" s="111"/>
      <c r="F31" s="30"/>
      <c r="G31" s="30"/>
      <c r="H31" s="111"/>
      <c r="I31" s="111"/>
      <c r="J31" s="30"/>
      <c r="K31" s="30"/>
      <c r="L31" s="111"/>
      <c r="M31" s="111"/>
      <c r="N31" s="111"/>
    </row>
    <row r="32" customHeight="1" spans="1:14">
      <c r="A32" s="122" t="s">
        <v>104</v>
      </c>
      <c r="B32" s="122" t="s">
        <v>542</v>
      </c>
      <c r="C32" s="122" t="s">
        <v>552</v>
      </c>
      <c r="D32" s="122" t="s">
        <v>553</v>
      </c>
      <c r="E32" s="122" t="s">
        <v>554</v>
      </c>
      <c r="F32" s="122" t="s">
        <v>563</v>
      </c>
      <c r="G32" s="122" t="s">
        <v>547</v>
      </c>
      <c r="H32" s="122" t="s">
        <v>548</v>
      </c>
      <c r="I32" s="122" t="s">
        <v>553</v>
      </c>
      <c r="J32" s="122">
        <v>100</v>
      </c>
      <c r="K32" s="122">
        <v>112</v>
      </c>
      <c r="L32" s="122" t="s">
        <v>555</v>
      </c>
      <c r="M32" s="122" t="s">
        <v>550</v>
      </c>
      <c r="N32" s="122" t="s">
        <v>551</v>
      </c>
    </row>
    <row r="33" customHeight="1" spans="1:14">
      <c r="A33" s="122" t="s">
        <v>110</v>
      </c>
      <c r="B33" s="122" t="s">
        <v>542</v>
      </c>
      <c r="C33" s="122" t="s">
        <v>556</v>
      </c>
      <c r="D33" s="122" t="s">
        <v>557</v>
      </c>
      <c r="E33" s="122" t="s">
        <v>558</v>
      </c>
      <c r="F33" s="122" t="s">
        <v>531</v>
      </c>
      <c r="G33" s="122" t="s">
        <v>547</v>
      </c>
      <c r="H33" s="122" t="s">
        <v>548</v>
      </c>
      <c r="I33" s="122" t="s">
        <v>560</v>
      </c>
      <c r="J33" s="122">
        <v>100</v>
      </c>
      <c r="K33" s="122">
        <v>100</v>
      </c>
      <c r="L33" s="122" t="s">
        <v>549</v>
      </c>
      <c r="M33" s="122" t="s">
        <v>550</v>
      </c>
      <c r="N33" s="122" t="s">
        <v>551</v>
      </c>
    </row>
    <row r="34" s="31" customFormat="1" customHeight="1" spans="1:16383">
      <c r="A34" s="111"/>
      <c r="B34" s="111"/>
      <c r="C34" s="111"/>
      <c r="D34" s="111"/>
      <c r="E34" s="111"/>
      <c r="F34" s="30"/>
      <c r="G34" s="30"/>
      <c r="H34" s="111"/>
      <c r="I34" s="111"/>
      <c r="J34" s="30"/>
      <c r="K34" s="30"/>
      <c r="L34" s="111"/>
      <c r="M34" s="111"/>
      <c r="N34" s="1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</row>
    <row r="35" customHeight="1" spans="1:14">
      <c r="A35" s="122" t="s">
        <v>114</v>
      </c>
      <c r="B35" s="122" t="s">
        <v>542</v>
      </c>
      <c r="C35" s="122" t="s">
        <v>543</v>
      </c>
      <c r="D35" s="122" t="s">
        <v>544</v>
      </c>
      <c r="E35" s="122" t="s">
        <v>568</v>
      </c>
      <c r="F35" s="122" t="s">
        <v>531</v>
      </c>
      <c r="G35" s="122" t="s">
        <v>547</v>
      </c>
      <c r="H35" s="122" t="s">
        <v>548</v>
      </c>
      <c r="I35" s="122" t="s">
        <v>544</v>
      </c>
      <c r="J35" s="122">
        <v>100</v>
      </c>
      <c r="K35" s="122">
        <v>100</v>
      </c>
      <c r="L35" s="122" t="s">
        <v>549</v>
      </c>
      <c r="M35" s="122" t="s">
        <v>550</v>
      </c>
      <c r="N35" s="122" t="s">
        <v>551</v>
      </c>
    </row>
    <row r="36" s="31" customFormat="1" customHeight="1" spans="1:16383">
      <c r="A36" s="1"/>
      <c r="B36" s="1"/>
      <c r="C36" s="1"/>
      <c r="D36" s="1"/>
      <c r="E36" s="1"/>
      <c r="F36" s="28"/>
      <c r="G36" s="28"/>
      <c r="H36" s="1"/>
      <c r="I36" s="1"/>
      <c r="J36" s="28"/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</row>
    <row r="37" customHeight="1" spans="1:2">
      <c r="A37" s="6" t="s">
        <v>120</v>
      </c>
      <c r="B37" s="7" t="s">
        <v>121</v>
      </c>
    </row>
    <row r="38" customHeight="1" spans="1:2">
      <c r="A38" s="6" t="s">
        <v>122</v>
      </c>
      <c r="B38" s="7" t="s">
        <v>123</v>
      </c>
    </row>
    <row r="39" customHeight="1" spans="1:14">
      <c r="A39" s="143" t="s">
        <v>528</v>
      </c>
      <c r="B39" s="144" t="s">
        <v>529</v>
      </c>
      <c r="C39" s="145" t="s">
        <v>530</v>
      </c>
      <c r="D39" s="146"/>
      <c r="E39" s="146"/>
      <c r="F39" s="147" t="s">
        <v>531</v>
      </c>
      <c r="G39" s="148"/>
      <c r="H39" s="147" t="s">
        <v>532</v>
      </c>
      <c r="I39" s="156"/>
      <c r="J39" s="156"/>
      <c r="K39" s="156"/>
      <c r="L39" s="148"/>
      <c r="M39" s="157" t="s">
        <v>533</v>
      </c>
      <c r="N39" s="157"/>
    </row>
    <row r="40" customHeight="1" spans="1:14">
      <c r="A40" s="149"/>
      <c r="B40" s="150"/>
      <c r="C40" s="151" t="s">
        <v>534</v>
      </c>
      <c r="D40" s="152" t="s">
        <v>535</v>
      </c>
      <c r="E40" s="151" t="s">
        <v>536</v>
      </c>
      <c r="F40" s="151" t="s">
        <v>537</v>
      </c>
      <c r="G40" s="152" t="s">
        <v>535</v>
      </c>
      <c r="H40" s="153" t="s">
        <v>535</v>
      </c>
      <c r="I40" s="158" t="s">
        <v>538</v>
      </c>
      <c r="J40" s="159" t="s">
        <v>539</v>
      </c>
      <c r="K40" s="159" t="s">
        <v>540</v>
      </c>
      <c r="L40" s="151" t="s">
        <v>541</v>
      </c>
      <c r="M40" s="157" t="s">
        <v>538</v>
      </c>
      <c r="N40" s="157" t="s">
        <v>535</v>
      </c>
    </row>
    <row r="41" customHeight="1" spans="1:14">
      <c r="A41" s="122" t="s">
        <v>124</v>
      </c>
      <c r="B41" s="122" t="s">
        <v>542</v>
      </c>
      <c r="C41" s="122" t="s">
        <v>552</v>
      </c>
      <c r="D41" s="122" t="s">
        <v>553</v>
      </c>
      <c r="E41" s="122" t="s">
        <v>554</v>
      </c>
      <c r="F41" s="122" t="s">
        <v>531</v>
      </c>
      <c r="G41" s="122" t="s">
        <v>547</v>
      </c>
      <c r="H41" s="122" t="s">
        <v>548</v>
      </c>
      <c r="I41" s="122" t="s">
        <v>544</v>
      </c>
      <c r="J41" s="122">
        <v>100</v>
      </c>
      <c r="K41" s="122">
        <v>100</v>
      </c>
      <c r="L41" s="122" t="s">
        <v>549</v>
      </c>
      <c r="M41" s="122" t="s">
        <v>550</v>
      </c>
      <c r="N41" s="122" t="s">
        <v>551</v>
      </c>
    </row>
    <row r="42" customHeight="1" spans="1:14">
      <c r="A42" s="122" t="s">
        <v>127</v>
      </c>
      <c r="B42" s="122" t="s">
        <v>542</v>
      </c>
      <c r="C42" s="122" t="s">
        <v>552</v>
      </c>
      <c r="D42" s="122" t="s">
        <v>553</v>
      </c>
      <c r="E42" s="122" t="s">
        <v>554</v>
      </c>
      <c r="F42" s="122" t="s">
        <v>531</v>
      </c>
      <c r="G42" s="122" t="s">
        <v>547</v>
      </c>
      <c r="H42" s="122" t="s">
        <v>548</v>
      </c>
      <c r="I42" s="122" t="s">
        <v>560</v>
      </c>
      <c r="J42" s="122">
        <v>110</v>
      </c>
      <c r="K42" s="122">
        <v>110</v>
      </c>
      <c r="L42" s="122" t="s">
        <v>549</v>
      </c>
      <c r="M42" s="122" t="s">
        <v>550</v>
      </c>
      <c r="N42" s="122" t="s">
        <v>551</v>
      </c>
    </row>
    <row r="43" customHeight="1" spans="1:14">
      <c r="A43" s="122" t="s">
        <v>131</v>
      </c>
      <c r="B43" s="122" t="s">
        <v>542</v>
      </c>
      <c r="C43" s="122" t="s">
        <v>543</v>
      </c>
      <c r="D43" s="122" t="s">
        <v>544</v>
      </c>
      <c r="E43" s="122" t="s">
        <v>568</v>
      </c>
      <c r="F43" s="122" t="s">
        <v>531</v>
      </c>
      <c r="G43" s="122" t="s">
        <v>547</v>
      </c>
      <c r="H43" s="122" t="s">
        <v>548</v>
      </c>
      <c r="I43" s="122" t="s">
        <v>544</v>
      </c>
      <c r="J43" s="122">
        <v>100</v>
      </c>
      <c r="K43" s="122">
        <v>100</v>
      </c>
      <c r="L43" s="122" t="s">
        <v>549</v>
      </c>
      <c r="M43" s="122" t="s">
        <v>550</v>
      </c>
      <c r="N43" s="122" t="s">
        <v>551</v>
      </c>
    </row>
    <row r="44" customHeight="1" spans="1:14">
      <c r="A44" s="122" t="s">
        <v>138</v>
      </c>
      <c r="B44" s="122" t="s">
        <v>542</v>
      </c>
      <c r="C44" s="122" t="s">
        <v>543</v>
      </c>
      <c r="D44" s="122" t="s">
        <v>544</v>
      </c>
      <c r="E44" s="122" t="s">
        <v>568</v>
      </c>
      <c r="F44" s="122" t="s">
        <v>531</v>
      </c>
      <c r="G44" s="122" t="s">
        <v>547</v>
      </c>
      <c r="H44" s="122" t="s">
        <v>548</v>
      </c>
      <c r="I44" s="122" t="s">
        <v>544</v>
      </c>
      <c r="J44" s="122">
        <v>100</v>
      </c>
      <c r="K44" s="122">
        <v>100</v>
      </c>
      <c r="L44" s="122" t="s">
        <v>549</v>
      </c>
      <c r="M44" s="122" t="s">
        <v>550</v>
      </c>
      <c r="N44" s="122" t="s">
        <v>551</v>
      </c>
    </row>
    <row r="45" customHeight="1" spans="1:14">
      <c r="A45" s="122" t="s">
        <v>140</v>
      </c>
      <c r="B45" s="122" t="s">
        <v>542</v>
      </c>
      <c r="C45" s="122" t="s">
        <v>543</v>
      </c>
      <c r="D45" s="122" t="s">
        <v>544</v>
      </c>
      <c r="E45" s="122" t="s">
        <v>568</v>
      </c>
      <c r="F45" s="122" t="s">
        <v>531</v>
      </c>
      <c r="G45" s="122" t="s">
        <v>547</v>
      </c>
      <c r="H45" s="122" t="s">
        <v>548</v>
      </c>
      <c r="I45" s="122" t="s">
        <v>544</v>
      </c>
      <c r="J45" s="122">
        <v>100</v>
      </c>
      <c r="K45" s="122">
        <v>100</v>
      </c>
      <c r="L45" s="122" t="s">
        <v>549</v>
      </c>
      <c r="M45" s="122" t="s">
        <v>550</v>
      </c>
      <c r="N45" s="122" t="s">
        <v>551</v>
      </c>
    </row>
    <row r="46" customHeight="1" spans="1:14">
      <c r="A46" s="122" t="s">
        <v>144</v>
      </c>
      <c r="B46" s="122" t="s">
        <v>542</v>
      </c>
      <c r="C46" s="122" t="s">
        <v>543</v>
      </c>
      <c r="D46" s="122" t="s">
        <v>544</v>
      </c>
      <c r="E46" s="122" t="s">
        <v>568</v>
      </c>
      <c r="F46" s="122" t="s">
        <v>531</v>
      </c>
      <c r="G46" s="122" t="s">
        <v>547</v>
      </c>
      <c r="H46" s="122" t="s">
        <v>548</v>
      </c>
      <c r="I46" s="122" t="s">
        <v>544</v>
      </c>
      <c r="J46" s="122">
        <v>100</v>
      </c>
      <c r="K46" s="122">
        <v>100</v>
      </c>
      <c r="L46" s="122" t="s">
        <v>549</v>
      </c>
      <c r="M46" s="122" t="s">
        <v>550</v>
      </c>
      <c r="N46" s="122" t="s">
        <v>551</v>
      </c>
    </row>
    <row r="47" customHeight="1" spans="1:14">
      <c r="A47" s="122" t="s">
        <v>150</v>
      </c>
      <c r="B47" s="122" t="s">
        <v>542</v>
      </c>
      <c r="C47" s="122" t="s">
        <v>543</v>
      </c>
      <c r="D47" s="122" t="s">
        <v>544</v>
      </c>
      <c r="E47" s="122" t="s">
        <v>568</v>
      </c>
      <c r="F47" s="122" t="s">
        <v>546</v>
      </c>
      <c r="G47" s="122" t="s">
        <v>547</v>
      </c>
      <c r="H47" s="122" t="s">
        <v>548</v>
      </c>
      <c r="I47" s="122" t="s">
        <v>544</v>
      </c>
      <c r="J47" s="122">
        <v>100</v>
      </c>
      <c r="K47" s="122">
        <v>100</v>
      </c>
      <c r="L47" s="122" t="s">
        <v>549</v>
      </c>
      <c r="M47" s="122" t="s">
        <v>550</v>
      </c>
      <c r="N47" s="122" t="s">
        <v>551</v>
      </c>
    </row>
    <row r="48" customHeight="1" spans="1:14">
      <c r="A48" s="122" t="s">
        <v>152</v>
      </c>
      <c r="B48" s="122" t="s">
        <v>542</v>
      </c>
      <c r="C48" s="122" t="s">
        <v>543</v>
      </c>
      <c r="D48" s="122" t="s">
        <v>544</v>
      </c>
      <c r="E48" s="122" t="s">
        <v>568</v>
      </c>
      <c r="F48" s="122" t="s">
        <v>531</v>
      </c>
      <c r="G48" s="122" t="s">
        <v>547</v>
      </c>
      <c r="H48" s="122" t="s">
        <v>548</v>
      </c>
      <c r="I48" s="122" t="s">
        <v>544</v>
      </c>
      <c r="J48" s="122">
        <v>100</v>
      </c>
      <c r="K48" s="122">
        <v>100</v>
      </c>
      <c r="L48" s="122" t="s">
        <v>549</v>
      </c>
      <c r="M48" s="122" t="s">
        <v>550</v>
      </c>
      <c r="N48" s="122" t="s">
        <v>551</v>
      </c>
    </row>
    <row r="49" customHeight="1" spans="1:14">
      <c r="A49" s="122" t="s">
        <v>155</v>
      </c>
      <c r="B49" s="122" t="s">
        <v>542</v>
      </c>
      <c r="C49" s="122" t="s">
        <v>543</v>
      </c>
      <c r="D49" s="122" t="s">
        <v>544</v>
      </c>
      <c r="E49" s="122" t="s">
        <v>568</v>
      </c>
      <c r="F49" s="122" t="s">
        <v>531</v>
      </c>
      <c r="G49" s="122" t="s">
        <v>547</v>
      </c>
      <c r="H49" s="122" t="s">
        <v>548</v>
      </c>
      <c r="I49" s="122" t="s">
        <v>544</v>
      </c>
      <c r="J49" s="122">
        <v>100</v>
      </c>
      <c r="K49" s="122">
        <v>100</v>
      </c>
      <c r="L49" s="122" t="s">
        <v>549</v>
      </c>
      <c r="M49" s="122" t="s">
        <v>550</v>
      </c>
      <c r="N49" s="122" t="s">
        <v>551</v>
      </c>
    </row>
    <row r="50" customHeight="1" spans="1:14">
      <c r="A50" s="122" t="s">
        <v>159</v>
      </c>
      <c r="B50" s="122" t="s">
        <v>542</v>
      </c>
      <c r="C50" s="122" t="s">
        <v>543</v>
      </c>
      <c r="D50" s="122" t="s">
        <v>544</v>
      </c>
      <c r="E50" s="122" t="s">
        <v>568</v>
      </c>
      <c r="F50" s="122" t="s">
        <v>531</v>
      </c>
      <c r="G50" s="122" t="s">
        <v>547</v>
      </c>
      <c r="H50" s="122" t="s">
        <v>548</v>
      </c>
      <c r="I50" s="122" t="s">
        <v>544</v>
      </c>
      <c r="J50" s="122">
        <v>100</v>
      </c>
      <c r="K50" s="122">
        <v>100</v>
      </c>
      <c r="L50" s="122" t="s">
        <v>549</v>
      </c>
      <c r="M50" s="122" t="s">
        <v>550</v>
      </c>
      <c r="N50" s="122" t="s">
        <v>551</v>
      </c>
    </row>
    <row r="51" customHeight="1" spans="1:14">
      <c r="A51" s="122" t="s">
        <v>165</v>
      </c>
      <c r="B51" s="122" t="s">
        <v>542</v>
      </c>
      <c r="C51" s="122" t="s">
        <v>552</v>
      </c>
      <c r="D51" s="122" t="s">
        <v>553</v>
      </c>
      <c r="E51" s="122" t="s">
        <v>554</v>
      </c>
      <c r="F51" s="122" t="s">
        <v>531</v>
      </c>
      <c r="G51" s="122" t="s">
        <v>547</v>
      </c>
      <c r="H51" s="122" t="s">
        <v>548</v>
      </c>
      <c r="I51" s="122" t="s">
        <v>553</v>
      </c>
      <c r="J51" s="122">
        <v>100</v>
      </c>
      <c r="K51" s="122">
        <v>100</v>
      </c>
      <c r="L51" s="122" t="s">
        <v>549</v>
      </c>
      <c r="M51" s="122" t="s">
        <v>550</v>
      </c>
      <c r="N51" s="122" t="s">
        <v>551</v>
      </c>
    </row>
    <row r="52" customHeight="1" spans="1:14">
      <c r="A52" s="122" t="s">
        <v>169</v>
      </c>
      <c r="B52" s="122" t="s">
        <v>542</v>
      </c>
      <c r="C52" s="122" t="s">
        <v>552</v>
      </c>
      <c r="D52" s="122" t="s">
        <v>553</v>
      </c>
      <c r="E52" s="122" t="s">
        <v>554</v>
      </c>
      <c r="F52" s="122" t="s">
        <v>531</v>
      </c>
      <c r="G52" s="122" t="s">
        <v>547</v>
      </c>
      <c r="H52" s="122" t="s">
        <v>548</v>
      </c>
      <c r="I52" s="122" t="s">
        <v>553</v>
      </c>
      <c r="J52" s="122">
        <v>100</v>
      </c>
      <c r="K52" s="122">
        <v>100</v>
      </c>
      <c r="L52" s="122" t="s">
        <v>549</v>
      </c>
      <c r="M52" s="122" t="s">
        <v>550</v>
      </c>
      <c r="N52" s="122" t="s">
        <v>551</v>
      </c>
    </row>
    <row r="53" customHeight="1" spans="1:14">
      <c r="A53" s="122" t="s">
        <v>171</v>
      </c>
      <c r="B53" s="122" t="s">
        <v>542</v>
      </c>
      <c r="C53" s="122" t="s">
        <v>552</v>
      </c>
      <c r="D53" s="122" t="s">
        <v>553</v>
      </c>
      <c r="E53" s="122" t="s">
        <v>554</v>
      </c>
      <c r="F53" s="122" t="s">
        <v>531</v>
      </c>
      <c r="G53" s="122" t="s">
        <v>547</v>
      </c>
      <c r="H53" s="122" t="s">
        <v>548</v>
      </c>
      <c r="I53" s="122" t="s">
        <v>553</v>
      </c>
      <c r="J53" s="122">
        <v>100</v>
      </c>
      <c r="K53" s="122">
        <v>105</v>
      </c>
      <c r="L53" s="122" t="s">
        <v>555</v>
      </c>
      <c r="M53" s="122" t="s">
        <v>550</v>
      </c>
      <c r="N53" s="122" t="s">
        <v>551</v>
      </c>
    </row>
    <row r="54" customHeight="1" spans="1:14">
      <c r="A54" s="122" t="s">
        <v>177</v>
      </c>
      <c r="B54" s="122" t="s">
        <v>542</v>
      </c>
      <c r="C54" s="122" t="s">
        <v>552</v>
      </c>
      <c r="D54" s="122" t="s">
        <v>553</v>
      </c>
      <c r="E54" s="122" t="s">
        <v>554</v>
      </c>
      <c r="F54" s="122" t="s">
        <v>531</v>
      </c>
      <c r="G54" s="122" t="s">
        <v>547</v>
      </c>
      <c r="H54" s="122" t="s">
        <v>548</v>
      </c>
      <c r="I54" s="122" t="s">
        <v>544</v>
      </c>
      <c r="J54" s="122">
        <v>100</v>
      </c>
      <c r="K54" s="122">
        <v>100</v>
      </c>
      <c r="L54" s="122" t="s">
        <v>549</v>
      </c>
      <c r="M54" s="122" t="s">
        <v>550</v>
      </c>
      <c r="N54" s="122" t="s">
        <v>551</v>
      </c>
    </row>
    <row r="55" customHeight="1" spans="1:14">
      <c r="A55" s="122" t="s">
        <v>181</v>
      </c>
      <c r="B55" s="122" t="s">
        <v>542</v>
      </c>
      <c r="C55" s="122" t="s">
        <v>543</v>
      </c>
      <c r="D55" s="122" t="s">
        <v>544</v>
      </c>
      <c r="E55" s="122" t="s">
        <v>568</v>
      </c>
      <c r="F55" s="122" t="s">
        <v>531</v>
      </c>
      <c r="G55" s="122" t="s">
        <v>547</v>
      </c>
      <c r="H55" s="122" t="s">
        <v>548</v>
      </c>
      <c r="I55" s="122" t="s">
        <v>553</v>
      </c>
      <c r="J55" s="122">
        <v>100</v>
      </c>
      <c r="K55" s="122">
        <v>100</v>
      </c>
      <c r="L55" s="122" t="s">
        <v>549</v>
      </c>
      <c r="M55" s="122" t="s">
        <v>550</v>
      </c>
      <c r="N55" s="122" t="s">
        <v>551</v>
      </c>
    </row>
    <row r="56" customHeight="1" spans="1:14">
      <c r="A56" s="122" t="s">
        <v>572</v>
      </c>
      <c r="B56" s="122" t="s">
        <v>542</v>
      </c>
      <c r="C56" s="122" t="s">
        <v>552</v>
      </c>
      <c r="D56" s="122" t="s">
        <v>553</v>
      </c>
      <c r="E56" s="122" t="s">
        <v>554</v>
      </c>
      <c r="F56" s="122" t="s">
        <v>531</v>
      </c>
      <c r="G56" s="122" t="s">
        <v>547</v>
      </c>
      <c r="H56" s="122" t="s">
        <v>548</v>
      </c>
      <c r="I56" s="122" t="s">
        <v>544</v>
      </c>
      <c r="J56" s="122">
        <v>100</v>
      </c>
      <c r="K56" s="122">
        <v>100</v>
      </c>
      <c r="L56" s="122" t="s">
        <v>549</v>
      </c>
      <c r="M56" s="122" t="s">
        <v>550</v>
      </c>
      <c r="N56" s="122" t="s">
        <v>551</v>
      </c>
    </row>
    <row r="57" customHeight="1" spans="1:14">
      <c r="A57" s="122" t="s">
        <v>185</v>
      </c>
      <c r="B57" s="122" t="s">
        <v>542</v>
      </c>
      <c r="C57" s="122" t="s">
        <v>543</v>
      </c>
      <c r="D57" s="122" t="s">
        <v>544</v>
      </c>
      <c r="E57" s="122" t="s">
        <v>568</v>
      </c>
      <c r="F57" s="122" t="s">
        <v>531</v>
      </c>
      <c r="G57" s="122" t="s">
        <v>547</v>
      </c>
      <c r="H57" s="122" t="s">
        <v>548</v>
      </c>
      <c r="I57" s="122" t="s">
        <v>544</v>
      </c>
      <c r="J57" s="122">
        <v>100</v>
      </c>
      <c r="K57" s="122">
        <v>100</v>
      </c>
      <c r="L57" s="122" t="s">
        <v>549</v>
      </c>
      <c r="M57" s="122" t="s">
        <v>550</v>
      </c>
      <c r="N57" s="122" t="s">
        <v>551</v>
      </c>
    </row>
    <row r="58" customHeight="1" spans="1:14">
      <c r="A58" s="122" t="s">
        <v>189</v>
      </c>
      <c r="B58" s="122" t="s">
        <v>542</v>
      </c>
      <c r="C58" s="122" t="s">
        <v>552</v>
      </c>
      <c r="D58" s="122" t="s">
        <v>553</v>
      </c>
      <c r="E58" s="122" t="s">
        <v>554</v>
      </c>
      <c r="F58" s="122" t="s">
        <v>531</v>
      </c>
      <c r="G58" s="122" t="s">
        <v>547</v>
      </c>
      <c r="H58" s="122" t="s">
        <v>548</v>
      </c>
      <c r="I58" s="122" t="s">
        <v>544</v>
      </c>
      <c r="J58" s="122">
        <v>100</v>
      </c>
      <c r="K58" s="122">
        <v>100</v>
      </c>
      <c r="L58" s="122" t="s">
        <v>549</v>
      </c>
      <c r="M58" s="122" t="s">
        <v>550</v>
      </c>
      <c r="N58" s="122" t="s">
        <v>551</v>
      </c>
    </row>
    <row r="59" customHeight="1" spans="1:14">
      <c r="A59" s="122" t="s">
        <v>192</v>
      </c>
      <c r="B59" s="122" t="s">
        <v>542</v>
      </c>
      <c r="C59" s="122" t="s">
        <v>543</v>
      </c>
      <c r="D59" s="122" t="s">
        <v>544</v>
      </c>
      <c r="E59" s="122" t="s">
        <v>568</v>
      </c>
      <c r="F59" s="122" t="s">
        <v>531</v>
      </c>
      <c r="G59" s="122" t="s">
        <v>547</v>
      </c>
      <c r="H59" s="122" t="s">
        <v>548</v>
      </c>
      <c r="I59" s="122" t="s">
        <v>544</v>
      </c>
      <c r="J59" s="122">
        <v>100</v>
      </c>
      <c r="K59" s="122">
        <v>100</v>
      </c>
      <c r="L59" s="122" t="s">
        <v>549</v>
      </c>
      <c r="M59" s="122" t="s">
        <v>550</v>
      </c>
      <c r="N59" s="122" t="s">
        <v>551</v>
      </c>
    </row>
    <row r="60" customHeight="1" spans="1:14">
      <c r="A60" s="122" t="s">
        <v>196</v>
      </c>
      <c r="B60" s="122" t="s">
        <v>542</v>
      </c>
      <c r="C60" s="122" t="s">
        <v>543</v>
      </c>
      <c r="D60" s="122" t="s">
        <v>544</v>
      </c>
      <c r="E60" s="122" t="s">
        <v>568</v>
      </c>
      <c r="F60" s="122" t="s">
        <v>546</v>
      </c>
      <c r="G60" s="122" t="s">
        <v>547</v>
      </c>
      <c r="H60" s="122" t="s">
        <v>548</v>
      </c>
      <c r="I60" s="122" t="s">
        <v>544</v>
      </c>
      <c r="J60" s="122">
        <v>100</v>
      </c>
      <c r="K60" s="122">
        <v>100</v>
      </c>
      <c r="L60" s="122" t="s">
        <v>549</v>
      </c>
      <c r="M60" s="122" t="s">
        <v>550</v>
      </c>
      <c r="N60" s="122" t="s">
        <v>551</v>
      </c>
    </row>
    <row r="61" customHeight="1" spans="1:14">
      <c r="A61" s="122" t="s">
        <v>197</v>
      </c>
      <c r="B61" s="122" t="s">
        <v>542</v>
      </c>
      <c r="C61" s="122" t="s">
        <v>552</v>
      </c>
      <c r="D61" s="122" t="s">
        <v>553</v>
      </c>
      <c r="E61" s="122" t="s">
        <v>554</v>
      </c>
      <c r="F61" s="122" t="s">
        <v>531</v>
      </c>
      <c r="G61" s="122" t="s">
        <v>547</v>
      </c>
      <c r="H61" s="122" t="s">
        <v>548</v>
      </c>
      <c r="I61" s="122" t="s">
        <v>544</v>
      </c>
      <c r="J61" s="122">
        <v>100</v>
      </c>
      <c r="K61" s="122">
        <v>100</v>
      </c>
      <c r="L61" s="122" t="s">
        <v>549</v>
      </c>
      <c r="M61" s="122" t="s">
        <v>550</v>
      </c>
      <c r="N61" s="122" t="s">
        <v>551</v>
      </c>
    </row>
    <row r="62" customHeight="1" spans="1:14">
      <c r="A62" s="122" t="s">
        <v>200</v>
      </c>
      <c r="B62" s="122" t="s">
        <v>542</v>
      </c>
      <c r="C62" s="122" t="s">
        <v>543</v>
      </c>
      <c r="D62" s="122" t="s">
        <v>544</v>
      </c>
      <c r="E62" s="122" t="s">
        <v>568</v>
      </c>
      <c r="F62" s="122" t="s">
        <v>531</v>
      </c>
      <c r="G62" s="122" t="s">
        <v>547</v>
      </c>
      <c r="H62" s="122" t="s">
        <v>548</v>
      </c>
      <c r="I62" s="122" t="s">
        <v>544</v>
      </c>
      <c r="J62" s="122">
        <v>100</v>
      </c>
      <c r="K62" s="122">
        <v>100</v>
      </c>
      <c r="L62" s="122" t="s">
        <v>549</v>
      </c>
      <c r="M62" s="122" t="s">
        <v>550</v>
      </c>
      <c r="N62" s="122" t="s">
        <v>551</v>
      </c>
    </row>
    <row r="63" customHeight="1" spans="1:14">
      <c r="A63" s="122" t="s">
        <v>203</v>
      </c>
      <c r="B63" s="122" t="s">
        <v>542</v>
      </c>
      <c r="C63" s="122" t="s">
        <v>543</v>
      </c>
      <c r="D63" s="122" t="s">
        <v>544</v>
      </c>
      <c r="E63" s="122" t="s">
        <v>568</v>
      </c>
      <c r="F63" s="122" t="s">
        <v>531</v>
      </c>
      <c r="G63" s="122" t="s">
        <v>547</v>
      </c>
      <c r="H63" s="122" t="s">
        <v>548</v>
      </c>
      <c r="I63" s="122" t="s">
        <v>544</v>
      </c>
      <c r="J63" s="122">
        <v>100</v>
      </c>
      <c r="K63" s="122">
        <v>100</v>
      </c>
      <c r="L63" s="122" t="s">
        <v>549</v>
      </c>
      <c r="M63" s="122" t="s">
        <v>550</v>
      </c>
      <c r="N63" s="122" t="s">
        <v>551</v>
      </c>
    </row>
    <row r="64" customHeight="1" spans="1:14">
      <c r="A64" s="122" t="s">
        <v>206</v>
      </c>
      <c r="B64" s="122" t="s">
        <v>542</v>
      </c>
      <c r="C64" s="122" t="s">
        <v>543</v>
      </c>
      <c r="D64" s="122" t="s">
        <v>544</v>
      </c>
      <c r="E64" s="122" t="s">
        <v>568</v>
      </c>
      <c r="F64" s="122" t="s">
        <v>531</v>
      </c>
      <c r="G64" s="122" t="s">
        <v>547</v>
      </c>
      <c r="H64" s="122" t="s">
        <v>548</v>
      </c>
      <c r="I64" s="122" t="s">
        <v>544</v>
      </c>
      <c r="J64" s="122">
        <v>100</v>
      </c>
      <c r="K64" s="122">
        <v>100</v>
      </c>
      <c r="L64" s="122" t="s">
        <v>549</v>
      </c>
      <c r="M64" s="122" t="s">
        <v>550</v>
      </c>
      <c r="N64" s="122" t="s">
        <v>551</v>
      </c>
    </row>
    <row r="65" customHeight="1" spans="1:14">
      <c r="A65" s="122" t="s">
        <v>210</v>
      </c>
      <c r="B65" s="122" t="s">
        <v>542</v>
      </c>
      <c r="C65" s="122" t="s">
        <v>543</v>
      </c>
      <c r="D65" s="122" t="s">
        <v>544</v>
      </c>
      <c r="E65" s="122" t="s">
        <v>568</v>
      </c>
      <c r="F65" s="122" t="s">
        <v>531</v>
      </c>
      <c r="G65" s="122" t="s">
        <v>547</v>
      </c>
      <c r="H65" s="122" t="s">
        <v>548</v>
      </c>
      <c r="I65" s="122" t="s">
        <v>544</v>
      </c>
      <c r="J65" s="122">
        <v>100</v>
      </c>
      <c r="K65" s="122">
        <v>100</v>
      </c>
      <c r="L65" s="122" t="s">
        <v>549</v>
      </c>
      <c r="M65" s="122" t="s">
        <v>550</v>
      </c>
      <c r="N65" s="122" t="s">
        <v>551</v>
      </c>
    </row>
    <row r="66" customHeight="1" spans="1:14">
      <c r="A66" s="122" t="s">
        <v>213</v>
      </c>
      <c r="B66" s="122" t="s">
        <v>542</v>
      </c>
      <c r="C66" s="122" t="s">
        <v>543</v>
      </c>
      <c r="D66" s="122" t="s">
        <v>544</v>
      </c>
      <c r="E66" s="122" t="s">
        <v>568</v>
      </c>
      <c r="F66" s="122" t="s">
        <v>531</v>
      </c>
      <c r="G66" s="122" t="s">
        <v>547</v>
      </c>
      <c r="H66" s="122" t="s">
        <v>548</v>
      </c>
      <c r="I66" s="122" t="s">
        <v>544</v>
      </c>
      <c r="J66" s="122">
        <v>100</v>
      </c>
      <c r="K66" s="122">
        <v>100</v>
      </c>
      <c r="L66" s="122" t="s">
        <v>549</v>
      </c>
      <c r="M66" s="122" t="s">
        <v>550</v>
      </c>
      <c r="N66" s="122" t="s">
        <v>551</v>
      </c>
    </row>
    <row r="67" customHeight="1" spans="1:14">
      <c r="A67" s="122" t="s">
        <v>218</v>
      </c>
      <c r="B67" s="122" t="s">
        <v>542</v>
      </c>
      <c r="C67" s="122" t="s">
        <v>552</v>
      </c>
      <c r="D67" s="122" t="s">
        <v>553</v>
      </c>
      <c r="E67" s="122" t="s">
        <v>554</v>
      </c>
      <c r="F67" s="122" t="s">
        <v>531</v>
      </c>
      <c r="G67" s="122" t="s">
        <v>547</v>
      </c>
      <c r="H67" s="122" t="s">
        <v>548</v>
      </c>
      <c r="I67" s="122" t="s">
        <v>544</v>
      </c>
      <c r="J67" s="122">
        <v>100</v>
      </c>
      <c r="K67" s="122">
        <v>100</v>
      </c>
      <c r="L67" s="122" t="s">
        <v>549</v>
      </c>
      <c r="M67" s="122" t="s">
        <v>550</v>
      </c>
      <c r="N67" s="122" t="s">
        <v>551</v>
      </c>
    </row>
    <row r="68" customHeight="1" spans="1:14">
      <c r="A68" s="24" t="s">
        <v>221</v>
      </c>
      <c r="B68" s="122" t="s">
        <v>542</v>
      </c>
      <c r="C68" s="122" t="s">
        <v>543</v>
      </c>
      <c r="D68" s="122" t="s">
        <v>544</v>
      </c>
      <c r="E68" s="122" t="s">
        <v>568</v>
      </c>
      <c r="F68" s="122" t="s">
        <v>531</v>
      </c>
      <c r="G68" s="122" t="s">
        <v>547</v>
      </c>
      <c r="H68" s="122" t="s">
        <v>548</v>
      </c>
      <c r="I68" s="122" t="s">
        <v>544</v>
      </c>
      <c r="J68" s="122">
        <v>100</v>
      </c>
      <c r="K68" s="122">
        <v>115</v>
      </c>
      <c r="L68" s="122" t="s">
        <v>549</v>
      </c>
      <c r="M68" s="122" t="s">
        <v>550</v>
      </c>
      <c r="N68" s="122" t="s">
        <v>551</v>
      </c>
    </row>
    <row r="69" customHeight="1" spans="1:14">
      <c r="A69" s="24" t="s">
        <v>223</v>
      </c>
      <c r="B69" s="122" t="s">
        <v>542</v>
      </c>
      <c r="C69" s="122" t="s">
        <v>543</v>
      </c>
      <c r="D69" s="122" t="s">
        <v>544</v>
      </c>
      <c r="E69" s="122" t="s">
        <v>568</v>
      </c>
      <c r="F69" s="122" t="s">
        <v>531</v>
      </c>
      <c r="G69" s="122" t="s">
        <v>547</v>
      </c>
      <c r="H69" s="122" t="s">
        <v>548</v>
      </c>
      <c r="I69" s="122" t="s">
        <v>544</v>
      </c>
      <c r="J69" s="122">
        <v>100</v>
      </c>
      <c r="K69" s="122">
        <v>100</v>
      </c>
      <c r="L69" s="122" t="s">
        <v>549</v>
      </c>
      <c r="M69" s="122" t="s">
        <v>550</v>
      </c>
      <c r="N69" s="122" t="s">
        <v>551</v>
      </c>
    </row>
    <row r="70" s="31" customFormat="1" customHeight="1" spans="1:16383">
      <c r="A70" s="1"/>
      <c r="B70" s="1"/>
      <c r="C70" s="1"/>
      <c r="D70" s="1"/>
      <c r="E70" s="1"/>
      <c r="F70" s="28"/>
      <c r="G70" s="28"/>
      <c r="H70" s="1"/>
      <c r="I70" s="1"/>
      <c r="J70" s="28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  <c r="WYX70" s="1"/>
      <c r="WYY70" s="1"/>
      <c r="WYZ70" s="1"/>
      <c r="WZA70" s="1"/>
      <c r="WZB70" s="1"/>
      <c r="WZC70" s="1"/>
      <c r="WZD70" s="1"/>
      <c r="WZE70" s="1"/>
      <c r="WZF70" s="1"/>
      <c r="WZG70" s="1"/>
      <c r="WZH70" s="1"/>
      <c r="WZI70" s="1"/>
      <c r="WZJ70" s="1"/>
      <c r="WZK70" s="1"/>
      <c r="WZL70" s="1"/>
      <c r="WZM70" s="1"/>
      <c r="WZN70" s="1"/>
      <c r="WZO70" s="1"/>
      <c r="WZP70" s="1"/>
      <c r="WZQ70" s="1"/>
      <c r="WZR70" s="1"/>
      <c r="WZS70" s="1"/>
      <c r="WZT70" s="1"/>
      <c r="WZU70" s="1"/>
      <c r="WZV70" s="1"/>
      <c r="WZW70" s="1"/>
      <c r="WZX70" s="1"/>
      <c r="WZY70" s="1"/>
      <c r="WZZ70" s="1"/>
      <c r="XAA70" s="1"/>
      <c r="XAB70" s="1"/>
      <c r="XAC70" s="1"/>
      <c r="XAD70" s="1"/>
      <c r="XAE70" s="1"/>
      <c r="XAF70" s="1"/>
      <c r="XAG70" s="1"/>
      <c r="XAH70" s="1"/>
      <c r="XAI70" s="1"/>
      <c r="XAJ70" s="1"/>
      <c r="XAK70" s="1"/>
      <c r="XAL70" s="1"/>
      <c r="XAM70" s="1"/>
      <c r="XAN70" s="1"/>
      <c r="XAO70" s="1"/>
      <c r="XAP70" s="1"/>
      <c r="XAQ70" s="1"/>
      <c r="XAR70" s="1"/>
      <c r="XAS70" s="1"/>
      <c r="XAT70" s="1"/>
      <c r="XAU70" s="1"/>
      <c r="XAV70" s="1"/>
      <c r="XAW70" s="1"/>
      <c r="XAX70" s="1"/>
      <c r="XAY70" s="1"/>
      <c r="XAZ70" s="1"/>
      <c r="XBA70" s="1"/>
      <c r="XBB70" s="1"/>
      <c r="XBC70" s="1"/>
      <c r="XBD70" s="1"/>
      <c r="XBE70" s="1"/>
      <c r="XBF70" s="1"/>
      <c r="XBG70" s="1"/>
      <c r="XBH70" s="1"/>
      <c r="XBI70" s="1"/>
      <c r="XBJ70" s="1"/>
      <c r="XBK70" s="1"/>
      <c r="XBL70" s="1"/>
      <c r="XBM70" s="1"/>
      <c r="XBN70" s="1"/>
      <c r="XBO70" s="1"/>
      <c r="XBP70" s="1"/>
      <c r="XBQ70" s="1"/>
      <c r="XBR70" s="1"/>
      <c r="XBS70" s="1"/>
      <c r="XBT70" s="1"/>
      <c r="XBU70" s="1"/>
      <c r="XBV70" s="1"/>
      <c r="XBW70" s="1"/>
      <c r="XBX70" s="1"/>
      <c r="XBY70" s="1"/>
      <c r="XBZ70" s="1"/>
      <c r="XCA70" s="1"/>
      <c r="XCB70" s="1"/>
      <c r="XCC70" s="1"/>
      <c r="XCD70" s="1"/>
      <c r="XCE70" s="1"/>
      <c r="XCF70" s="1"/>
      <c r="XCG70" s="1"/>
      <c r="XCH70" s="1"/>
      <c r="XCI70" s="1"/>
      <c r="XCJ70" s="1"/>
      <c r="XCK70" s="1"/>
      <c r="XCL70" s="1"/>
      <c r="XCM70" s="1"/>
      <c r="XCN70" s="1"/>
      <c r="XCO70" s="1"/>
      <c r="XCP70" s="1"/>
      <c r="XCQ70" s="1"/>
      <c r="XCR70" s="1"/>
      <c r="XCS70" s="1"/>
      <c r="XCT70" s="1"/>
      <c r="XCU70" s="1"/>
      <c r="XCV70" s="1"/>
      <c r="XCW70" s="1"/>
      <c r="XCX70" s="1"/>
      <c r="XCY70" s="1"/>
      <c r="XCZ70" s="1"/>
      <c r="XDA70" s="1"/>
      <c r="XDB70" s="1"/>
      <c r="XDC70" s="1"/>
      <c r="XDD70" s="1"/>
      <c r="XDE70" s="1"/>
      <c r="XDF70" s="1"/>
      <c r="XDG70" s="1"/>
      <c r="XDH70" s="1"/>
      <c r="XDI70" s="1"/>
      <c r="XDJ70" s="1"/>
      <c r="XDK70" s="1"/>
      <c r="XDL70" s="1"/>
      <c r="XDM70" s="1"/>
      <c r="XDN70" s="1"/>
      <c r="XDO70" s="1"/>
      <c r="XDP70" s="1"/>
      <c r="XDQ70" s="1"/>
      <c r="XDR70" s="1"/>
      <c r="XDS70" s="1"/>
      <c r="XDT70" s="1"/>
      <c r="XDU70" s="1"/>
      <c r="XDV70" s="1"/>
      <c r="XDW70" s="1"/>
      <c r="XDX70" s="1"/>
      <c r="XDY70" s="1"/>
      <c r="XDZ70" s="1"/>
      <c r="XEA70" s="1"/>
      <c r="XEB70" s="1"/>
      <c r="XEC70" s="1"/>
      <c r="XED70" s="1"/>
      <c r="XEE70" s="1"/>
      <c r="XEF70" s="1"/>
      <c r="XEG70" s="1"/>
      <c r="XEH70" s="1"/>
      <c r="XEI70" s="1"/>
      <c r="XEJ70" s="1"/>
      <c r="XEK70" s="1"/>
      <c r="XEL70" s="1"/>
      <c r="XEM70" s="1"/>
      <c r="XEN70" s="1"/>
      <c r="XEO70" s="1"/>
      <c r="XEP70" s="1"/>
      <c r="XEQ70" s="1"/>
      <c r="XER70" s="1"/>
      <c r="XES70" s="1"/>
      <c r="XET70" s="1"/>
      <c r="XEU70" s="1"/>
      <c r="XEV70" s="1"/>
      <c r="XEW70" s="1"/>
      <c r="XEX70" s="1"/>
      <c r="XEY70" s="1"/>
      <c r="XEZ70" s="1"/>
      <c r="XFA70" s="1"/>
      <c r="XFB70" s="1"/>
      <c r="XFC70" s="1"/>
    </row>
    <row r="71" customHeight="1" spans="1:14">
      <c r="A71" s="122" t="s">
        <v>226</v>
      </c>
      <c r="B71" s="122" t="s">
        <v>542</v>
      </c>
      <c r="C71" s="122" t="s">
        <v>552</v>
      </c>
      <c r="D71" s="122" t="s">
        <v>553</v>
      </c>
      <c r="E71" s="122" t="s">
        <v>554</v>
      </c>
      <c r="F71" s="122" t="s">
        <v>531</v>
      </c>
      <c r="G71" s="122" t="s">
        <v>547</v>
      </c>
      <c r="H71" s="122" t="s">
        <v>548</v>
      </c>
      <c r="I71" s="122" t="s">
        <v>560</v>
      </c>
      <c r="J71" s="122">
        <v>84</v>
      </c>
      <c r="K71" s="122">
        <v>83</v>
      </c>
      <c r="L71" s="122" t="s">
        <v>549</v>
      </c>
      <c r="M71" s="122" t="s">
        <v>550</v>
      </c>
      <c r="N71" s="122" t="s">
        <v>551</v>
      </c>
    </row>
    <row r="72" customHeight="1" spans="1:14">
      <c r="A72" s="122" t="s">
        <v>228</v>
      </c>
      <c r="B72" s="122" t="s">
        <v>542</v>
      </c>
      <c r="C72" s="122" t="s">
        <v>543</v>
      </c>
      <c r="D72" s="122" t="s">
        <v>544</v>
      </c>
      <c r="E72" s="122" t="s">
        <v>568</v>
      </c>
      <c r="F72" s="122" t="s">
        <v>531</v>
      </c>
      <c r="G72" s="122" t="s">
        <v>547</v>
      </c>
      <c r="H72" s="122" t="s">
        <v>548</v>
      </c>
      <c r="I72" s="122" t="s">
        <v>544</v>
      </c>
      <c r="J72" s="122">
        <v>100</v>
      </c>
      <c r="K72" s="122">
        <v>100</v>
      </c>
      <c r="L72" s="122" t="s">
        <v>549</v>
      </c>
      <c r="M72" s="122" t="s">
        <v>550</v>
      </c>
      <c r="N72" s="122" t="s">
        <v>551</v>
      </c>
    </row>
    <row r="73" customHeight="1" spans="1:14">
      <c r="A73" s="122" t="s">
        <v>230</v>
      </c>
      <c r="B73" s="122" t="s">
        <v>542</v>
      </c>
      <c r="C73" s="122" t="s">
        <v>552</v>
      </c>
      <c r="D73" s="122" t="s">
        <v>553</v>
      </c>
      <c r="E73" s="122" t="s">
        <v>554</v>
      </c>
      <c r="F73" s="122" t="s">
        <v>531</v>
      </c>
      <c r="G73" s="122" t="s">
        <v>547</v>
      </c>
      <c r="H73" s="122" t="s">
        <v>548</v>
      </c>
      <c r="I73" s="122" t="s">
        <v>544</v>
      </c>
      <c r="J73" s="122">
        <v>100</v>
      </c>
      <c r="K73" s="122">
        <v>100</v>
      </c>
      <c r="L73" s="122" t="s">
        <v>549</v>
      </c>
      <c r="M73" s="122" t="s">
        <v>550</v>
      </c>
      <c r="N73" s="122" t="s">
        <v>551</v>
      </c>
    </row>
    <row r="74" customHeight="1" spans="1:14">
      <c r="A74" s="122" t="s">
        <v>233</v>
      </c>
      <c r="B74" s="122" t="s">
        <v>542</v>
      </c>
      <c r="C74" s="122" t="s">
        <v>552</v>
      </c>
      <c r="D74" s="122" t="s">
        <v>553</v>
      </c>
      <c r="E74" s="122" t="s">
        <v>554</v>
      </c>
      <c r="F74" s="122" t="s">
        <v>531</v>
      </c>
      <c r="G74" s="122" t="s">
        <v>547</v>
      </c>
      <c r="H74" s="122" t="s">
        <v>548</v>
      </c>
      <c r="I74" s="122" t="s">
        <v>544</v>
      </c>
      <c r="J74" s="122">
        <v>100</v>
      </c>
      <c r="K74" s="122">
        <v>100</v>
      </c>
      <c r="L74" s="122" t="s">
        <v>549</v>
      </c>
      <c r="M74" s="122" t="s">
        <v>550</v>
      </c>
      <c r="N74" s="122" t="s">
        <v>551</v>
      </c>
    </row>
    <row r="75" customHeight="1" spans="1:14">
      <c r="A75" s="122" t="s">
        <v>237</v>
      </c>
      <c r="B75" s="122" t="s">
        <v>542</v>
      </c>
      <c r="C75" s="122" t="s">
        <v>552</v>
      </c>
      <c r="D75" s="122" t="s">
        <v>553</v>
      </c>
      <c r="E75" s="122" t="s">
        <v>554</v>
      </c>
      <c r="F75" s="122" t="s">
        <v>531</v>
      </c>
      <c r="G75" s="122" t="s">
        <v>547</v>
      </c>
      <c r="H75" s="122" t="s">
        <v>548</v>
      </c>
      <c r="I75" s="122" t="s">
        <v>544</v>
      </c>
      <c r="J75" s="122">
        <v>100</v>
      </c>
      <c r="K75" s="122">
        <v>100</v>
      </c>
      <c r="L75" s="122" t="s">
        <v>549</v>
      </c>
      <c r="M75" s="122" t="s">
        <v>550</v>
      </c>
      <c r="N75" s="122" t="s">
        <v>551</v>
      </c>
    </row>
    <row r="76" customHeight="1" spans="1:14">
      <c r="A76" s="122" t="s">
        <v>239</v>
      </c>
      <c r="B76" s="122" t="s">
        <v>542</v>
      </c>
      <c r="C76" s="122" t="s">
        <v>543</v>
      </c>
      <c r="D76" s="122" t="s">
        <v>544</v>
      </c>
      <c r="E76" s="122" t="s">
        <v>568</v>
      </c>
      <c r="F76" s="122" t="s">
        <v>531</v>
      </c>
      <c r="G76" s="122" t="s">
        <v>547</v>
      </c>
      <c r="H76" s="122" t="s">
        <v>548</v>
      </c>
      <c r="I76" s="122" t="s">
        <v>544</v>
      </c>
      <c r="J76" s="122">
        <v>100</v>
      </c>
      <c r="K76" s="122">
        <v>100</v>
      </c>
      <c r="L76" s="122" t="s">
        <v>549</v>
      </c>
      <c r="M76" s="122" t="s">
        <v>550</v>
      </c>
      <c r="N76" s="122" t="s">
        <v>551</v>
      </c>
    </row>
    <row r="77" customHeight="1" spans="1:14">
      <c r="A77" s="122" t="s">
        <v>242</v>
      </c>
      <c r="B77" s="122" t="s">
        <v>542</v>
      </c>
      <c r="C77" s="122" t="s">
        <v>552</v>
      </c>
      <c r="D77" s="122" t="s">
        <v>553</v>
      </c>
      <c r="E77" s="122" t="s">
        <v>554</v>
      </c>
      <c r="F77" s="122" t="s">
        <v>531</v>
      </c>
      <c r="G77" s="122" t="s">
        <v>547</v>
      </c>
      <c r="H77" s="122" t="s">
        <v>548</v>
      </c>
      <c r="I77" s="122" t="s">
        <v>544</v>
      </c>
      <c r="J77" s="122">
        <v>100</v>
      </c>
      <c r="K77" s="122">
        <v>100</v>
      </c>
      <c r="L77" s="122" t="s">
        <v>549</v>
      </c>
      <c r="M77" s="122" t="s">
        <v>550</v>
      </c>
      <c r="N77" s="122" t="s">
        <v>551</v>
      </c>
    </row>
    <row r="78" customHeight="1" spans="1:14">
      <c r="A78" s="122" t="s">
        <v>244</v>
      </c>
      <c r="B78" s="122" t="s">
        <v>542</v>
      </c>
      <c r="C78" s="122" t="s">
        <v>543</v>
      </c>
      <c r="D78" s="122" t="s">
        <v>544</v>
      </c>
      <c r="E78" s="122" t="s">
        <v>568</v>
      </c>
      <c r="F78" s="122" t="s">
        <v>531</v>
      </c>
      <c r="G78" s="122" t="s">
        <v>547</v>
      </c>
      <c r="H78" s="122" t="s">
        <v>548</v>
      </c>
      <c r="I78" s="122" t="s">
        <v>544</v>
      </c>
      <c r="J78" s="122">
        <v>100</v>
      </c>
      <c r="K78" s="122">
        <v>100</v>
      </c>
      <c r="L78" s="122" t="s">
        <v>549</v>
      </c>
      <c r="M78" s="122" t="s">
        <v>550</v>
      </c>
      <c r="N78" s="122" t="s">
        <v>551</v>
      </c>
    </row>
    <row r="79" customHeight="1" spans="1:14">
      <c r="A79" s="122" t="s">
        <v>246</v>
      </c>
      <c r="B79" s="122" t="s">
        <v>542</v>
      </c>
      <c r="C79" s="122" t="s">
        <v>543</v>
      </c>
      <c r="D79" s="122" t="s">
        <v>544</v>
      </c>
      <c r="E79" s="122" t="s">
        <v>568</v>
      </c>
      <c r="F79" s="122" t="s">
        <v>531</v>
      </c>
      <c r="G79" s="122" t="s">
        <v>547</v>
      </c>
      <c r="H79" s="122" t="s">
        <v>548</v>
      </c>
      <c r="I79" s="122" t="s">
        <v>544</v>
      </c>
      <c r="J79" s="122">
        <v>100</v>
      </c>
      <c r="K79" s="122">
        <v>110</v>
      </c>
      <c r="L79" s="122" t="s">
        <v>549</v>
      </c>
      <c r="M79" s="122" t="s">
        <v>550</v>
      </c>
      <c r="N79" s="122" t="s">
        <v>551</v>
      </c>
    </row>
    <row r="80" customHeight="1" spans="1:14">
      <c r="A80" s="122" t="s">
        <v>248</v>
      </c>
      <c r="B80" s="122" t="s">
        <v>542</v>
      </c>
      <c r="C80" s="122" t="s">
        <v>543</v>
      </c>
      <c r="D80" s="122" t="s">
        <v>544</v>
      </c>
      <c r="E80" s="122" t="s">
        <v>568</v>
      </c>
      <c r="F80" s="122" t="s">
        <v>531</v>
      </c>
      <c r="G80" s="122" t="s">
        <v>547</v>
      </c>
      <c r="H80" s="122" t="s">
        <v>548</v>
      </c>
      <c r="I80" s="122" t="s">
        <v>544</v>
      </c>
      <c r="J80" s="122">
        <v>100</v>
      </c>
      <c r="K80" s="122">
        <v>110</v>
      </c>
      <c r="L80" s="122" t="s">
        <v>549</v>
      </c>
      <c r="M80" s="122" t="s">
        <v>550</v>
      </c>
      <c r="N80" s="122" t="s">
        <v>551</v>
      </c>
    </row>
    <row r="81" customHeight="1" spans="1:14">
      <c r="A81" s="122" t="s">
        <v>252</v>
      </c>
      <c r="B81" s="122" t="s">
        <v>542</v>
      </c>
      <c r="C81" s="122" t="s">
        <v>543</v>
      </c>
      <c r="D81" s="122" t="s">
        <v>544</v>
      </c>
      <c r="E81" s="122" t="s">
        <v>568</v>
      </c>
      <c r="F81" s="122" t="s">
        <v>531</v>
      </c>
      <c r="G81" s="122" t="s">
        <v>547</v>
      </c>
      <c r="H81" s="122" t="s">
        <v>548</v>
      </c>
      <c r="I81" s="122" t="s">
        <v>544</v>
      </c>
      <c r="J81" s="122">
        <v>100</v>
      </c>
      <c r="K81" s="122">
        <v>100</v>
      </c>
      <c r="L81" s="122" t="s">
        <v>549</v>
      </c>
      <c r="M81" s="122" t="s">
        <v>550</v>
      </c>
      <c r="N81" s="122" t="s">
        <v>551</v>
      </c>
    </row>
    <row r="82" customHeight="1" spans="1:14">
      <c r="A82" s="122" t="s">
        <v>257</v>
      </c>
      <c r="B82" s="122" t="s">
        <v>542</v>
      </c>
      <c r="C82" s="122" t="s">
        <v>543</v>
      </c>
      <c r="D82" s="122" t="s">
        <v>544</v>
      </c>
      <c r="E82" s="122" t="s">
        <v>568</v>
      </c>
      <c r="F82" s="122" t="s">
        <v>531</v>
      </c>
      <c r="G82" s="122" t="s">
        <v>547</v>
      </c>
      <c r="H82" s="122" t="s">
        <v>548</v>
      </c>
      <c r="I82" s="122" t="s">
        <v>544</v>
      </c>
      <c r="J82" s="122">
        <v>100</v>
      </c>
      <c r="K82" s="122">
        <v>100</v>
      </c>
      <c r="L82" s="122" t="s">
        <v>549</v>
      </c>
      <c r="M82" s="122" t="s">
        <v>550</v>
      </c>
      <c r="N82" s="122" t="s">
        <v>551</v>
      </c>
    </row>
    <row r="83" customHeight="1" spans="1:14">
      <c r="A83" s="122" t="s">
        <v>259</v>
      </c>
      <c r="B83" s="122" t="s">
        <v>542</v>
      </c>
      <c r="C83" s="122" t="s">
        <v>543</v>
      </c>
      <c r="D83" s="122" t="s">
        <v>544</v>
      </c>
      <c r="E83" s="122" t="s">
        <v>568</v>
      </c>
      <c r="F83" s="122" t="s">
        <v>531</v>
      </c>
      <c r="G83" s="122" t="s">
        <v>547</v>
      </c>
      <c r="H83" s="122" t="s">
        <v>548</v>
      </c>
      <c r="I83" s="122" t="s">
        <v>544</v>
      </c>
      <c r="J83" s="122">
        <v>100</v>
      </c>
      <c r="K83" s="122">
        <v>100</v>
      </c>
      <c r="L83" s="122" t="s">
        <v>549</v>
      </c>
      <c r="M83" s="122" t="s">
        <v>550</v>
      </c>
      <c r="N83" s="122" t="s">
        <v>551</v>
      </c>
    </row>
    <row r="84" customHeight="1" spans="1:14">
      <c r="A84" s="122" t="s">
        <v>261</v>
      </c>
      <c r="B84" s="122" t="s">
        <v>542</v>
      </c>
      <c r="C84" s="122" t="s">
        <v>543</v>
      </c>
      <c r="D84" s="122" t="s">
        <v>544</v>
      </c>
      <c r="E84" s="122" t="s">
        <v>568</v>
      </c>
      <c r="F84" s="122" t="s">
        <v>531</v>
      </c>
      <c r="G84" s="122" t="s">
        <v>547</v>
      </c>
      <c r="H84" s="122" t="s">
        <v>548</v>
      </c>
      <c r="I84" s="122" t="s">
        <v>544</v>
      </c>
      <c r="J84" s="122">
        <v>100</v>
      </c>
      <c r="K84" s="122">
        <v>100</v>
      </c>
      <c r="L84" s="122" t="s">
        <v>549</v>
      </c>
      <c r="M84" s="122" t="s">
        <v>550</v>
      </c>
      <c r="N84" s="122" t="s">
        <v>551</v>
      </c>
    </row>
    <row r="85" customHeight="1" spans="1:14">
      <c r="A85" s="122" t="s">
        <v>264</v>
      </c>
      <c r="B85" s="122" t="s">
        <v>542</v>
      </c>
      <c r="C85" s="122" t="s">
        <v>543</v>
      </c>
      <c r="D85" s="122" t="s">
        <v>544</v>
      </c>
      <c r="E85" s="122" t="s">
        <v>568</v>
      </c>
      <c r="F85" s="122" t="s">
        <v>531</v>
      </c>
      <c r="G85" s="122" t="s">
        <v>547</v>
      </c>
      <c r="H85" s="122" t="s">
        <v>561</v>
      </c>
      <c r="I85" s="122" t="s">
        <v>557</v>
      </c>
      <c r="J85" s="122">
        <v>135</v>
      </c>
      <c r="K85" s="122">
        <v>135</v>
      </c>
      <c r="L85" s="122" t="s">
        <v>562</v>
      </c>
      <c r="M85" s="122" t="s">
        <v>550</v>
      </c>
      <c r="N85" s="122" t="s">
        <v>551</v>
      </c>
    </row>
    <row r="86" customHeight="1" spans="1:14">
      <c r="A86" s="122" t="s">
        <v>266</v>
      </c>
      <c r="B86" s="122" t="s">
        <v>542</v>
      </c>
      <c r="C86" s="122" t="s">
        <v>543</v>
      </c>
      <c r="D86" s="122" t="s">
        <v>544</v>
      </c>
      <c r="E86" s="122" t="s">
        <v>568</v>
      </c>
      <c r="F86" s="122" t="s">
        <v>531</v>
      </c>
      <c r="G86" s="122" t="s">
        <v>547</v>
      </c>
      <c r="H86" s="122" t="s">
        <v>548</v>
      </c>
      <c r="I86" s="122" t="s">
        <v>544</v>
      </c>
      <c r="J86" s="122">
        <v>100</v>
      </c>
      <c r="K86" s="122">
        <v>100</v>
      </c>
      <c r="L86" s="122" t="s">
        <v>549</v>
      </c>
      <c r="M86" s="122" t="s">
        <v>550</v>
      </c>
      <c r="N86" s="122" t="s">
        <v>551</v>
      </c>
    </row>
    <row r="87" customHeight="1" spans="1:14">
      <c r="A87" s="122" t="s">
        <v>268</v>
      </c>
      <c r="B87" s="122" t="s">
        <v>542</v>
      </c>
      <c r="C87" s="122" t="s">
        <v>552</v>
      </c>
      <c r="D87" s="122" t="s">
        <v>553</v>
      </c>
      <c r="E87" s="122" t="s">
        <v>554</v>
      </c>
      <c r="F87" s="122" t="s">
        <v>531</v>
      </c>
      <c r="G87" s="122" t="s">
        <v>547</v>
      </c>
      <c r="H87" s="122" t="s">
        <v>548</v>
      </c>
      <c r="I87" s="122" t="s">
        <v>544</v>
      </c>
      <c r="J87" s="122">
        <v>100</v>
      </c>
      <c r="K87" s="122">
        <v>100</v>
      </c>
      <c r="L87" s="122" t="s">
        <v>549</v>
      </c>
      <c r="M87" s="122" t="s">
        <v>550</v>
      </c>
      <c r="N87" s="122" t="s">
        <v>551</v>
      </c>
    </row>
    <row r="88" customHeight="1" spans="1:14">
      <c r="A88" s="122" t="s">
        <v>270</v>
      </c>
      <c r="B88" s="122" t="s">
        <v>542</v>
      </c>
      <c r="C88" s="122" t="s">
        <v>552</v>
      </c>
      <c r="D88" s="122" t="s">
        <v>553</v>
      </c>
      <c r="E88" s="122" t="s">
        <v>554</v>
      </c>
      <c r="F88" s="122" t="s">
        <v>531</v>
      </c>
      <c r="G88" s="122" t="s">
        <v>547</v>
      </c>
      <c r="H88" s="122" t="s">
        <v>548</v>
      </c>
      <c r="I88" s="122" t="s">
        <v>544</v>
      </c>
      <c r="J88" s="122">
        <v>100</v>
      </c>
      <c r="K88" s="122">
        <v>100</v>
      </c>
      <c r="L88" s="122" t="s">
        <v>549</v>
      </c>
      <c r="M88" s="122" t="s">
        <v>550</v>
      </c>
      <c r="N88" s="122" t="s">
        <v>551</v>
      </c>
    </row>
    <row r="89" customHeight="1" spans="1:14">
      <c r="A89" s="122" t="s">
        <v>272</v>
      </c>
      <c r="B89" s="122" t="s">
        <v>542</v>
      </c>
      <c r="C89" s="122" t="s">
        <v>552</v>
      </c>
      <c r="D89" s="122" t="s">
        <v>553</v>
      </c>
      <c r="E89" s="122" t="s">
        <v>554</v>
      </c>
      <c r="F89" s="122" t="s">
        <v>531</v>
      </c>
      <c r="G89" s="122" t="s">
        <v>547</v>
      </c>
      <c r="H89" s="122" t="s">
        <v>548</v>
      </c>
      <c r="I89" s="122" t="s">
        <v>544</v>
      </c>
      <c r="J89" s="122">
        <v>100</v>
      </c>
      <c r="K89" s="122">
        <v>100</v>
      </c>
      <c r="L89" s="122" t="s">
        <v>549</v>
      </c>
      <c r="M89" s="122" t="s">
        <v>550</v>
      </c>
      <c r="N89" s="122" t="s">
        <v>551</v>
      </c>
    </row>
    <row r="90" customHeight="1" spans="1:14">
      <c r="A90" s="122" t="s">
        <v>275</v>
      </c>
      <c r="B90" s="122" t="s">
        <v>542</v>
      </c>
      <c r="C90" s="122" t="s">
        <v>552</v>
      </c>
      <c r="D90" s="122" t="s">
        <v>553</v>
      </c>
      <c r="E90" s="122" t="s">
        <v>554</v>
      </c>
      <c r="F90" s="122" t="s">
        <v>531</v>
      </c>
      <c r="G90" s="122" t="s">
        <v>547</v>
      </c>
      <c r="H90" s="122" t="s">
        <v>548</v>
      </c>
      <c r="I90" s="122" t="s">
        <v>560</v>
      </c>
      <c r="J90" s="122">
        <v>84</v>
      </c>
      <c r="K90" s="122">
        <v>83</v>
      </c>
      <c r="L90" s="122" t="s">
        <v>549</v>
      </c>
      <c r="M90" s="122" t="s">
        <v>550</v>
      </c>
      <c r="N90" s="122" t="s">
        <v>551</v>
      </c>
    </row>
    <row r="91" customHeight="1" spans="1:14">
      <c r="A91" s="122" t="s">
        <v>276</v>
      </c>
      <c r="B91" s="122" t="s">
        <v>542</v>
      </c>
      <c r="C91" s="122" t="s">
        <v>543</v>
      </c>
      <c r="D91" s="122" t="s">
        <v>544</v>
      </c>
      <c r="E91" s="122" t="s">
        <v>568</v>
      </c>
      <c r="F91" s="122" t="s">
        <v>531</v>
      </c>
      <c r="G91" s="122" t="s">
        <v>547</v>
      </c>
      <c r="H91" s="122" t="s">
        <v>548</v>
      </c>
      <c r="I91" s="122" t="s">
        <v>544</v>
      </c>
      <c r="J91" s="122">
        <v>100</v>
      </c>
      <c r="K91" s="122">
        <v>100</v>
      </c>
      <c r="L91" s="122" t="s">
        <v>549</v>
      </c>
      <c r="M91" s="122" t="s">
        <v>550</v>
      </c>
      <c r="N91" s="122" t="s">
        <v>551</v>
      </c>
    </row>
    <row r="92" customHeight="1" spans="1:14">
      <c r="A92" s="122" t="s">
        <v>278</v>
      </c>
      <c r="B92" s="122" t="s">
        <v>542</v>
      </c>
      <c r="C92" s="122" t="s">
        <v>556</v>
      </c>
      <c r="D92" s="122" t="s">
        <v>557</v>
      </c>
      <c r="E92" s="122" t="s">
        <v>558</v>
      </c>
      <c r="F92" s="122" t="s">
        <v>531</v>
      </c>
      <c r="G92" s="122" t="s">
        <v>547</v>
      </c>
      <c r="H92" s="122" t="s">
        <v>561</v>
      </c>
      <c r="I92" s="122" t="s">
        <v>557</v>
      </c>
      <c r="J92" s="122">
        <v>135</v>
      </c>
      <c r="K92" s="122">
        <v>135</v>
      </c>
      <c r="L92" s="122" t="s">
        <v>562</v>
      </c>
      <c r="M92" s="122" t="s">
        <v>550</v>
      </c>
      <c r="N92" s="122" t="s">
        <v>551</v>
      </c>
    </row>
    <row r="93" s="3" customFormat="1" customHeight="1" spans="1:16384">
      <c r="A93" s="122" t="s">
        <v>281</v>
      </c>
      <c r="B93" s="122" t="s">
        <v>542</v>
      </c>
      <c r="C93" s="122" t="s">
        <v>543</v>
      </c>
      <c r="D93" s="122" t="s">
        <v>544</v>
      </c>
      <c r="E93" s="122" t="s">
        <v>568</v>
      </c>
      <c r="F93" s="122" t="s">
        <v>531</v>
      </c>
      <c r="G93" s="122" t="s">
        <v>547</v>
      </c>
      <c r="H93" s="122" t="s">
        <v>548</v>
      </c>
      <c r="I93" s="122" t="s">
        <v>544</v>
      </c>
      <c r="J93" s="122">
        <v>100</v>
      </c>
      <c r="K93" s="122">
        <v>100</v>
      </c>
      <c r="L93" s="122" t="s">
        <v>549</v>
      </c>
      <c r="M93" s="122" t="s">
        <v>550</v>
      </c>
      <c r="N93" s="122" t="s">
        <v>551</v>
      </c>
      <c r="XFD93"/>
    </row>
    <row r="94" s="3" customFormat="1" customHeight="1" spans="1:16384">
      <c r="A94" s="122" t="s">
        <v>283</v>
      </c>
      <c r="B94" s="122" t="s">
        <v>542</v>
      </c>
      <c r="C94" s="122" t="s">
        <v>543</v>
      </c>
      <c r="D94" s="122" t="s">
        <v>544</v>
      </c>
      <c r="E94" s="122" t="s">
        <v>568</v>
      </c>
      <c r="F94" s="122" t="s">
        <v>563</v>
      </c>
      <c r="G94" s="122" t="s">
        <v>547</v>
      </c>
      <c r="H94" s="122" t="s">
        <v>548</v>
      </c>
      <c r="I94" s="122" t="s">
        <v>553</v>
      </c>
      <c r="J94" s="122">
        <v>100</v>
      </c>
      <c r="K94" s="122">
        <v>105</v>
      </c>
      <c r="L94" s="122" t="s">
        <v>549</v>
      </c>
      <c r="M94" s="122" t="s">
        <v>550</v>
      </c>
      <c r="N94" s="122" t="s">
        <v>551</v>
      </c>
      <c r="XFD94"/>
    </row>
    <row r="95" s="3" customFormat="1" customHeight="1" spans="1:16384">
      <c r="A95" s="122" t="s">
        <v>284</v>
      </c>
      <c r="B95" s="122" t="s">
        <v>542</v>
      </c>
      <c r="C95" s="122" t="s">
        <v>552</v>
      </c>
      <c r="D95" s="122" t="s">
        <v>553</v>
      </c>
      <c r="E95" s="122" t="s">
        <v>554</v>
      </c>
      <c r="F95" s="122" t="s">
        <v>531</v>
      </c>
      <c r="G95" s="122" t="s">
        <v>547</v>
      </c>
      <c r="H95" s="122" t="s">
        <v>548</v>
      </c>
      <c r="I95" s="122" t="s">
        <v>553</v>
      </c>
      <c r="J95" s="122">
        <v>96</v>
      </c>
      <c r="K95" s="122">
        <v>110</v>
      </c>
      <c r="L95" s="122" t="s">
        <v>549</v>
      </c>
      <c r="M95" s="122" t="s">
        <v>550</v>
      </c>
      <c r="N95" s="122" t="s">
        <v>551</v>
      </c>
      <c r="XFD95"/>
    </row>
    <row r="96" customHeight="1" spans="1:14">
      <c r="A96" s="25" t="s">
        <v>287</v>
      </c>
      <c r="B96" s="122" t="s">
        <v>542</v>
      </c>
      <c r="C96" s="122" t="s">
        <v>543</v>
      </c>
      <c r="D96" s="122" t="s">
        <v>544</v>
      </c>
      <c r="E96" s="122" t="s">
        <v>568</v>
      </c>
      <c r="F96" s="122" t="s">
        <v>546</v>
      </c>
      <c r="G96" s="122" t="s">
        <v>547</v>
      </c>
      <c r="H96" s="122" t="s">
        <v>548</v>
      </c>
      <c r="I96" s="122" t="s">
        <v>544</v>
      </c>
      <c r="J96" s="122">
        <v>100</v>
      </c>
      <c r="K96" s="122">
        <v>110</v>
      </c>
      <c r="L96" s="122" t="s">
        <v>549</v>
      </c>
      <c r="M96" s="122" t="s">
        <v>550</v>
      </c>
      <c r="N96" s="122" t="s">
        <v>551</v>
      </c>
    </row>
    <row r="97" customHeight="1" spans="1:14">
      <c r="A97" s="25" t="s">
        <v>291</v>
      </c>
      <c r="B97" s="122" t="s">
        <v>542</v>
      </c>
      <c r="C97" s="122" t="s">
        <v>543</v>
      </c>
      <c r="D97" s="122" t="s">
        <v>544</v>
      </c>
      <c r="E97" s="122" t="s">
        <v>568</v>
      </c>
      <c r="F97" s="122" t="s">
        <v>531</v>
      </c>
      <c r="G97" s="122" t="s">
        <v>547</v>
      </c>
      <c r="H97" s="122" t="s">
        <v>548</v>
      </c>
      <c r="I97" s="122" t="s">
        <v>544</v>
      </c>
      <c r="J97" s="122">
        <v>100</v>
      </c>
      <c r="K97" s="122">
        <v>100</v>
      </c>
      <c r="L97" s="122" t="s">
        <v>549</v>
      </c>
      <c r="M97" s="122" t="s">
        <v>550</v>
      </c>
      <c r="N97" s="122" t="s">
        <v>551</v>
      </c>
    </row>
    <row r="98" customHeight="1" spans="1:14">
      <c r="A98" s="25" t="s">
        <v>292</v>
      </c>
      <c r="B98" s="122" t="s">
        <v>542</v>
      </c>
      <c r="C98" s="122" t="s">
        <v>543</v>
      </c>
      <c r="D98" s="122" t="s">
        <v>544</v>
      </c>
      <c r="E98" s="122" t="s">
        <v>568</v>
      </c>
      <c r="F98" s="122" t="s">
        <v>546</v>
      </c>
      <c r="G98" s="122" t="s">
        <v>547</v>
      </c>
      <c r="H98" s="122" t="s">
        <v>548</v>
      </c>
      <c r="I98" s="122" t="s">
        <v>544</v>
      </c>
      <c r="J98" s="122">
        <v>100</v>
      </c>
      <c r="K98" s="122">
        <v>100</v>
      </c>
      <c r="L98" s="122" t="s">
        <v>549</v>
      </c>
      <c r="M98" s="122" t="s">
        <v>550</v>
      </c>
      <c r="N98" s="122" t="s">
        <v>551</v>
      </c>
    </row>
    <row r="99" customHeight="1" spans="1:14">
      <c r="A99" s="25" t="s">
        <v>293</v>
      </c>
      <c r="B99" s="122" t="s">
        <v>542</v>
      </c>
      <c r="C99" s="122" t="s">
        <v>543</v>
      </c>
      <c r="D99" s="122" t="s">
        <v>544</v>
      </c>
      <c r="E99" s="122" t="s">
        <v>568</v>
      </c>
      <c r="F99" s="122" t="s">
        <v>531</v>
      </c>
      <c r="G99" s="122" t="s">
        <v>547</v>
      </c>
      <c r="H99" s="122" t="s">
        <v>548</v>
      </c>
      <c r="I99" s="122" t="s">
        <v>544</v>
      </c>
      <c r="J99" s="122">
        <v>100</v>
      </c>
      <c r="K99" s="122">
        <v>100</v>
      </c>
      <c r="L99" s="122" t="s">
        <v>549</v>
      </c>
      <c r="M99" s="122" t="s">
        <v>550</v>
      </c>
      <c r="N99" s="122" t="s">
        <v>551</v>
      </c>
    </row>
    <row r="100" customHeight="1" spans="1:14">
      <c r="A100" s="25" t="s">
        <v>296</v>
      </c>
      <c r="B100" s="122" t="s">
        <v>542</v>
      </c>
      <c r="C100" s="122" t="s">
        <v>543</v>
      </c>
      <c r="D100" s="122" t="s">
        <v>544</v>
      </c>
      <c r="E100" s="122" t="s">
        <v>568</v>
      </c>
      <c r="F100" s="122" t="s">
        <v>531</v>
      </c>
      <c r="G100" s="122" t="s">
        <v>547</v>
      </c>
      <c r="H100" s="122" t="s">
        <v>548</v>
      </c>
      <c r="I100" s="122" t="s">
        <v>544</v>
      </c>
      <c r="J100" s="122">
        <v>100</v>
      </c>
      <c r="K100" s="122">
        <v>110</v>
      </c>
      <c r="L100" s="122" t="s">
        <v>549</v>
      </c>
      <c r="M100" s="122" t="s">
        <v>550</v>
      </c>
      <c r="N100" s="122" t="s">
        <v>551</v>
      </c>
    </row>
    <row r="101" customHeight="1" spans="1:14">
      <c r="A101" s="25" t="s">
        <v>298</v>
      </c>
      <c r="B101" s="122" t="s">
        <v>542</v>
      </c>
      <c r="C101" s="122" t="s">
        <v>543</v>
      </c>
      <c r="D101" s="122" t="s">
        <v>544</v>
      </c>
      <c r="E101" s="122" t="s">
        <v>568</v>
      </c>
      <c r="F101" s="122" t="s">
        <v>531</v>
      </c>
      <c r="G101" s="122" t="s">
        <v>547</v>
      </c>
      <c r="H101" s="122" t="s">
        <v>548</v>
      </c>
      <c r="I101" s="122" t="s">
        <v>544</v>
      </c>
      <c r="J101" s="122">
        <v>100</v>
      </c>
      <c r="K101" s="122">
        <v>100</v>
      </c>
      <c r="L101" s="122" t="s">
        <v>549</v>
      </c>
      <c r="M101" s="122" t="s">
        <v>550</v>
      </c>
      <c r="N101" s="122" t="s">
        <v>551</v>
      </c>
    </row>
    <row r="102" customHeight="1" spans="1:14">
      <c r="A102" s="25" t="s">
        <v>299</v>
      </c>
      <c r="B102" s="122" t="s">
        <v>542</v>
      </c>
      <c r="C102" s="122" t="s">
        <v>543</v>
      </c>
      <c r="D102" s="122" t="s">
        <v>544</v>
      </c>
      <c r="E102" s="122" t="s">
        <v>568</v>
      </c>
      <c r="F102" s="122" t="s">
        <v>531</v>
      </c>
      <c r="G102" s="122" t="s">
        <v>547</v>
      </c>
      <c r="H102" s="122" t="s">
        <v>548</v>
      </c>
      <c r="I102" s="122" t="s">
        <v>544</v>
      </c>
      <c r="J102" s="122">
        <v>100</v>
      </c>
      <c r="K102" s="122">
        <v>100</v>
      </c>
      <c r="L102" s="122" t="s">
        <v>549</v>
      </c>
      <c r="M102" s="122" t="s">
        <v>550</v>
      </c>
      <c r="N102" s="122" t="s">
        <v>551</v>
      </c>
    </row>
    <row r="103" customFormat="1" customHeight="1" spans="1:16383">
      <c r="A103" s="25" t="s">
        <v>300</v>
      </c>
      <c r="B103" s="122" t="s">
        <v>542</v>
      </c>
      <c r="C103" s="122" t="s">
        <v>543</v>
      </c>
      <c r="D103" s="122" t="s">
        <v>544</v>
      </c>
      <c r="E103" s="122" t="s">
        <v>568</v>
      </c>
      <c r="F103" s="122" t="s">
        <v>546</v>
      </c>
      <c r="G103" s="122" t="s">
        <v>547</v>
      </c>
      <c r="H103" s="122" t="s">
        <v>548</v>
      </c>
      <c r="I103" s="122" t="s">
        <v>544</v>
      </c>
      <c r="J103" s="122">
        <v>100</v>
      </c>
      <c r="K103" s="122">
        <v>100</v>
      </c>
      <c r="L103" s="122" t="s">
        <v>549</v>
      </c>
      <c r="M103" s="122" t="s">
        <v>550</v>
      </c>
      <c r="N103" s="122" t="s">
        <v>551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  <c r="AQF103" s="3"/>
      <c r="AQG103" s="3"/>
      <c r="AQH103" s="3"/>
      <c r="AQI103" s="3"/>
      <c r="AQJ103" s="3"/>
      <c r="AQK103" s="3"/>
      <c r="AQL103" s="3"/>
      <c r="AQM103" s="3"/>
      <c r="AQN103" s="3"/>
      <c r="AQO103" s="3"/>
      <c r="AQP103" s="3"/>
      <c r="AQQ103" s="3"/>
      <c r="AQR103" s="3"/>
      <c r="AQS103" s="3"/>
      <c r="AQT103" s="3"/>
      <c r="AQU103" s="3"/>
      <c r="AQV103" s="3"/>
      <c r="AQW103" s="3"/>
      <c r="AQX103" s="3"/>
      <c r="AQY103" s="3"/>
      <c r="AQZ103" s="3"/>
      <c r="ARA103" s="3"/>
      <c r="ARB103" s="3"/>
      <c r="ARC103" s="3"/>
      <c r="ARD103" s="3"/>
      <c r="ARE103" s="3"/>
      <c r="ARF103" s="3"/>
      <c r="ARG103" s="3"/>
      <c r="ARH103" s="3"/>
      <c r="ARI103" s="3"/>
      <c r="ARJ103" s="3"/>
      <c r="ARK103" s="3"/>
      <c r="ARL103" s="3"/>
      <c r="ARM103" s="3"/>
      <c r="ARN103" s="3"/>
      <c r="ARO103" s="3"/>
      <c r="ARP103" s="3"/>
      <c r="ARQ103" s="3"/>
      <c r="ARR103" s="3"/>
      <c r="ARS103" s="3"/>
      <c r="ART103" s="3"/>
      <c r="ARU103" s="3"/>
      <c r="ARV103" s="3"/>
      <c r="ARW103" s="3"/>
      <c r="ARX103" s="3"/>
      <c r="ARY103" s="3"/>
      <c r="ARZ103" s="3"/>
      <c r="ASA103" s="3"/>
      <c r="ASB103" s="3"/>
      <c r="ASC103" s="3"/>
      <c r="ASD103" s="3"/>
      <c r="ASE103" s="3"/>
      <c r="ASF103" s="3"/>
      <c r="ASG103" s="3"/>
      <c r="ASH103" s="3"/>
      <c r="ASI103" s="3"/>
      <c r="ASJ103" s="3"/>
      <c r="ASK103" s="3"/>
      <c r="ASL103" s="3"/>
      <c r="ASM103" s="3"/>
      <c r="ASN103" s="3"/>
      <c r="ASO103" s="3"/>
      <c r="ASP103" s="3"/>
      <c r="ASQ103" s="3"/>
      <c r="ASR103" s="3"/>
      <c r="ASS103" s="3"/>
      <c r="AST103" s="3"/>
      <c r="ASU103" s="3"/>
      <c r="ASV103" s="3"/>
      <c r="ASW103" s="3"/>
      <c r="ASX103" s="3"/>
      <c r="ASY103" s="3"/>
      <c r="ASZ103" s="3"/>
      <c r="ATA103" s="3"/>
      <c r="ATB103" s="3"/>
      <c r="ATC103" s="3"/>
      <c r="ATD103" s="3"/>
      <c r="ATE103" s="3"/>
      <c r="ATF103" s="3"/>
      <c r="ATG103" s="3"/>
      <c r="ATH103" s="3"/>
      <c r="ATI103" s="3"/>
      <c r="ATJ103" s="3"/>
      <c r="ATK103" s="3"/>
      <c r="ATL103" s="3"/>
      <c r="ATM103" s="3"/>
      <c r="ATN103" s="3"/>
      <c r="ATO103" s="3"/>
      <c r="ATP103" s="3"/>
      <c r="ATQ103" s="3"/>
      <c r="ATR103" s="3"/>
      <c r="ATS103" s="3"/>
      <c r="ATT103" s="3"/>
      <c r="ATU103" s="3"/>
      <c r="ATV103" s="3"/>
      <c r="ATW103" s="3"/>
      <c r="ATX103" s="3"/>
      <c r="ATY103" s="3"/>
      <c r="ATZ103" s="3"/>
      <c r="AUA103" s="3"/>
      <c r="AUB103" s="3"/>
      <c r="AUC103" s="3"/>
      <c r="AUD103" s="3"/>
      <c r="AUE103" s="3"/>
      <c r="AUF103" s="3"/>
      <c r="AUG103" s="3"/>
      <c r="AUH103" s="3"/>
      <c r="AUI103" s="3"/>
      <c r="AUJ103" s="3"/>
      <c r="AUK103" s="3"/>
      <c r="AUL103" s="3"/>
      <c r="AUM103" s="3"/>
      <c r="AUN103" s="3"/>
      <c r="AUO103" s="3"/>
      <c r="AUP103" s="3"/>
      <c r="AUQ103" s="3"/>
      <c r="AUR103" s="3"/>
      <c r="AUS103" s="3"/>
      <c r="AUT103" s="3"/>
      <c r="AUU103" s="3"/>
      <c r="AUV103" s="3"/>
      <c r="AUW103" s="3"/>
      <c r="AUX103" s="3"/>
      <c r="AUY103" s="3"/>
      <c r="AUZ103" s="3"/>
      <c r="AVA103" s="3"/>
      <c r="AVB103" s="3"/>
      <c r="AVC103" s="3"/>
      <c r="AVD103" s="3"/>
      <c r="AVE103" s="3"/>
      <c r="AVF103" s="3"/>
      <c r="AVG103" s="3"/>
      <c r="AVH103" s="3"/>
      <c r="AVI103" s="3"/>
      <c r="AVJ103" s="3"/>
      <c r="AVK103" s="3"/>
      <c r="AVL103" s="3"/>
      <c r="AVM103" s="3"/>
      <c r="AVN103" s="3"/>
      <c r="AVO103" s="3"/>
      <c r="AVP103" s="3"/>
      <c r="AVQ103" s="3"/>
      <c r="AVR103" s="3"/>
      <c r="AVS103" s="3"/>
      <c r="AVT103" s="3"/>
      <c r="AVU103" s="3"/>
      <c r="AVV103" s="3"/>
      <c r="AVW103" s="3"/>
      <c r="AVX103" s="3"/>
      <c r="AVY103" s="3"/>
      <c r="AVZ103" s="3"/>
      <c r="AWA103" s="3"/>
      <c r="AWB103" s="3"/>
      <c r="AWC103" s="3"/>
      <c r="AWD103" s="3"/>
      <c r="AWE103" s="3"/>
      <c r="AWF103" s="3"/>
      <c r="AWG103" s="3"/>
      <c r="AWH103" s="3"/>
      <c r="AWI103" s="3"/>
      <c r="AWJ103" s="3"/>
      <c r="AWK103" s="3"/>
      <c r="AWL103" s="3"/>
      <c r="AWM103" s="3"/>
      <c r="AWN103" s="3"/>
      <c r="AWO103" s="3"/>
      <c r="AWP103" s="3"/>
      <c r="AWQ103" s="3"/>
      <c r="AWR103" s="3"/>
      <c r="AWS103" s="3"/>
      <c r="AWT103" s="3"/>
      <c r="AWU103" s="3"/>
      <c r="AWV103" s="3"/>
      <c r="AWW103" s="3"/>
      <c r="AWX103" s="3"/>
      <c r="AWY103" s="3"/>
      <c r="AWZ103" s="3"/>
      <c r="AXA103" s="3"/>
      <c r="AXB103" s="3"/>
      <c r="AXC103" s="3"/>
      <c r="AXD103" s="3"/>
      <c r="AXE103" s="3"/>
      <c r="AXF103" s="3"/>
      <c r="AXG103" s="3"/>
      <c r="AXH103" s="3"/>
      <c r="AXI103" s="3"/>
      <c r="AXJ103" s="3"/>
      <c r="AXK103" s="3"/>
      <c r="AXL103" s="3"/>
      <c r="AXM103" s="3"/>
      <c r="AXN103" s="3"/>
      <c r="AXO103" s="3"/>
      <c r="AXP103" s="3"/>
      <c r="AXQ103" s="3"/>
      <c r="AXR103" s="3"/>
      <c r="AXS103" s="3"/>
      <c r="AXT103" s="3"/>
      <c r="AXU103" s="3"/>
      <c r="AXV103" s="3"/>
      <c r="AXW103" s="3"/>
      <c r="AXX103" s="3"/>
      <c r="AXY103" s="3"/>
      <c r="AXZ103" s="3"/>
      <c r="AYA103" s="3"/>
      <c r="AYB103" s="3"/>
      <c r="AYC103" s="3"/>
      <c r="AYD103" s="3"/>
      <c r="AYE103" s="3"/>
      <c r="AYF103" s="3"/>
      <c r="AYG103" s="3"/>
      <c r="AYH103" s="3"/>
      <c r="AYI103" s="3"/>
      <c r="AYJ103" s="3"/>
      <c r="AYK103" s="3"/>
      <c r="AYL103" s="3"/>
      <c r="AYM103" s="3"/>
      <c r="AYN103" s="3"/>
      <c r="AYO103" s="3"/>
      <c r="AYP103" s="3"/>
      <c r="AYQ103" s="3"/>
      <c r="AYR103" s="3"/>
      <c r="AYS103" s="3"/>
      <c r="AYT103" s="3"/>
      <c r="AYU103" s="3"/>
      <c r="AYV103" s="3"/>
      <c r="AYW103" s="3"/>
      <c r="AYX103" s="3"/>
      <c r="AYY103" s="3"/>
      <c r="AYZ103" s="3"/>
      <c r="AZA103" s="3"/>
      <c r="AZB103" s="3"/>
      <c r="AZC103" s="3"/>
      <c r="AZD103" s="3"/>
      <c r="AZE103" s="3"/>
      <c r="AZF103" s="3"/>
      <c r="AZG103" s="3"/>
      <c r="AZH103" s="3"/>
      <c r="AZI103" s="3"/>
      <c r="AZJ103" s="3"/>
      <c r="AZK103" s="3"/>
      <c r="AZL103" s="3"/>
      <c r="AZM103" s="3"/>
      <c r="AZN103" s="3"/>
      <c r="AZO103" s="3"/>
      <c r="AZP103" s="3"/>
      <c r="AZQ103" s="3"/>
      <c r="AZR103" s="3"/>
      <c r="AZS103" s="3"/>
      <c r="AZT103" s="3"/>
      <c r="AZU103" s="3"/>
      <c r="AZV103" s="3"/>
      <c r="AZW103" s="3"/>
      <c r="AZX103" s="3"/>
      <c r="AZY103" s="3"/>
      <c r="AZZ103" s="3"/>
      <c r="BAA103" s="3"/>
      <c r="BAB103" s="3"/>
      <c r="BAC103" s="3"/>
      <c r="BAD103" s="3"/>
      <c r="BAE103" s="3"/>
      <c r="BAF103" s="3"/>
      <c r="BAG103" s="3"/>
      <c r="BAH103" s="3"/>
      <c r="BAI103" s="3"/>
      <c r="BAJ103" s="3"/>
      <c r="BAK103" s="3"/>
      <c r="BAL103" s="3"/>
      <c r="BAM103" s="3"/>
      <c r="BAN103" s="3"/>
      <c r="BAO103" s="3"/>
      <c r="BAP103" s="3"/>
      <c r="BAQ103" s="3"/>
      <c r="BAR103" s="3"/>
      <c r="BAS103" s="3"/>
      <c r="BAT103" s="3"/>
      <c r="BAU103" s="3"/>
      <c r="BAV103" s="3"/>
      <c r="BAW103" s="3"/>
      <c r="BAX103" s="3"/>
      <c r="BAY103" s="3"/>
      <c r="BAZ103" s="3"/>
      <c r="BBA103" s="3"/>
      <c r="BBB103" s="3"/>
      <c r="BBC103" s="3"/>
      <c r="BBD103" s="3"/>
      <c r="BBE103" s="3"/>
      <c r="BBF103" s="3"/>
      <c r="BBG103" s="3"/>
      <c r="BBH103" s="3"/>
      <c r="BBI103" s="3"/>
      <c r="BBJ103" s="3"/>
      <c r="BBK103" s="3"/>
      <c r="BBL103" s="3"/>
      <c r="BBM103" s="3"/>
      <c r="BBN103" s="3"/>
      <c r="BBO103" s="3"/>
      <c r="BBP103" s="3"/>
      <c r="BBQ103" s="3"/>
      <c r="BBR103" s="3"/>
      <c r="BBS103" s="3"/>
      <c r="BBT103" s="3"/>
      <c r="BBU103" s="3"/>
      <c r="BBV103" s="3"/>
      <c r="BBW103" s="3"/>
      <c r="BBX103" s="3"/>
      <c r="BBY103" s="3"/>
      <c r="BBZ103" s="3"/>
      <c r="BCA103" s="3"/>
      <c r="BCB103" s="3"/>
      <c r="BCC103" s="3"/>
      <c r="BCD103" s="3"/>
      <c r="BCE103" s="3"/>
      <c r="BCF103" s="3"/>
      <c r="BCG103" s="3"/>
      <c r="BCH103" s="3"/>
      <c r="BCI103" s="3"/>
      <c r="BCJ103" s="3"/>
      <c r="BCK103" s="3"/>
      <c r="BCL103" s="3"/>
      <c r="BCM103" s="3"/>
      <c r="BCN103" s="3"/>
      <c r="BCO103" s="3"/>
      <c r="BCP103" s="3"/>
      <c r="BCQ103" s="3"/>
      <c r="BCR103" s="3"/>
      <c r="BCS103" s="3"/>
      <c r="BCT103" s="3"/>
      <c r="BCU103" s="3"/>
      <c r="BCV103" s="3"/>
      <c r="BCW103" s="3"/>
      <c r="BCX103" s="3"/>
      <c r="BCY103" s="3"/>
      <c r="BCZ103" s="3"/>
      <c r="BDA103" s="3"/>
      <c r="BDB103" s="3"/>
      <c r="BDC103" s="3"/>
      <c r="BDD103" s="3"/>
      <c r="BDE103" s="3"/>
      <c r="BDF103" s="3"/>
      <c r="BDG103" s="3"/>
      <c r="BDH103" s="3"/>
      <c r="BDI103" s="3"/>
      <c r="BDJ103" s="3"/>
      <c r="BDK103" s="3"/>
      <c r="BDL103" s="3"/>
      <c r="BDM103" s="3"/>
      <c r="BDN103" s="3"/>
      <c r="BDO103" s="3"/>
      <c r="BDP103" s="3"/>
      <c r="BDQ103" s="3"/>
      <c r="BDR103" s="3"/>
      <c r="BDS103" s="3"/>
      <c r="BDT103" s="3"/>
      <c r="BDU103" s="3"/>
      <c r="BDV103" s="3"/>
      <c r="BDW103" s="3"/>
      <c r="BDX103" s="3"/>
      <c r="BDY103" s="3"/>
      <c r="BDZ103" s="3"/>
      <c r="BEA103" s="3"/>
      <c r="BEB103" s="3"/>
      <c r="BEC103" s="3"/>
      <c r="BED103" s="3"/>
      <c r="BEE103" s="3"/>
      <c r="BEF103" s="3"/>
      <c r="BEG103" s="3"/>
      <c r="BEH103" s="3"/>
      <c r="BEI103" s="3"/>
      <c r="BEJ103" s="3"/>
      <c r="BEK103" s="3"/>
      <c r="BEL103" s="3"/>
      <c r="BEM103" s="3"/>
      <c r="BEN103" s="3"/>
      <c r="BEO103" s="3"/>
      <c r="BEP103" s="3"/>
      <c r="BEQ103" s="3"/>
      <c r="BER103" s="3"/>
      <c r="BES103" s="3"/>
      <c r="BET103" s="3"/>
      <c r="BEU103" s="3"/>
      <c r="BEV103" s="3"/>
      <c r="BEW103" s="3"/>
      <c r="BEX103" s="3"/>
      <c r="BEY103" s="3"/>
      <c r="BEZ103" s="3"/>
      <c r="BFA103" s="3"/>
      <c r="BFB103" s="3"/>
      <c r="BFC103" s="3"/>
      <c r="BFD103" s="3"/>
      <c r="BFE103" s="3"/>
      <c r="BFF103" s="3"/>
      <c r="BFG103" s="3"/>
      <c r="BFH103" s="3"/>
      <c r="BFI103" s="3"/>
      <c r="BFJ103" s="3"/>
      <c r="BFK103" s="3"/>
      <c r="BFL103" s="3"/>
      <c r="BFM103" s="3"/>
      <c r="BFN103" s="3"/>
      <c r="BFO103" s="3"/>
      <c r="BFP103" s="3"/>
      <c r="BFQ103" s="3"/>
      <c r="BFR103" s="3"/>
      <c r="BFS103" s="3"/>
      <c r="BFT103" s="3"/>
      <c r="BFU103" s="3"/>
      <c r="BFV103" s="3"/>
      <c r="BFW103" s="3"/>
      <c r="BFX103" s="3"/>
      <c r="BFY103" s="3"/>
      <c r="BFZ103" s="3"/>
      <c r="BGA103" s="3"/>
      <c r="BGB103" s="3"/>
      <c r="BGC103" s="3"/>
      <c r="BGD103" s="3"/>
      <c r="BGE103" s="3"/>
      <c r="BGF103" s="3"/>
      <c r="BGG103" s="3"/>
      <c r="BGH103" s="3"/>
      <c r="BGI103" s="3"/>
      <c r="BGJ103" s="3"/>
      <c r="BGK103" s="3"/>
      <c r="BGL103" s="3"/>
      <c r="BGM103" s="3"/>
      <c r="BGN103" s="3"/>
      <c r="BGO103" s="3"/>
      <c r="BGP103" s="3"/>
      <c r="BGQ103" s="3"/>
      <c r="BGR103" s="3"/>
      <c r="BGS103" s="3"/>
      <c r="BGT103" s="3"/>
      <c r="BGU103" s="3"/>
      <c r="BGV103" s="3"/>
      <c r="BGW103" s="3"/>
      <c r="BGX103" s="3"/>
      <c r="BGY103" s="3"/>
      <c r="BGZ103" s="3"/>
      <c r="BHA103" s="3"/>
      <c r="BHB103" s="3"/>
      <c r="BHC103" s="3"/>
      <c r="BHD103" s="3"/>
      <c r="BHE103" s="3"/>
      <c r="BHF103" s="3"/>
      <c r="BHG103" s="3"/>
      <c r="BHH103" s="3"/>
      <c r="BHI103" s="3"/>
      <c r="BHJ103" s="3"/>
      <c r="BHK103" s="3"/>
      <c r="BHL103" s="3"/>
      <c r="BHM103" s="3"/>
      <c r="BHN103" s="3"/>
      <c r="BHO103" s="3"/>
      <c r="BHP103" s="3"/>
      <c r="BHQ103" s="3"/>
      <c r="BHR103" s="3"/>
      <c r="BHS103" s="3"/>
      <c r="BHT103" s="3"/>
      <c r="BHU103" s="3"/>
      <c r="BHV103" s="3"/>
      <c r="BHW103" s="3"/>
      <c r="BHX103" s="3"/>
      <c r="BHY103" s="3"/>
      <c r="BHZ103" s="3"/>
      <c r="BIA103" s="3"/>
      <c r="BIB103" s="3"/>
      <c r="BIC103" s="3"/>
      <c r="BID103" s="3"/>
      <c r="BIE103" s="3"/>
      <c r="BIF103" s="3"/>
      <c r="BIG103" s="3"/>
      <c r="BIH103" s="3"/>
      <c r="BII103" s="3"/>
      <c r="BIJ103" s="3"/>
      <c r="BIK103" s="3"/>
      <c r="BIL103" s="3"/>
      <c r="BIM103" s="3"/>
      <c r="BIN103" s="3"/>
      <c r="BIO103" s="3"/>
      <c r="BIP103" s="3"/>
      <c r="BIQ103" s="3"/>
      <c r="BIR103" s="3"/>
      <c r="BIS103" s="3"/>
      <c r="BIT103" s="3"/>
      <c r="BIU103" s="3"/>
      <c r="BIV103" s="3"/>
      <c r="BIW103" s="3"/>
      <c r="BIX103" s="3"/>
      <c r="BIY103" s="3"/>
      <c r="BIZ103" s="3"/>
      <c r="BJA103" s="3"/>
      <c r="BJB103" s="3"/>
      <c r="BJC103" s="3"/>
      <c r="BJD103" s="3"/>
      <c r="BJE103" s="3"/>
      <c r="BJF103" s="3"/>
      <c r="BJG103" s="3"/>
      <c r="BJH103" s="3"/>
      <c r="BJI103" s="3"/>
      <c r="BJJ103" s="3"/>
      <c r="BJK103" s="3"/>
      <c r="BJL103" s="3"/>
      <c r="BJM103" s="3"/>
      <c r="BJN103" s="3"/>
      <c r="BJO103" s="3"/>
      <c r="BJP103" s="3"/>
      <c r="BJQ103" s="3"/>
      <c r="BJR103" s="3"/>
      <c r="BJS103" s="3"/>
      <c r="BJT103" s="3"/>
      <c r="BJU103" s="3"/>
      <c r="BJV103" s="3"/>
      <c r="BJW103" s="3"/>
      <c r="BJX103" s="3"/>
      <c r="BJY103" s="3"/>
      <c r="BJZ103" s="3"/>
      <c r="BKA103" s="3"/>
      <c r="BKB103" s="3"/>
      <c r="BKC103" s="3"/>
      <c r="BKD103" s="3"/>
      <c r="BKE103" s="3"/>
      <c r="BKF103" s="3"/>
      <c r="BKG103" s="3"/>
      <c r="BKH103" s="3"/>
      <c r="BKI103" s="3"/>
      <c r="BKJ103" s="3"/>
      <c r="BKK103" s="3"/>
      <c r="BKL103" s="3"/>
      <c r="BKM103" s="3"/>
      <c r="BKN103" s="3"/>
      <c r="BKO103" s="3"/>
      <c r="BKP103" s="3"/>
      <c r="BKQ103" s="3"/>
      <c r="BKR103" s="3"/>
      <c r="BKS103" s="3"/>
      <c r="BKT103" s="3"/>
      <c r="BKU103" s="3"/>
      <c r="BKV103" s="3"/>
      <c r="BKW103" s="3"/>
      <c r="BKX103" s="3"/>
      <c r="BKY103" s="3"/>
      <c r="BKZ103" s="3"/>
      <c r="BLA103" s="3"/>
      <c r="BLB103" s="3"/>
      <c r="BLC103" s="3"/>
      <c r="BLD103" s="3"/>
      <c r="BLE103" s="3"/>
      <c r="BLF103" s="3"/>
      <c r="BLG103" s="3"/>
      <c r="BLH103" s="3"/>
      <c r="BLI103" s="3"/>
      <c r="BLJ103" s="3"/>
      <c r="BLK103" s="3"/>
      <c r="BLL103" s="3"/>
      <c r="BLM103" s="3"/>
      <c r="BLN103" s="3"/>
      <c r="BLO103" s="3"/>
      <c r="BLP103" s="3"/>
      <c r="BLQ103" s="3"/>
      <c r="BLR103" s="3"/>
      <c r="BLS103" s="3"/>
      <c r="BLT103" s="3"/>
      <c r="BLU103" s="3"/>
      <c r="BLV103" s="3"/>
      <c r="BLW103" s="3"/>
      <c r="BLX103" s="3"/>
      <c r="BLY103" s="3"/>
      <c r="BLZ103" s="3"/>
      <c r="BMA103" s="3"/>
      <c r="BMB103" s="3"/>
      <c r="BMC103" s="3"/>
      <c r="BMD103" s="3"/>
      <c r="BME103" s="3"/>
      <c r="BMF103" s="3"/>
      <c r="BMG103" s="3"/>
      <c r="BMH103" s="3"/>
      <c r="BMI103" s="3"/>
      <c r="BMJ103" s="3"/>
      <c r="BMK103" s="3"/>
      <c r="BML103" s="3"/>
      <c r="BMM103" s="3"/>
      <c r="BMN103" s="3"/>
      <c r="BMO103" s="3"/>
      <c r="BMP103" s="3"/>
      <c r="BMQ103" s="3"/>
      <c r="BMR103" s="3"/>
      <c r="BMS103" s="3"/>
      <c r="BMT103" s="3"/>
      <c r="BMU103" s="3"/>
      <c r="BMV103" s="3"/>
      <c r="BMW103" s="3"/>
      <c r="BMX103" s="3"/>
      <c r="BMY103" s="3"/>
      <c r="BMZ103" s="3"/>
      <c r="BNA103" s="3"/>
      <c r="BNB103" s="3"/>
      <c r="BNC103" s="3"/>
      <c r="BND103" s="3"/>
      <c r="BNE103" s="3"/>
      <c r="BNF103" s="3"/>
      <c r="BNG103" s="3"/>
      <c r="BNH103" s="3"/>
      <c r="BNI103" s="3"/>
      <c r="BNJ103" s="3"/>
      <c r="BNK103" s="3"/>
      <c r="BNL103" s="3"/>
      <c r="BNM103" s="3"/>
      <c r="BNN103" s="3"/>
      <c r="BNO103" s="3"/>
      <c r="BNP103" s="3"/>
      <c r="BNQ103" s="3"/>
      <c r="BNR103" s="3"/>
      <c r="BNS103" s="3"/>
      <c r="BNT103" s="3"/>
      <c r="BNU103" s="3"/>
      <c r="BNV103" s="3"/>
      <c r="BNW103" s="3"/>
      <c r="BNX103" s="3"/>
      <c r="BNY103" s="3"/>
      <c r="BNZ103" s="3"/>
      <c r="BOA103" s="3"/>
      <c r="BOB103" s="3"/>
      <c r="BOC103" s="3"/>
      <c r="BOD103" s="3"/>
      <c r="BOE103" s="3"/>
      <c r="BOF103" s="3"/>
      <c r="BOG103" s="3"/>
      <c r="BOH103" s="3"/>
      <c r="BOI103" s="3"/>
      <c r="BOJ103" s="3"/>
      <c r="BOK103" s="3"/>
      <c r="BOL103" s="3"/>
      <c r="BOM103" s="3"/>
      <c r="BON103" s="3"/>
      <c r="BOO103" s="3"/>
      <c r="BOP103" s="3"/>
      <c r="BOQ103" s="3"/>
      <c r="BOR103" s="3"/>
      <c r="BOS103" s="3"/>
      <c r="BOT103" s="3"/>
      <c r="BOU103" s="3"/>
      <c r="BOV103" s="3"/>
      <c r="BOW103" s="3"/>
      <c r="BOX103" s="3"/>
      <c r="BOY103" s="3"/>
      <c r="BOZ103" s="3"/>
      <c r="BPA103" s="3"/>
      <c r="BPB103" s="3"/>
      <c r="BPC103" s="3"/>
      <c r="BPD103" s="3"/>
      <c r="BPE103" s="3"/>
      <c r="BPF103" s="3"/>
      <c r="BPG103" s="3"/>
      <c r="BPH103" s="3"/>
      <c r="BPI103" s="3"/>
      <c r="BPJ103" s="3"/>
      <c r="BPK103" s="3"/>
      <c r="BPL103" s="3"/>
      <c r="BPM103" s="3"/>
      <c r="BPN103" s="3"/>
      <c r="BPO103" s="3"/>
      <c r="BPP103" s="3"/>
      <c r="BPQ103" s="3"/>
      <c r="BPR103" s="3"/>
      <c r="BPS103" s="3"/>
      <c r="BPT103" s="3"/>
      <c r="BPU103" s="3"/>
      <c r="BPV103" s="3"/>
      <c r="BPW103" s="3"/>
      <c r="BPX103" s="3"/>
      <c r="BPY103" s="3"/>
      <c r="BPZ103" s="3"/>
      <c r="BQA103" s="3"/>
      <c r="BQB103" s="3"/>
      <c r="BQC103" s="3"/>
      <c r="BQD103" s="3"/>
      <c r="BQE103" s="3"/>
      <c r="BQF103" s="3"/>
      <c r="BQG103" s="3"/>
      <c r="BQH103" s="3"/>
      <c r="BQI103" s="3"/>
      <c r="BQJ103" s="3"/>
      <c r="BQK103" s="3"/>
      <c r="BQL103" s="3"/>
      <c r="BQM103" s="3"/>
      <c r="BQN103" s="3"/>
      <c r="BQO103" s="3"/>
      <c r="BQP103" s="3"/>
      <c r="BQQ103" s="3"/>
      <c r="BQR103" s="3"/>
      <c r="BQS103" s="3"/>
      <c r="BQT103" s="3"/>
      <c r="BQU103" s="3"/>
      <c r="BQV103" s="3"/>
      <c r="BQW103" s="3"/>
      <c r="BQX103" s="3"/>
      <c r="BQY103" s="3"/>
      <c r="BQZ103" s="3"/>
      <c r="BRA103" s="3"/>
      <c r="BRB103" s="3"/>
      <c r="BRC103" s="3"/>
      <c r="BRD103" s="3"/>
      <c r="BRE103" s="3"/>
      <c r="BRF103" s="3"/>
      <c r="BRG103" s="3"/>
      <c r="BRH103" s="3"/>
      <c r="BRI103" s="3"/>
      <c r="BRJ103" s="3"/>
      <c r="BRK103" s="3"/>
      <c r="BRL103" s="3"/>
      <c r="BRM103" s="3"/>
      <c r="BRN103" s="3"/>
      <c r="BRO103" s="3"/>
      <c r="BRP103" s="3"/>
      <c r="BRQ103" s="3"/>
      <c r="BRR103" s="3"/>
      <c r="BRS103" s="3"/>
      <c r="BRT103" s="3"/>
      <c r="BRU103" s="3"/>
      <c r="BRV103" s="3"/>
      <c r="BRW103" s="3"/>
      <c r="BRX103" s="3"/>
      <c r="BRY103" s="3"/>
      <c r="BRZ103" s="3"/>
      <c r="BSA103" s="3"/>
      <c r="BSB103" s="3"/>
      <c r="BSC103" s="3"/>
      <c r="BSD103" s="3"/>
      <c r="BSE103" s="3"/>
      <c r="BSF103" s="3"/>
      <c r="BSG103" s="3"/>
      <c r="BSH103" s="3"/>
      <c r="BSI103" s="3"/>
      <c r="BSJ103" s="3"/>
      <c r="BSK103" s="3"/>
      <c r="BSL103" s="3"/>
      <c r="BSM103" s="3"/>
      <c r="BSN103" s="3"/>
      <c r="BSO103" s="3"/>
      <c r="BSP103" s="3"/>
      <c r="BSQ103" s="3"/>
      <c r="BSR103" s="3"/>
      <c r="BSS103" s="3"/>
      <c r="BST103" s="3"/>
      <c r="BSU103" s="3"/>
      <c r="BSV103" s="3"/>
      <c r="BSW103" s="3"/>
      <c r="BSX103" s="3"/>
      <c r="BSY103" s="3"/>
      <c r="BSZ103" s="3"/>
      <c r="BTA103" s="3"/>
      <c r="BTB103" s="3"/>
      <c r="BTC103" s="3"/>
      <c r="BTD103" s="3"/>
      <c r="BTE103" s="3"/>
      <c r="BTF103" s="3"/>
      <c r="BTG103" s="3"/>
      <c r="BTH103" s="3"/>
      <c r="BTI103" s="3"/>
      <c r="BTJ103" s="3"/>
      <c r="BTK103" s="3"/>
      <c r="BTL103" s="3"/>
      <c r="BTM103" s="3"/>
      <c r="BTN103" s="3"/>
      <c r="BTO103" s="3"/>
      <c r="BTP103" s="3"/>
      <c r="BTQ103" s="3"/>
      <c r="BTR103" s="3"/>
      <c r="BTS103" s="3"/>
      <c r="BTT103" s="3"/>
      <c r="BTU103" s="3"/>
      <c r="BTV103" s="3"/>
      <c r="BTW103" s="3"/>
      <c r="BTX103" s="3"/>
      <c r="BTY103" s="3"/>
      <c r="BTZ103" s="3"/>
      <c r="BUA103" s="3"/>
      <c r="BUB103" s="3"/>
      <c r="BUC103" s="3"/>
      <c r="BUD103" s="3"/>
      <c r="BUE103" s="3"/>
      <c r="BUF103" s="3"/>
      <c r="BUG103" s="3"/>
      <c r="BUH103" s="3"/>
      <c r="BUI103" s="3"/>
      <c r="BUJ103" s="3"/>
      <c r="BUK103" s="3"/>
      <c r="BUL103" s="3"/>
      <c r="BUM103" s="3"/>
      <c r="BUN103" s="3"/>
      <c r="BUO103" s="3"/>
      <c r="BUP103" s="3"/>
      <c r="BUQ103" s="3"/>
      <c r="BUR103" s="3"/>
      <c r="BUS103" s="3"/>
      <c r="BUT103" s="3"/>
      <c r="BUU103" s="3"/>
      <c r="BUV103" s="3"/>
      <c r="BUW103" s="3"/>
      <c r="BUX103" s="3"/>
      <c r="BUY103" s="3"/>
      <c r="BUZ103" s="3"/>
      <c r="BVA103" s="3"/>
      <c r="BVB103" s="3"/>
      <c r="BVC103" s="3"/>
      <c r="BVD103" s="3"/>
      <c r="BVE103" s="3"/>
      <c r="BVF103" s="3"/>
      <c r="BVG103" s="3"/>
      <c r="BVH103" s="3"/>
      <c r="BVI103" s="3"/>
      <c r="BVJ103" s="3"/>
      <c r="BVK103" s="3"/>
      <c r="BVL103" s="3"/>
      <c r="BVM103" s="3"/>
      <c r="BVN103" s="3"/>
      <c r="BVO103" s="3"/>
      <c r="BVP103" s="3"/>
      <c r="BVQ103" s="3"/>
      <c r="BVR103" s="3"/>
      <c r="BVS103" s="3"/>
      <c r="BVT103" s="3"/>
      <c r="BVU103" s="3"/>
      <c r="BVV103" s="3"/>
      <c r="BVW103" s="3"/>
      <c r="BVX103" s="3"/>
      <c r="BVY103" s="3"/>
      <c r="BVZ103" s="3"/>
      <c r="BWA103" s="3"/>
      <c r="BWB103" s="3"/>
      <c r="BWC103" s="3"/>
      <c r="BWD103" s="3"/>
      <c r="BWE103" s="3"/>
      <c r="BWF103" s="3"/>
      <c r="BWG103" s="3"/>
      <c r="BWH103" s="3"/>
      <c r="BWI103" s="3"/>
      <c r="BWJ103" s="3"/>
      <c r="BWK103" s="3"/>
      <c r="BWL103" s="3"/>
      <c r="BWM103" s="3"/>
      <c r="BWN103" s="3"/>
      <c r="BWO103" s="3"/>
      <c r="BWP103" s="3"/>
      <c r="BWQ103" s="3"/>
      <c r="BWR103" s="3"/>
      <c r="BWS103" s="3"/>
      <c r="BWT103" s="3"/>
      <c r="BWU103" s="3"/>
      <c r="BWV103" s="3"/>
      <c r="BWW103" s="3"/>
      <c r="BWX103" s="3"/>
      <c r="BWY103" s="3"/>
      <c r="BWZ103" s="3"/>
      <c r="BXA103" s="3"/>
      <c r="BXB103" s="3"/>
      <c r="BXC103" s="3"/>
      <c r="BXD103" s="3"/>
      <c r="BXE103" s="3"/>
      <c r="BXF103" s="3"/>
      <c r="BXG103" s="3"/>
      <c r="BXH103" s="3"/>
      <c r="BXI103" s="3"/>
      <c r="BXJ103" s="3"/>
      <c r="BXK103" s="3"/>
      <c r="BXL103" s="3"/>
      <c r="BXM103" s="3"/>
      <c r="BXN103" s="3"/>
      <c r="BXO103" s="3"/>
      <c r="BXP103" s="3"/>
      <c r="BXQ103" s="3"/>
      <c r="BXR103" s="3"/>
      <c r="BXS103" s="3"/>
      <c r="BXT103" s="3"/>
      <c r="BXU103" s="3"/>
      <c r="BXV103" s="3"/>
      <c r="BXW103" s="3"/>
      <c r="BXX103" s="3"/>
      <c r="BXY103" s="3"/>
      <c r="BXZ103" s="3"/>
      <c r="BYA103" s="3"/>
      <c r="BYB103" s="3"/>
      <c r="BYC103" s="3"/>
      <c r="BYD103" s="3"/>
      <c r="BYE103" s="3"/>
      <c r="BYF103" s="3"/>
      <c r="BYG103" s="3"/>
      <c r="BYH103" s="3"/>
      <c r="BYI103" s="3"/>
      <c r="BYJ103" s="3"/>
      <c r="BYK103" s="3"/>
      <c r="BYL103" s="3"/>
      <c r="BYM103" s="3"/>
      <c r="BYN103" s="3"/>
      <c r="BYO103" s="3"/>
      <c r="BYP103" s="3"/>
      <c r="BYQ103" s="3"/>
      <c r="BYR103" s="3"/>
      <c r="BYS103" s="3"/>
      <c r="BYT103" s="3"/>
      <c r="BYU103" s="3"/>
      <c r="BYV103" s="3"/>
      <c r="BYW103" s="3"/>
      <c r="BYX103" s="3"/>
      <c r="BYY103" s="3"/>
      <c r="BYZ103" s="3"/>
      <c r="BZA103" s="3"/>
      <c r="BZB103" s="3"/>
      <c r="BZC103" s="3"/>
      <c r="BZD103" s="3"/>
      <c r="BZE103" s="3"/>
      <c r="BZF103" s="3"/>
      <c r="BZG103" s="3"/>
      <c r="BZH103" s="3"/>
      <c r="BZI103" s="3"/>
      <c r="BZJ103" s="3"/>
      <c r="BZK103" s="3"/>
      <c r="BZL103" s="3"/>
      <c r="BZM103" s="3"/>
      <c r="BZN103" s="3"/>
      <c r="BZO103" s="3"/>
      <c r="BZP103" s="3"/>
      <c r="BZQ103" s="3"/>
      <c r="BZR103" s="3"/>
      <c r="BZS103" s="3"/>
      <c r="BZT103" s="3"/>
      <c r="BZU103" s="3"/>
      <c r="BZV103" s="3"/>
      <c r="BZW103" s="3"/>
      <c r="BZX103" s="3"/>
      <c r="BZY103" s="3"/>
      <c r="BZZ103" s="3"/>
      <c r="CAA103" s="3"/>
      <c r="CAB103" s="3"/>
      <c r="CAC103" s="3"/>
      <c r="CAD103" s="3"/>
      <c r="CAE103" s="3"/>
      <c r="CAF103" s="3"/>
      <c r="CAG103" s="3"/>
      <c r="CAH103" s="3"/>
      <c r="CAI103" s="3"/>
      <c r="CAJ103" s="3"/>
      <c r="CAK103" s="3"/>
      <c r="CAL103" s="3"/>
      <c r="CAM103" s="3"/>
      <c r="CAN103" s="3"/>
      <c r="CAO103" s="3"/>
      <c r="CAP103" s="3"/>
      <c r="CAQ103" s="3"/>
      <c r="CAR103" s="3"/>
      <c r="CAS103" s="3"/>
      <c r="CAT103" s="3"/>
      <c r="CAU103" s="3"/>
      <c r="CAV103" s="3"/>
      <c r="CAW103" s="3"/>
      <c r="CAX103" s="3"/>
      <c r="CAY103" s="3"/>
      <c r="CAZ103" s="3"/>
      <c r="CBA103" s="3"/>
      <c r="CBB103" s="3"/>
      <c r="CBC103" s="3"/>
      <c r="CBD103" s="3"/>
      <c r="CBE103" s="3"/>
      <c r="CBF103" s="3"/>
      <c r="CBG103" s="3"/>
      <c r="CBH103" s="3"/>
      <c r="CBI103" s="3"/>
      <c r="CBJ103" s="3"/>
      <c r="CBK103" s="3"/>
      <c r="CBL103" s="3"/>
      <c r="CBM103" s="3"/>
      <c r="CBN103" s="3"/>
      <c r="CBO103" s="3"/>
      <c r="CBP103" s="3"/>
      <c r="CBQ103" s="3"/>
      <c r="CBR103" s="3"/>
      <c r="CBS103" s="3"/>
      <c r="CBT103" s="3"/>
      <c r="CBU103" s="3"/>
      <c r="CBV103" s="3"/>
      <c r="CBW103" s="3"/>
      <c r="CBX103" s="3"/>
      <c r="CBY103" s="3"/>
      <c r="CBZ103" s="3"/>
      <c r="CCA103" s="3"/>
      <c r="CCB103" s="3"/>
      <c r="CCC103" s="3"/>
      <c r="CCD103" s="3"/>
      <c r="CCE103" s="3"/>
      <c r="CCF103" s="3"/>
      <c r="CCG103" s="3"/>
      <c r="CCH103" s="3"/>
      <c r="CCI103" s="3"/>
      <c r="CCJ103" s="3"/>
      <c r="CCK103" s="3"/>
      <c r="CCL103" s="3"/>
      <c r="CCM103" s="3"/>
      <c r="CCN103" s="3"/>
      <c r="CCO103" s="3"/>
      <c r="CCP103" s="3"/>
      <c r="CCQ103" s="3"/>
      <c r="CCR103" s="3"/>
      <c r="CCS103" s="3"/>
      <c r="CCT103" s="3"/>
      <c r="CCU103" s="3"/>
      <c r="CCV103" s="3"/>
      <c r="CCW103" s="3"/>
      <c r="CCX103" s="3"/>
      <c r="CCY103" s="3"/>
      <c r="CCZ103" s="3"/>
      <c r="CDA103" s="3"/>
      <c r="CDB103" s="3"/>
      <c r="CDC103" s="3"/>
      <c r="CDD103" s="3"/>
      <c r="CDE103" s="3"/>
      <c r="CDF103" s="3"/>
      <c r="CDG103" s="3"/>
      <c r="CDH103" s="3"/>
      <c r="CDI103" s="3"/>
      <c r="CDJ103" s="3"/>
      <c r="CDK103" s="3"/>
      <c r="CDL103" s="3"/>
      <c r="CDM103" s="3"/>
      <c r="CDN103" s="3"/>
      <c r="CDO103" s="3"/>
      <c r="CDP103" s="3"/>
      <c r="CDQ103" s="3"/>
      <c r="CDR103" s="3"/>
      <c r="CDS103" s="3"/>
      <c r="CDT103" s="3"/>
      <c r="CDU103" s="3"/>
      <c r="CDV103" s="3"/>
      <c r="CDW103" s="3"/>
      <c r="CDX103" s="3"/>
      <c r="CDY103" s="3"/>
      <c r="CDZ103" s="3"/>
      <c r="CEA103" s="3"/>
      <c r="CEB103" s="3"/>
      <c r="CEC103" s="3"/>
      <c r="CED103" s="3"/>
      <c r="CEE103" s="3"/>
      <c r="CEF103" s="3"/>
      <c r="CEG103" s="3"/>
      <c r="CEH103" s="3"/>
      <c r="CEI103" s="3"/>
      <c r="CEJ103" s="3"/>
      <c r="CEK103" s="3"/>
      <c r="CEL103" s="3"/>
      <c r="CEM103" s="3"/>
      <c r="CEN103" s="3"/>
      <c r="CEO103" s="3"/>
      <c r="CEP103" s="3"/>
      <c r="CEQ103" s="3"/>
      <c r="CER103" s="3"/>
      <c r="CES103" s="3"/>
      <c r="CET103" s="3"/>
      <c r="CEU103" s="3"/>
      <c r="CEV103" s="3"/>
      <c r="CEW103" s="3"/>
      <c r="CEX103" s="3"/>
      <c r="CEY103" s="3"/>
      <c r="CEZ103" s="3"/>
      <c r="CFA103" s="3"/>
      <c r="CFB103" s="3"/>
      <c r="CFC103" s="3"/>
      <c r="CFD103" s="3"/>
      <c r="CFE103" s="3"/>
      <c r="CFF103" s="3"/>
      <c r="CFG103" s="3"/>
      <c r="CFH103" s="3"/>
      <c r="CFI103" s="3"/>
      <c r="CFJ103" s="3"/>
      <c r="CFK103" s="3"/>
      <c r="CFL103" s="3"/>
      <c r="CFM103" s="3"/>
      <c r="CFN103" s="3"/>
      <c r="CFO103" s="3"/>
      <c r="CFP103" s="3"/>
      <c r="CFQ103" s="3"/>
      <c r="CFR103" s="3"/>
      <c r="CFS103" s="3"/>
      <c r="CFT103" s="3"/>
      <c r="CFU103" s="3"/>
      <c r="CFV103" s="3"/>
      <c r="CFW103" s="3"/>
      <c r="CFX103" s="3"/>
      <c r="CFY103" s="3"/>
      <c r="CFZ103" s="3"/>
      <c r="CGA103" s="3"/>
      <c r="CGB103" s="3"/>
      <c r="CGC103" s="3"/>
      <c r="CGD103" s="3"/>
      <c r="CGE103" s="3"/>
      <c r="CGF103" s="3"/>
      <c r="CGG103" s="3"/>
      <c r="CGH103" s="3"/>
      <c r="CGI103" s="3"/>
      <c r="CGJ103" s="3"/>
      <c r="CGK103" s="3"/>
      <c r="CGL103" s="3"/>
      <c r="CGM103" s="3"/>
      <c r="CGN103" s="3"/>
      <c r="CGO103" s="3"/>
      <c r="CGP103" s="3"/>
      <c r="CGQ103" s="3"/>
      <c r="CGR103" s="3"/>
      <c r="CGS103" s="3"/>
      <c r="CGT103" s="3"/>
      <c r="CGU103" s="3"/>
      <c r="CGV103" s="3"/>
      <c r="CGW103" s="3"/>
      <c r="CGX103" s="3"/>
      <c r="CGY103" s="3"/>
      <c r="CGZ103" s="3"/>
      <c r="CHA103" s="3"/>
      <c r="CHB103" s="3"/>
      <c r="CHC103" s="3"/>
      <c r="CHD103" s="3"/>
      <c r="CHE103" s="3"/>
      <c r="CHF103" s="3"/>
      <c r="CHG103" s="3"/>
      <c r="CHH103" s="3"/>
      <c r="CHI103" s="3"/>
      <c r="CHJ103" s="3"/>
      <c r="CHK103" s="3"/>
      <c r="CHL103" s="3"/>
      <c r="CHM103" s="3"/>
      <c r="CHN103" s="3"/>
      <c r="CHO103" s="3"/>
      <c r="CHP103" s="3"/>
      <c r="CHQ103" s="3"/>
      <c r="CHR103" s="3"/>
      <c r="CHS103" s="3"/>
      <c r="CHT103" s="3"/>
      <c r="CHU103" s="3"/>
      <c r="CHV103" s="3"/>
      <c r="CHW103" s="3"/>
      <c r="CHX103" s="3"/>
      <c r="CHY103" s="3"/>
      <c r="CHZ103" s="3"/>
      <c r="CIA103" s="3"/>
      <c r="CIB103" s="3"/>
      <c r="CIC103" s="3"/>
      <c r="CID103" s="3"/>
      <c r="CIE103" s="3"/>
      <c r="CIF103" s="3"/>
      <c r="CIG103" s="3"/>
      <c r="CIH103" s="3"/>
      <c r="CII103" s="3"/>
      <c r="CIJ103" s="3"/>
      <c r="CIK103" s="3"/>
      <c r="CIL103" s="3"/>
      <c r="CIM103" s="3"/>
      <c r="CIN103" s="3"/>
      <c r="CIO103" s="3"/>
      <c r="CIP103" s="3"/>
      <c r="CIQ103" s="3"/>
      <c r="CIR103" s="3"/>
      <c r="CIS103" s="3"/>
      <c r="CIT103" s="3"/>
      <c r="CIU103" s="3"/>
      <c r="CIV103" s="3"/>
      <c r="CIW103" s="3"/>
      <c r="CIX103" s="3"/>
      <c r="CIY103" s="3"/>
      <c r="CIZ103" s="3"/>
      <c r="CJA103" s="3"/>
      <c r="CJB103" s="3"/>
      <c r="CJC103" s="3"/>
      <c r="CJD103" s="3"/>
      <c r="CJE103" s="3"/>
      <c r="CJF103" s="3"/>
      <c r="CJG103" s="3"/>
      <c r="CJH103" s="3"/>
      <c r="CJI103" s="3"/>
      <c r="CJJ103" s="3"/>
      <c r="CJK103" s="3"/>
      <c r="CJL103" s="3"/>
      <c r="CJM103" s="3"/>
      <c r="CJN103" s="3"/>
      <c r="CJO103" s="3"/>
      <c r="CJP103" s="3"/>
      <c r="CJQ103" s="3"/>
      <c r="CJR103" s="3"/>
      <c r="CJS103" s="3"/>
      <c r="CJT103" s="3"/>
      <c r="CJU103" s="3"/>
      <c r="CJV103" s="3"/>
      <c r="CJW103" s="3"/>
      <c r="CJX103" s="3"/>
      <c r="CJY103" s="3"/>
      <c r="CJZ103" s="3"/>
      <c r="CKA103" s="3"/>
      <c r="CKB103" s="3"/>
      <c r="CKC103" s="3"/>
      <c r="CKD103" s="3"/>
      <c r="CKE103" s="3"/>
      <c r="CKF103" s="3"/>
      <c r="CKG103" s="3"/>
      <c r="CKH103" s="3"/>
      <c r="CKI103" s="3"/>
      <c r="CKJ103" s="3"/>
      <c r="CKK103" s="3"/>
      <c r="CKL103" s="3"/>
      <c r="CKM103" s="3"/>
      <c r="CKN103" s="3"/>
      <c r="CKO103" s="3"/>
      <c r="CKP103" s="3"/>
      <c r="CKQ103" s="3"/>
      <c r="CKR103" s="3"/>
      <c r="CKS103" s="3"/>
      <c r="CKT103" s="3"/>
      <c r="CKU103" s="3"/>
      <c r="CKV103" s="3"/>
      <c r="CKW103" s="3"/>
      <c r="CKX103" s="3"/>
      <c r="CKY103" s="3"/>
      <c r="CKZ103" s="3"/>
      <c r="CLA103" s="3"/>
      <c r="CLB103" s="3"/>
      <c r="CLC103" s="3"/>
      <c r="CLD103" s="3"/>
      <c r="CLE103" s="3"/>
      <c r="CLF103" s="3"/>
      <c r="CLG103" s="3"/>
      <c r="CLH103" s="3"/>
      <c r="CLI103" s="3"/>
      <c r="CLJ103" s="3"/>
      <c r="CLK103" s="3"/>
      <c r="CLL103" s="3"/>
      <c r="CLM103" s="3"/>
      <c r="CLN103" s="3"/>
      <c r="CLO103" s="3"/>
      <c r="CLP103" s="3"/>
      <c r="CLQ103" s="3"/>
      <c r="CLR103" s="3"/>
      <c r="CLS103" s="3"/>
      <c r="CLT103" s="3"/>
      <c r="CLU103" s="3"/>
      <c r="CLV103" s="3"/>
      <c r="CLW103" s="3"/>
      <c r="CLX103" s="3"/>
      <c r="CLY103" s="3"/>
      <c r="CLZ103" s="3"/>
      <c r="CMA103" s="3"/>
      <c r="CMB103" s="3"/>
      <c r="CMC103" s="3"/>
      <c r="CMD103" s="3"/>
      <c r="CME103" s="3"/>
      <c r="CMF103" s="3"/>
      <c r="CMG103" s="3"/>
      <c r="CMH103" s="3"/>
      <c r="CMI103" s="3"/>
      <c r="CMJ103" s="3"/>
      <c r="CMK103" s="3"/>
      <c r="CML103" s="3"/>
      <c r="CMM103" s="3"/>
      <c r="CMN103" s="3"/>
      <c r="CMO103" s="3"/>
      <c r="CMP103" s="3"/>
      <c r="CMQ103" s="3"/>
      <c r="CMR103" s="3"/>
      <c r="CMS103" s="3"/>
      <c r="CMT103" s="3"/>
      <c r="CMU103" s="3"/>
      <c r="CMV103" s="3"/>
      <c r="CMW103" s="3"/>
      <c r="CMX103" s="3"/>
      <c r="CMY103" s="3"/>
      <c r="CMZ103" s="3"/>
      <c r="CNA103" s="3"/>
      <c r="CNB103" s="3"/>
      <c r="CNC103" s="3"/>
      <c r="CND103" s="3"/>
      <c r="CNE103" s="3"/>
      <c r="CNF103" s="3"/>
      <c r="CNG103" s="3"/>
      <c r="CNH103" s="3"/>
      <c r="CNI103" s="3"/>
      <c r="CNJ103" s="3"/>
      <c r="CNK103" s="3"/>
      <c r="CNL103" s="3"/>
      <c r="CNM103" s="3"/>
      <c r="CNN103" s="3"/>
      <c r="CNO103" s="3"/>
      <c r="CNP103" s="3"/>
      <c r="CNQ103" s="3"/>
      <c r="CNR103" s="3"/>
      <c r="CNS103" s="3"/>
      <c r="CNT103" s="3"/>
      <c r="CNU103" s="3"/>
      <c r="CNV103" s="3"/>
      <c r="CNW103" s="3"/>
      <c r="CNX103" s="3"/>
      <c r="CNY103" s="3"/>
      <c r="CNZ103" s="3"/>
      <c r="COA103" s="3"/>
      <c r="COB103" s="3"/>
      <c r="COC103" s="3"/>
      <c r="COD103" s="3"/>
      <c r="COE103" s="3"/>
      <c r="COF103" s="3"/>
      <c r="COG103" s="3"/>
      <c r="COH103" s="3"/>
      <c r="COI103" s="3"/>
      <c r="COJ103" s="3"/>
      <c r="COK103" s="3"/>
      <c r="COL103" s="3"/>
      <c r="COM103" s="3"/>
      <c r="CON103" s="3"/>
      <c r="COO103" s="3"/>
      <c r="COP103" s="3"/>
      <c r="COQ103" s="3"/>
      <c r="COR103" s="3"/>
      <c r="COS103" s="3"/>
      <c r="COT103" s="3"/>
      <c r="COU103" s="3"/>
      <c r="COV103" s="3"/>
      <c r="COW103" s="3"/>
      <c r="COX103" s="3"/>
      <c r="COY103" s="3"/>
      <c r="COZ103" s="3"/>
      <c r="CPA103" s="3"/>
      <c r="CPB103" s="3"/>
      <c r="CPC103" s="3"/>
      <c r="CPD103" s="3"/>
      <c r="CPE103" s="3"/>
      <c r="CPF103" s="3"/>
      <c r="CPG103" s="3"/>
      <c r="CPH103" s="3"/>
      <c r="CPI103" s="3"/>
      <c r="CPJ103" s="3"/>
      <c r="CPK103" s="3"/>
      <c r="CPL103" s="3"/>
      <c r="CPM103" s="3"/>
      <c r="CPN103" s="3"/>
      <c r="CPO103" s="3"/>
      <c r="CPP103" s="3"/>
      <c r="CPQ103" s="3"/>
      <c r="CPR103" s="3"/>
      <c r="CPS103" s="3"/>
      <c r="CPT103" s="3"/>
      <c r="CPU103" s="3"/>
      <c r="CPV103" s="3"/>
      <c r="CPW103" s="3"/>
      <c r="CPX103" s="3"/>
      <c r="CPY103" s="3"/>
      <c r="CPZ103" s="3"/>
      <c r="CQA103" s="3"/>
      <c r="CQB103" s="3"/>
      <c r="CQC103" s="3"/>
      <c r="CQD103" s="3"/>
      <c r="CQE103" s="3"/>
      <c r="CQF103" s="3"/>
      <c r="CQG103" s="3"/>
      <c r="CQH103" s="3"/>
      <c r="CQI103" s="3"/>
      <c r="CQJ103" s="3"/>
      <c r="CQK103" s="3"/>
      <c r="CQL103" s="3"/>
      <c r="CQM103" s="3"/>
      <c r="CQN103" s="3"/>
      <c r="CQO103" s="3"/>
      <c r="CQP103" s="3"/>
      <c r="CQQ103" s="3"/>
      <c r="CQR103" s="3"/>
      <c r="CQS103" s="3"/>
      <c r="CQT103" s="3"/>
      <c r="CQU103" s="3"/>
      <c r="CQV103" s="3"/>
      <c r="CQW103" s="3"/>
      <c r="CQX103" s="3"/>
      <c r="CQY103" s="3"/>
      <c r="CQZ103" s="3"/>
      <c r="CRA103" s="3"/>
      <c r="CRB103" s="3"/>
      <c r="CRC103" s="3"/>
      <c r="CRD103" s="3"/>
      <c r="CRE103" s="3"/>
      <c r="CRF103" s="3"/>
      <c r="CRG103" s="3"/>
      <c r="CRH103" s="3"/>
      <c r="CRI103" s="3"/>
      <c r="CRJ103" s="3"/>
      <c r="CRK103" s="3"/>
      <c r="CRL103" s="3"/>
      <c r="CRM103" s="3"/>
      <c r="CRN103" s="3"/>
      <c r="CRO103" s="3"/>
      <c r="CRP103" s="3"/>
      <c r="CRQ103" s="3"/>
      <c r="CRR103" s="3"/>
      <c r="CRS103" s="3"/>
      <c r="CRT103" s="3"/>
      <c r="CRU103" s="3"/>
      <c r="CRV103" s="3"/>
      <c r="CRW103" s="3"/>
      <c r="CRX103" s="3"/>
      <c r="CRY103" s="3"/>
      <c r="CRZ103" s="3"/>
      <c r="CSA103" s="3"/>
      <c r="CSB103" s="3"/>
      <c r="CSC103" s="3"/>
      <c r="CSD103" s="3"/>
      <c r="CSE103" s="3"/>
      <c r="CSF103" s="3"/>
      <c r="CSG103" s="3"/>
      <c r="CSH103" s="3"/>
      <c r="CSI103" s="3"/>
      <c r="CSJ103" s="3"/>
      <c r="CSK103" s="3"/>
      <c r="CSL103" s="3"/>
      <c r="CSM103" s="3"/>
      <c r="CSN103" s="3"/>
      <c r="CSO103" s="3"/>
      <c r="CSP103" s="3"/>
      <c r="CSQ103" s="3"/>
      <c r="CSR103" s="3"/>
      <c r="CSS103" s="3"/>
      <c r="CST103" s="3"/>
      <c r="CSU103" s="3"/>
      <c r="CSV103" s="3"/>
      <c r="CSW103" s="3"/>
      <c r="CSX103" s="3"/>
      <c r="CSY103" s="3"/>
      <c r="CSZ103" s="3"/>
      <c r="CTA103" s="3"/>
      <c r="CTB103" s="3"/>
      <c r="CTC103" s="3"/>
      <c r="CTD103" s="3"/>
      <c r="CTE103" s="3"/>
      <c r="CTF103" s="3"/>
      <c r="CTG103" s="3"/>
      <c r="CTH103" s="3"/>
      <c r="CTI103" s="3"/>
      <c r="CTJ103" s="3"/>
      <c r="CTK103" s="3"/>
      <c r="CTL103" s="3"/>
      <c r="CTM103" s="3"/>
      <c r="CTN103" s="3"/>
      <c r="CTO103" s="3"/>
      <c r="CTP103" s="3"/>
      <c r="CTQ103" s="3"/>
      <c r="CTR103" s="3"/>
      <c r="CTS103" s="3"/>
      <c r="CTT103" s="3"/>
      <c r="CTU103" s="3"/>
      <c r="CTV103" s="3"/>
      <c r="CTW103" s="3"/>
      <c r="CTX103" s="3"/>
      <c r="CTY103" s="3"/>
      <c r="CTZ103" s="3"/>
      <c r="CUA103" s="3"/>
      <c r="CUB103" s="3"/>
      <c r="CUC103" s="3"/>
      <c r="CUD103" s="3"/>
      <c r="CUE103" s="3"/>
      <c r="CUF103" s="3"/>
      <c r="CUG103" s="3"/>
      <c r="CUH103" s="3"/>
      <c r="CUI103" s="3"/>
      <c r="CUJ103" s="3"/>
      <c r="CUK103" s="3"/>
      <c r="CUL103" s="3"/>
      <c r="CUM103" s="3"/>
      <c r="CUN103" s="3"/>
      <c r="CUO103" s="3"/>
      <c r="CUP103" s="3"/>
      <c r="CUQ103" s="3"/>
      <c r="CUR103" s="3"/>
      <c r="CUS103" s="3"/>
      <c r="CUT103" s="3"/>
      <c r="CUU103" s="3"/>
      <c r="CUV103" s="3"/>
      <c r="CUW103" s="3"/>
      <c r="CUX103" s="3"/>
      <c r="CUY103" s="3"/>
      <c r="CUZ103" s="3"/>
      <c r="CVA103" s="3"/>
      <c r="CVB103" s="3"/>
      <c r="CVC103" s="3"/>
      <c r="CVD103" s="3"/>
      <c r="CVE103" s="3"/>
      <c r="CVF103" s="3"/>
      <c r="CVG103" s="3"/>
      <c r="CVH103" s="3"/>
      <c r="CVI103" s="3"/>
      <c r="CVJ103" s="3"/>
      <c r="CVK103" s="3"/>
      <c r="CVL103" s="3"/>
      <c r="CVM103" s="3"/>
      <c r="CVN103" s="3"/>
      <c r="CVO103" s="3"/>
      <c r="CVP103" s="3"/>
      <c r="CVQ103" s="3"/>
      <c r="CVR103" s="3"/>
      <c r="CVS103" s="3"/>
      <c r="CVT103" s="3"/>
      <c r="CVU103" s="3"/>
      <c r="CVV103" s="3"/>
      <c r="CVW103" s="3"/>
      <c r="CVX103" s="3"/>
      <c r="CVY103" s="3"/>
      <c r="CVZ103" s="3"/>
      <c r="CWA103" s="3"/>
      <c r="CWB103" s="3"/>
      <c r="CWC103" s="3"/>
      <c r="CWD103" s="3"/>
      <c r="CWE103" s="3"/>
      <c r="CWF103" s="3"/>
      <c r="CWG103" s="3"/>
      <c r="CWH103" s="3"/>
      <c r="CWI103" s="3"/>
      <c r="CWJ103" s="3"/>
      <c r="CWK103" s="3"/>
      <c r="CWL103" s="3"/>
      <c r="CWM103" s="3"/>
      <c r="CWN103" s="3"/>
      <c r="CWO103" s="3"/>
      <c r="CWP103" s="3"/>
      <c r="CWQ103" s="3"/>
      <c r="CWR103" s="3"/>
      <c r="CWS103" s="3"/>
      <c r="CWT103" s="3"/>
      <c r="CWU103" s="3"/>
      <c r="CWV103" s="3"/>
      <c r="CWW103" s="3"/>
      <c r="CWX103" s="3"/>
      <c r="CWY103" s="3"/>
      <c r="CWZ103" s="3"/>
      <c r="CXA103" s="3"/>
      <c r="CXB103" s="3"/>
      <c r="CXC103" s="3"/>
      <c r="CXD103" s="3"/>
      <c r="CXE103" s="3"/>
      <c r="CXF103" s="3"/>
      <c r="CXG103" s="3"/>
      <c r="CXH103" s="3"/>
      <c r="CXI103" s="3"/>
      <c r="CXJ103" s="3"/>
      <c r="CXK103" s="3"/>
      <c r="CXL103" s="3"/>
      <c r="CXM103" s="3"/>
      <c r="CXN103" s="3"/>
      <c r="CXO103" s="3"/>
      <c r="CXP103" s="3"/>
      <c r="CXQ103" s="3"/>
      <c r="CXR103" s="3"/>
      <c r="CXS103" s="3"/>
      <c r="CXT103" s="3"/>
      <c r="CXU103" s="3"/>
      <c r="CXV103" s="3"/>
      <c r="CXW103" s="3"/>
      <c r="CXX103" s="3"/>
      <c r="CXY103" s="3"/>
      <c r="CXZ103" s="3"/>
      <c r="CYA103" s="3"/>
      <c r="CYB103" s="3"/>
      <c r="CYC103" s="3"/>
      <c r="CYD103" s="3"/>
      <c r="CYE103" s="3"/>
      <c r="CYF103" s="3"/>
      <c r="CYG103" s="3"/>
      <c r="CYH103" s="3"/>
      <c r="CYI103" s="3"/>
      <c r="CYJ103" s="3"/>
      <c r="CYK103" s="3"/>
      <c r="CYL103" s="3"/>
      <c r="CYM103" s="3"/>
      <c r="CYN103" s="3"/>
      <c r="CYO103" s="3"/>
      <c r="CYP103" s="3"/>
      <c r="CYQ103" s="3"/>
      <c r="CYR103" s="3"/>
      <c r="CYS103" s="3"/>
      <c r="CYT103" s="3"/>
      <c r="CYU103" s="3"/>
      <c r="CYV103" s="3"/>
      <c r="CYW103" s="3"/>
      <c r="CYX103" s="3"/>
      <c r="CYY103" s="3"/>
      <c r="CYZ103" s="3"/>
      <c r="CZA103" s="3"/>
      <c r="CZB103" s="3"/>
      <c r="CZC103" s="3"/>
      <c r="CZD103" s="3"/>
      <c r="CZE103" s="3"/>
      <c r="CZF103" s="3"/>
      <c r="CZG103" s="3"/>
      <c r="CZH103" s="3"/>
      <c r="CZI103" s="3"/>
      <c r="CZJ103" s="3"/>
      <c r="CZK103" s="3"/>
      <c r="CZL103" s="3"/>
      <c r="CZM103" s="3"/>
      <c r="CZN103" s="3"/>
      <c r="CZO103" s="3"/>
      <c r="CZP103" s="3"/>
      <c r="CZQ103" s="3"/>
      <c r="CZR103" s="3"/>
      <c r="CZS103" s="3"/>
      <c r="CZT103" s="3"/>
      <c r="CZU103" s="3"/>
      <c r="CZV103" s="3"/>
      <c r="CZW103" s="3"/>
      <c r="CZX103" s="3"/>
      <c r="CZY103" s="3"/>
      <c r="CZZ103" s="3"/>
      <c r="DAA103" s="3"/>
      <c r="DAB103" s="3"/>
      <c r="DAC103" s="3"/>
      <c r="DAD103" s="3"/>
      <c r="DAE103" s="3"/>
      <c r="DAF103" s="3"/>
      <c r="DAG103" s="3"/>
      <c r="DAH103" s="3"/>
      <c r="DAI103" s="3"/>
      <c r="DAJ103" s="3"/>
      <c r="DAK103" s="3"/>
      <c r="DAL103" s="3"/>
      <c r="DAM103" s="3"/>
      <c r="DAN103" s="3"/>
      <c r="DAO103" s="3"/>
      <c r="DAP103" s="3"/>
      <c r="DAQ103" s="3"/>
      <c r="DAR103" s="3"/>
      <c r="DAS103" s="3"/>
      <c r="DAT103" s="3"/>
      <c r="DAU103" s="3"/>
      <c r="DAV103" s="3"/>
      <c r="DAW103" s="3"/>
      <c r="DAX103" s="3"/>
      <c r="DAY103" s="3"/>
      <c r="DAZ103" s="3"/>
      <c r="DBA103" s="3"/>
      <c r="DBB103" s="3"/>
      <c r="DBC103" s="3"/>
      <c r="DBD103" s="3"/>
      <c r="DBE103" s="3"/>
      <c r="DBF103" s="3"/>
      <c r="DBG103" s="3"/>
      <c r="DBH103" s="3"/>
      <c r="DBI103" s="3"/>
      <c r="DBJ103" s="3"/>
      <c r="DBK103" s="3"/>
      <c r="DBL103" s="3"/>
      <c r="DBM103" s="3"/>
      <c r="DBN103" s="3"/>
      <c r="DBO103" s="3"/>
      <c r="DBP103" s="3"/>
      <c r="DBQ103" s="3"/>
      <c r="DBR103" s="3"/>
      <c r="DBS103" s="3"/>
      <c r="DBT103" s="3"/>
      <c r="DBU103" s="3"/>
      <c r="DBV103" s="3"/>
      <c r="DBW103" s="3"/>
      <c r="DBX103" s="3"/>
      <c r="DBY103" s="3"/>
      <c r="DBZ103" s="3"/>
      <c r="DCA103" s="3"/>
      <c r="DCB103" s="3"/>
      <c r="DCC103" s="3"/>
      <c r="DCD103" s="3"/>
      <c r="DCE103" s="3"/>
      <c r="DCF103" s="3"/>
      <c r="DCG103" s="3"/>
      <c r="DCH103" s="3"/>
      <c r="DCI103" s="3"/>
      <c r="DCJ103" s="3"/>
      <c r="DCK103" s="3"/>
      <c r="DCL103" s="3"/>
      <c r="DCM103" s="3"/>
      <c r="DCN103" s="3"/>
      <c r="DCO103" s="3"/>
      <c r="DCP103" s="3"/>
      <c r="DCQ103" s="3"/>
      <c r="DCR103" s="3"/>
      <c r="DCS103" s="3"/>
      <c r="DCT103" s="3"/>
      <c r="DCU103" s="3"/>
      <c r="DCV103" s="3"/>
      <c r="DCW103" s="3"/>
      <c r="DCX103" s="3"/>
      <c r="DCY103" s="3"/>
      <c r="DCZ103" s="3"/>
      <c r="DDA103" s="3"/>
      <c r="DDB103" s="3"/>
      <c r="DDC103" s="3"/>
      <c r="DDD103" s="3"/>
      <c r="DDE103" s="3"/>
      <c r="DDF103" s="3"/>
      <c r="DDG103" s="3"/>
      <c r="DDH103" s="3"/>
      <c r="DDI103" s="3"/>
      <c r="DDJ103" s="3"/>
      <c r="DDK103" s="3"/>
      <c r="DDL103" s="3"/>
      <c r="DDM103" s="3"/>
      <c r="DDN103" s="3"/>
      <c r="DDO103" s="3"/>
      <c r="DDP103" s="3"/>
      <c r="DDQ103" s="3"/>
      <c r="DDR103" s="3"/>
      <c r="DDS103" s="3"/>
      <c r="DDT103" s="3"/>
      <c r="DDU103" s="3"/>
      <c r="DDV103" s="3"/>
      <c r="DDW103" s="3"/>
      <c r="DDX103" s="3"/>
      <c r="DDY103" s="3"/>
      <c r="DDZ103" s="3"/>
      <c r="DEA103" s="3"/>
      <c r="DEB103" s="3"/>
      <c r="DEC103" s="3"/>
      <c r="DED103" s="3"/>
      <c r="DEE103" s="3"/>
      <c r="DEF103" s="3"/>
      <c r="DEG103" s="3"/>
      <c r="DEH103" s="3"/>
      <c r="DEI103" s="3"/>
      <c r="DEJ103" s="3"/>
      <c r="DEK103" s="3"/>
      <c r="DEL103" s="3"/>
      <c r="DEM103" s="3"/>
      <c r="DEN103" s="3"/>
      <c r="DEO103" s="3"/>
      <c r="DEP103" s="3"/>
      <c r="DEQ103" s="3"/>
      <c r="DER103" s="3"/>
      <c r="DES103" s="3"/>
      <c r="DET103" s="3"/>
      <c r="DEU103" s="3"/>
      <c r="DEV103" s="3"/>
      <c r="DEW103" s="3"/>
      <c r="DEX103" s="3"/>
      <c r="DEY103" s="3"/>
      <c r="DEZ103" s="3"/>
      <c r="DFA103" s="3"/>
      <c r="DFB103" s="3"/>
      <c r="DFC103" s="3"/>
      <c r="DFD103" s="3"/>
      <c r="DFE103" s="3"/>
      <c r="DFF103" s="3"/>
      <c r="DFG103" s="3"/>
      <c r="DFH103" s="3"/>
      <c r="DFI103" s="3"/>
      <c r="DFJ103" s="3"/>
      <c r="DFK103" s="3"/>
      <c r="DFL103" s="3"/>
      <c r="DFM103" s="3"/>
      <c r="DFN103" s="3"/>
      <c r="DFO103" s="3"/>
      <c r="DFP103" s="3"/>
      <c r="DFQ103" s="3"/>
      <c r="DFR103" s="3"/>
      <c r="DFS103" s="3"/>
      <c r="DFT103" s="3"/>
      <c r="DFU103" s="3"/>
      <c r="DFV103" s="3"/>
      <c r="DFW103" s="3"/>
      <c r="DFX103" s="3"/>
      <c r="DFY103" s="3"/>
      <c r="DFZ103" s="3"/>
      <c r="DGA103" s="3"/>
      <c r="DGB103" s="3"/>
      <c r="DGC103" s="3"/>
      <c r="DGD103" s="3"/>
      <c r="DGE103" s="3"/>
      <c r="DGF103" s="3"/>
      <c r="DGG103" s="3"/>
      <c r="DGH103" s="3"/>
      <c r="DGI103" s="3"/>
      <c r="DGJ103" s="3"/>
      <c r="DGK103" s="3"/>
      <c r="DGL103" s="3"/>
      <c r="DGM103" s="3"/>
      <c r="DGN103" s="3"/>
      <c r="DGO103" s="3"/>
      <c r="DGP103" s="3"/>
      <c r="DGQ103" s="3"/>
      <c r="DGR103" s="3"/>
      <c r="DGS103" s="3"/>
      <c r="DGT103" s="3"/>
      <c r="DGU103" s="3"/>
      <c r="DGV103" s="3"/>
      <c r="DGW103" s="3"/>
      <c r="DGX103" s="3"/>
      <c r="DGY103" s="3"/>
      <c r="DGZ103" s="3"/>
      <c r="DHA103" s="3"/>
      <c r="DHB103" s="3"/>
      <c r="DHC103" s="3"/>
      <c r="DHD103" s="3"/>
      <c r="DHE103" s="3"/>
      <c r="DHF103" s="3"/>
      <c r="DHG103" s="3"/>
      <c r="DHH103" s="3"/>
      <c r="DHI103" s="3"/>
      <c r="DHJ103" s="3"/>
      <c r="DHK103" s="3"/>
      <c r="DHL103" s="3"/>
      <c r="DHM103" s="3"/>
      <c r="DHN103" s="3"/>
      <c r="DHO103" s="3"/>
      <c r="DHP103" s="3"/>
      <c r="DHQ103" s="3"/>
      <c r="DHR103" s="3"/>
      <c r="DHS103" s="3"/>
      <c r="DHT103" s="3"/>
      <c r="DHU103" s="3"/>
      <c r="DHV103" s="3"/>
      <c r="DHW103" s="3"/>
      <c r="DHX103" s="3"/>
      <c r="DHY103" s="3"/>
      <c r="DHZ103" s="3"/>
      <c r="DIA103" s="3"/>
      <c r="DIB103" s="3"/>
      <c r="DIC103" s="3"/>
      <c r="DID103" s="3"/>
      <c r="DIE103" s="3"/>
      <c r="DIF103" s="3"/>
      <c r="DIG103" s="3"/>
      <c r="DIH103" s="3"/>
      <c r="DII103" s="3"/>
      <c r="DIJ103" s="3"/>
      <c r="DIK103" s="3"/>
      <c r="DIL103" s="3"/>
      <c r="DIM103" s="3"/>
      <c r="DIN103" s="3"/>
      <c r="DIO103" s="3"/>
      <c r="DIP103" s="3"/>
      <c r="DIQ103" s="3"/>
      <c r="DIR103" s="3"/>
      <c r="DIS103" s="3"/>
      <c r="DIT103" s="3"/>
      <c r="DIU103" s="3"/>
      <c r="DIV103" s="3"/>
      <c r="DIW103" s="3"/>
      <c r="DIX103" s="3"/>
      <c r="DIY103" s="3"/>
      <c r="DIZ103" s="3"/>
      <c r="DJA103" s="3"/>
      <c r="DJB103" s="3"/>
      <c r="DJC103" s="3"/>
      <c r="DJD103" s="3"/>
      <c r="DJE103" s="3"/>
      <c r="DJF103" s="3"/>
      <c r="DJG103" s="3"/>
      <c r="DJH103" s="3"/>
      <c r="DJI103" s="3"/>
      <c r="DJJ103" s="3"/>
      <c r="DJK103" s="3"/>
      <c r="DJL103" s="3"/>
      <c r="DJM103" s="3"/>
      <c r="DJN103" s="3"/>
      <c r="DJO103" s="3"/>
      <c r="DJP103" s="3"/>
      <c r="DJQ103" s="3"/>
      <c r="DJR103" s="3"/>
      <c r="DJS103" s="3"/>
      <c r="DJT103" s="3"/>
      <c r="DJU103" s="3"/>
      <c r="DJV103" s="3"/>
      <c r="DJW103" s="3"/>
      <c r="DJX103" s="3"/>
      <c r="DJY103" s="3"/>
      <c r="DJZ103" s="3"/>
      <c r="DKA103" s="3"/>
      <c r="DKB103" s="3"/>
      <c r="DKC103" s="3"/>
      <c r="DKD103" s="3"/>
      <c r="DKE103" s="3"/>
      <c r="DKF103" s="3"/>
      <c r="DKG103" s="3"/>
      <c r="DKH103" s="3"/>
      <c r="DKI103" s="3"/>
      <c r="DKJ103" s="3"/>
      <c r="DKK103" s="3"/>
      <c r="DKL103" s="3"/>
      <c r="DKM103" s="3"/>
      <c r="DKN103" s="3"/>
      <c r="DKO103" s="3"/>
      <c r="DKP103" s="3"/>
      <c r="DKQ103" s="3"/>
      <c r="DKR103" s="3"/>
      <c r="DKS103" s="3"/>
      <c r="DKT103" s="3"/>
      <c r="DKU103" s="3"/>
      <c r="DKV103" s="3"/>
      <c r="DKW103" s="3"/>
      <c r="DKX103" s="3"/>
      <c r="DKY103" s="3"/>
      <c r="DKZ103" s="3"/>
      <c r="DLA103" s="3"/>
      <c r="DLB103" s="3"/>
      <c r="DLC103" s="3"/>
      <c r="DLD103" s="3"/>
      <c r="DLE103" s="3"/>
      <c r="DLF103" s="3"/>
      <c r="DLG103" s="3"/>
      <c r="DLH103" s="3"/>
      <c r="DLI103" s="3"/>
      <c r="DLJ103" s="3"/>
      <c r="DLK103" s="3"/>
      <c r="DLL103" s="3"/>
      <c r="DLM103" s="3"/>
      <c r="DLN103" s="3"/>
      <c r="DLO103" s="3"/>
      <c r="DLP103" s="3"/>
      <c r="DLQ103" s="3"/>
      <c r="DLR103" s="3"/>
      <c r="DLS103" s="3"/>
      <c r="DLT103" s="3"/>
      <c r="DLU103" s="3"/>
      <c r="DLV103" s="3"/>
      <c r="DLW103" s="3"/>
      <c r="DLX103" s="3"/>
      <c r="DLY103" s="3"/>
      <c r="DLZ103" s="3"/>
      <c r="DMA103" s="3"/>
      <c r="DMB103" s="3"/>
      <c r="DMC103" s="3"/>
      <c r="DMD103" s="3"/>
      <c r="DME103" s="3"/>
      <c r="DMF103" s="3"/>
      <c r="DMG103" s="3"/>
      <c r="DMH103" s="3"/>
      <c r="DMI103" s="3"/>
      <c r="DMJ103" s="3"/>
      <c r="DMK103" s="3"/>
      <c r="DML103" s="3"/>
      <c r="DMM103" s="3"/>
      <c r="DMN103" s="3"/>
      <c r="DMO103" s="3"/>
      <c r="DMP103" s="3"/>
      <c r="DMQ103" s="3"/>
      <c r="DMR103" s="3"/>
      <c r="DMS103" s="3"/>
      <c r="DMT103" s="3"/>
      <c r="DMU103" s="3"/>
      <c r="DMV103" s="3"/>
      <c r="DMW103" s="3"/>
      <c r="DMX103" s="3"/>
      <c r="DMY103" s="3"/>
      <c r="DMZ103" s="3"/>
      <c r="DNA103" s="3"/>
      <c r="DNB103" s="3"/>
      <c r="DNC103" s="3"/>
      <c r="DND103" s="3"/>
      <c r="DNE103" s="3"/>
      <c r="DNF103" s="3"/>
      <c r="DNG103" s="3"/>
      <c r="DNH103" s="3"/>
      <c r="DNI103" s="3"/>
      <c r="DNJ103" s="3"/>
      <c r="DNK103" s="3"/>
      <c r="DNL103" s="3"/>
      <c r="DNM103" s="3"/>
      <c r="DNN103" s="3"/>
      <c r="DNO103" s="3"/>
      <c r="DNP103" s="3"/>
      <c r="DNQ103" s="3"/>
      <c r="DNR103" s="3"/>
      <c r="DNS103" s="3"/>
      <c r="DNT103" s="3"/>
      <c r="DNU103" s="3"/>
      <c r="DNV103" s="3"/>
      <c r="DNW103" s="3"/>
      <c r="DNX103" s="3"/>
      <c r="DNY103" s="3"/>
      <c r="DNZ103" s="3"/>
      <c r="DOA103" s="3"/>
      <c r="DOB103" s="3"/>
      <c r="DOC103" s="3"/>
      <c r="DOD103" s="3"/>
      <c r="DOE103" s="3"/>
      <c r="DOF103" s="3"/>
      <c r="DOG103" s="3"/>
      <c r="DOH103" s="3"/>
      <c r="DOI103" s="3"/>
      <c r="DOJ103" s="3"/>
      <c r="DOK103" s="3"/>
      <c r="DOL103" s="3"/>
      <c r="DOM103" s="3"/>
      <c r="DON103" s="3"/>
      <c r="DOO103" s="3"/>
      <c r="DOP103" s="3"/>
      <c r="DOQ103" s="3"/>
      <c r="DOR103" s="3"/>
      <c r="DOS103" s="3"/>
      <c r="DOT103" s="3"/>
      <c r="DOU103" s="3"/>
      <c r="DOV103" s="3"/>
      <c r="DOW103" s="3"/>
      <c r="DOX103" s="3"/>
      <c r="DOY103" s="3"/>
      <c r="DOZ103" s="3"/>
      <c r="DPA103" s="3"/>
      <c r="DPB103" s="3"/>
      <c r="DPC103" s="3"/>
      <c r="DPD103" s="3"/>
      <c r="DPE103" s="3"/>
      <c r="DPF103" s="3"/>
      <c r="DPG103" s="3"/>
      <c r="DPH103" s="3"/>
      <c r="DPI103" s="3"/>
      <c r="DPJ103" s="3"/>
      <c r="DPK103" s="3"/>
      <c r="DPL103" s="3"/>
      <c r="DPM103" s="3"/>
      <c r="DPN103" s="3"/>
      <c r="DPO103" s="3"/>
      <c r="DPP103" s="3"/>
      <c r="DPQ103" s="3"/>
      <c r="DPR103" s="3"/>
      <c r="DPS103" s="3"/>
      <c r="DPT103" s="3"/>
      <c r="DPU103" s="3"/>
      <c r="DPV103" s="3"/>
      <c r="DPW103" s="3"/>
      <c r="DPX103" s="3"/>
      <c r="DPY103" s="3"/>
      <c r="DPZ103" s="3"/>
      <c r="DQA103" s="3"/>
      <c r="DQB103" s="3"/>
      <c r="DQC103" s="3"/>
      <c r="DQD103" s="3"/>
      <c r="DQE103" s="3"/>
      <c r="DQF103" s="3"/>
      <c r="DQG103" s="3"/>
      <c r="DQH103" s="3"/>
      <c r="DQI103" s="3"/>
      <c r="DQJ103" s="3"/>
      <c r="DQK103" s="3"/>
      <c r="DQL103" s="3"/>
      <c r="DQM103" s="3"/>
      <c r="DQN103" s="3"/>
      <c r="DQO103" s="3"/>
      <c r="DQP103" s="3"/>
      <c r="DQQ103" s="3"/>
      <c r="DQR103" s="3"/>
      <c r="DQS103" s="3"/>
      <c r="DQT103" s="3"/>
      <c r="DQU103" s="3"/>
      <c r="DQV103" s="3"/>
      <c r="DQW103" s="3"/>
      <c r="DQX103" s="3"/>
      <c r="DQY103" s="3"/>
      <c r="DQZ103" s="3"/>
      <c r="DRA103" s="3"/>
      <c r="DRB103" s="3"/>
      <c r="DRC103" s="3"/>
      <c r="DRD103" s="3"/>
      <c r="DRE103" s="3"/>
      <c r="DRF103" s="3"/>
      <c r="DRG103" s="3"/>
      <c r="DRH103" s="3"/>
      <c r="DRI103" s="3"/>
      <c r="DRJ103" s="3"/>
      <c r="DRK103" s="3"/>
      <c r="DRL103" s="3"/>
      <c r="DRM103" s="3"/>
      <c r="DRN103" s="3"/>
      <c r="DRO103" s="3"/>
      <c r="DRP103" s="3"/>
      <c r="DRQ103" s="3"/>
      <c r="DRR103" s="3"/>
      <c r="DRS103" s="3"/>
      <c r="DRT103" s="3"/>
      <c r="DRU103" s="3"/>
      <c r="DRV103" s="3"/>
      <c r="DRW103" s="3"/>
      <c r="DRX103" s="3"/>
      <c r="DRY103" s="3"/>
      <c r="DRZ103" s="3"/>
      <c r="DSA103" s="3"/>
      <c r="DSB103" s="3"/>
      <c r="DSC103" s="3"/>
      <c r="DSD103" s="3"/>
      <c r="DSE103" s="3"/>
      <c r="DSF103" s="3"/>
      <c r="DSG103" s="3"/>
      <c r="DSH103" s="3"/>
      <c r="DSI103" s="3"/>
      <c r="DSJ103" s="3"/>
      <c r="DSK103" s="3"/>
      <c r="DSL103" s="3"/>
      <c r="DSM103" s="3"/>
      <c r="DSN103" s="3"/>
      <c r="DSO103" s="3"/>
      <c r="DSP103" s="3"/>
      <c r="DSQ103" s="3"/>
      <c r="DSR103" s="3"/>
      <c r="DSS103" s="3"/>
      <c r="DST103" s="3"/>
      <c r="DSU103" s="3"/>
      <c r="DSV103" s="3"/>
      <c r="DSW103" s="3"/>
      <c r="DSX103" s="3"/>
      <c r="DSY103" s="3"/>
      <c r="DSZ103" s="3"/>
      <c r="DTA103" s="3"/>
      <c r="DTB103" s="3"/>
      <c r="DTC103" s="3"/>
      <c r="DTD103" s="3"/>
      <c r="DTE103" s="3"/>
      <c r="DTF103" s="3"/>
      <c r="DTG103" s="3"/>
      <c r="DTH103" s="3"/>
      <c r="DTI103" s="3"/>
      <c r="DTJ103" s="3"/>
      <c r="DTK103" s="3"/>
      <c r="DTL103" s="3"/>
      <c r="DTM103" s="3"/>
      <c r="DTN103" s="3"/>
      <c r="DTO103" s="3"/>
      <c r="DTP103" s="3"/>
      <c r="DTQ103" s="3"/>
      <c r="DTR103" s="3"/>
      <c r="DTS103" s="3"/>
      <c r="DTT103" s="3"/>
      <c r="DTU103" s="3"/>
      <c r="DTV103" s="3"/>
      <c r="DTW103" s="3"/>
      <c r="DTX103" s="3"/>
      <c r="DTY103" s="3"/>
      <c r="DTZ103" s="3"/>
      <c r="DUA103" s="3"/>
      <c r="DUB103" s="3"/>
      <c r="DUC103" s="3"/>
      <c r="DUD103" s="3"/>
      <c r="DUE103" s="3"/>
      <c r="DUF103" s="3"/>
      <c r="DUG103" s="3"/>
      <c r="DUH103" s="3"/>
      <c r="DUI103" s="3"/>
      <c r="DUJ103" s="3"/>
      <c r="DUK103" s="3"/>
      <c r="DUL103" s="3"/>
      <c r="DUM103" s="3"/>
      <c r="DUN103" s="3"/>
      <c r="DUO103" s="3"/>
      <c r="DUP103" s="3"/>
      <c r="DUQ103" s="3"/>
      <c r="DUR103" s="3"/>
      <c r="DUS103" s="3"/>
      <c r="DUT103" s="3"/>
      <c r="DUU103" s="3"/>
      <c r="DUV103" s="3"/>
      <c r="DUW103" s="3"/>
      <c r="DUX103" s="3"/>
      <c r="DUY103" s="3"/>
      <c r="DUZ103" s="3"/>
      <c r="DVA103" s="3"/>
      <c r="DVB103" s="3"/>
      <c r="DVC103" s="3"/>
      <c r="DVD103" s="3"/>
      <c r="DVE103" s="3"/>
      <c r="DVF103" s="3"/>
      <c r="DVG103" s="3"/>
      <c r="DVH103" s="3"/>
      <c r="DVI103" s="3"/>
      <c r="DVJ103" s="3"/>
      <c r="DVK103" s="3"/>
      <c r="DVL103" s="3"/>
      <c r="DVM103" s="3"/>
      <c r="DVN103" s="3"/>
      <c r="DVO103" s="3"/>
      <c r="DVP103" s="3"/>
      <c r="DVQ103" s="3"/>
      <c r="DVR103" s="3"/>
      <c r="DVS103" s="3"/>
      <c r="DVT103" s="3"/>
      <c r="DVU103" s="3"/>
      <c r="DVV103" s="3"/>
      <c r="DVW103" s="3"/>
      <c r="DVX103" s="3"/>
      <c r="DVY103" s="3"/>
      <c r="DVZ103" s="3"/>
      <c r="DWA103" s="3"/>
      <c r="DWB103" s="3"/>
      <c r="DWC103" s="3"/>
      <c r="DWD103" s="3"/>
      <c r="DWE103" s="3"/>
      <c r="DWF103" s="3"/>
      <c r="DWG103" s="3"/>
      <c r="DWH103" s="3"/>
      <c r="DWI103" s="3"/>
      <c r="DWJ103" s="3"/>
      <c r="DWK103" s="3"/>
      <c r="DWL103" s="3"/>
      <c r="DWM103" s="3"/>
      <c r="DWN103" s="3"/>
      <c r="DWO103" s="3"/>
      <c r="DWP103" s="3"/>
      <c r="DWQ103" s="3"/>
      <c r="DWR103" s="3"/>
      <c r="DWS103" s="3"/>
      <c r="DWT103" s="3"/>
      <c r="DWU103" s="3"/>
      <c r="DWV103" s="3"/>
      <c r="DWW103" s="3"/>
      <c r="DWX103" s="3"/>
      <c r="DWY103" s="3"/>
      <c r="DWZ103" s="3"/>
      <c r="DXA103" s="3"/>
      <c r="DXB103" s="3"/>
      <c r="DXC103" s="3"/>
      <c r="DXD103" s="3"/>
      <c r="DXE103" s="3"/>
      <c r="DXF103" s="3"/>
      <c r="DXG103" s="3"/>
      <c r="DXH103" s="3"/>
      <c r="DXI103" s="3"/>
      <c r="DXJ103" s="3"/>
      <c r="DXK103" s="3"/>
      <c r="DXL103" s="3"/>
      <c r="DXM103" s="3"/>
      <c r="DXN103" s="3"/>
      <c r="DXO103" s="3"/>
      <c r="DXP103" s="3"/>
      <c r="DXQ103" s="3"/>
      <c r="DXR103" s="3"/>
      <c r="DXS103" s="3"/>
      <c r="DXT103" s="3"/>
      <c r="DXU103" s="3"/>
      <c r="DXV103" s="3"/>
      <c r="DXW103" s="3"/>
      <c r="DXX103" s="3"/>
      <c r="DXY103" s="3"/>
      <c r="DXZ103" s="3"/>
      <c r="DYA103" s="3"/>
      <c r="DYB103" s="3"/>
      <c r="DYC103" s="3"/>
      <c r="DYD103" s="3"/>
      <c r="DYE103" s="3"/>
      <c r="DYF103" s="3"/>
      <c r="DYG103" s="3"/>
      <c r="DYH103" s="3"/>
      <c r="DYI103" s="3"/>
      <c r="DYJ103" s="3"/>
      <c r="DYK103" s="3"/>
      <c r="DYL103" s="3"/>
      <c r="DYM103" s="3"/>
      <c r="DYN103" s="3"/>
      <c r="DYO103" s="3"/>
      <c r="DYP103" s="3"/>
      <c r="DYQ103" s="3"/>
      <c r="DYR103" s="3"/>
      <c r="DYS103" s="3"/>
      <c r="DYT103" s="3"/>
      <c r="DYU103" s="3"/>
      <c r="DYV103" s="3"/>
      <c r="DYW103" s="3"/>
      <c r="DYX103" s="3"/>
      <c r="DYY103" s="3"/>
      <c r="DYZ103" s="3"/>
      <c r="DZA103" s="3"/>
      <c r="DZB103" s="3"/>
      <c r="DZC103" s="3"/>
      <c r="DZD103" s="3"/>
      <c r="DZE103" s="3"/>
      <c r="DZF103" s="3"/>
      <c r="DZG103" s="3"/>
      <c r="DZH103" s="3"/>
      <c r="DZI103" s="3"/>
      <c r="DZJ103" s="3"/>
      <c r="DZK103" s="3"/>
      <c r="DZL103" s="3"/>
      <c r="DZM103" s="3"/>
      <c r="DZN103" s="3"/>
      <c r="DZO103" s="3"/>
      <c r="DZP103" s="3"/>
      <c r="DZQ103" s="3"/>
      <c r="DZR103" s="3"/>
      <c r="DZS103" s="3"/>
      <c r="DZT103" s="3"/>
      <c r="DZU103" s="3"/>
      <c r="DZV103" s="3"/>
      <c r="DZW103" s="3"/>
      <c r="DZX103" s="3"/>
      <c r="DZY103" s="3"/>
      <c r="DZZ103" s="3"/>
      <c r="EAA103" s="3"/>
      <c r="EAB103" s="3"/>
      <c r="EAC103" s="3"/>
      <c r="EAD103" s="3"/>
      <c r="EAE103" s="3"/>
      <c r="EAF103" s="3"/>
      <c r="EAG103" s="3"/>
      <c r="EAH103" s="3"/>
      <c r="EAI103" s="3"/>
      <c r="EAJ103" s="3"/>
      <c r="EAK103" s="3"/>
      <c r="EAL103" s="3"/>
      <c r="EAM103" s="3"/>
      <c r="EAN103" s="3"/>
      <c r="EAO103" s="3"/>
      <c r="EAP103" s="3"/>
      <c r="EAQ103" s="3"/>
      <c r="EAR103" s="3"/>
      <c r="EAS103" s="3"/>
      <c r="EAT103" s="3"/>
      <c r="EAU103" s="3"/>
      <c r="EAV103" s="3"/>
      <c r="EAW103" s="3"/>
      <c r="EAX103" s="3"/>
      <c r="EAY103" s="3"/>
      <c r="EAZ103" s="3"/>
      <c r="EBA103" s="3"/>
      <c r="EBB103" s="3"/>
      <c r="EBC103" s="3"/>
      <c r="EBD103" s="3"/>
      <c r="EBE103" s="3"/>
      <c r="EBF103" s="3"/>
      <c r="EBG103" s="3"/>
      <c r="EBH103" s="3"/>
      <c r="EBI103" s="3"/>
      <c r="EBJ103" s="3"/>
      <c r="EBK103" s="3"/>
      <c r="EBL103" s="3"/>
      <c r="EBM103" s="3"/>
      <c r="EBN103" s="3"/>
      <c r="EBO103" s="3"/>
      <c r="EBP103" s="3"/>
      <c r="EBQ103" s="3"/>
      <c r="EBR103" s="3"/>
      <c r="EBS103" s="3"/>
      <c r="EBT103" s="3"/>
      <c r="EBU103" s="3"/>
      <c r="EBV103" s="3"/>
      <c r="EBW103" s="3"/>
      <c r="EBX103" s="3"/>
      <c r="EBY103" s="3"/>
      <c r="EBZ103" s="3"/>
      <c r="ECA103" s="3"/>
      <c r="ECB103" s="3"/>
      <c r="ECC103" s="3"/>
      <c r="ECD103" s="3"/>
      <c r="ECE103" s="3"/>
      <c r="ECF103" s="3"/>
      <c r="ECG103" s="3"/>
      <c r="ECH103" s="3"/>
      <c r="ECI103" s="3"/>
      <c r="ECJ103" s="3"/>
      <c r="ECK103" s="3"/>
      <c r="ECL103" s="3"/>
      <c r="ECM103" s="3"/>
      <c r="ECN103" s="3"/>
      <c r="ECO103" s="3"/>
      <c r="ECP103" s="3"/>
      <c r="ECQ103" s="3"/>
      <c r="ECR103" s="3"/>
      <c r="ECS103" s="3"/>
      <c r="ECT103" s="3"/>
      <c r="ECU103" s="3"/>
      <c r="ECV103" s="3"/>
      <c r="ECW103" s="3"/>
      <c r="ECX103" s="3"/>
      <c r="ECY103" s="3"/>
      <c r="ECZ103" s="3"/>
      <c r="EDA103" s="3"/>
      <c r="EDB103" s="3"/>
      <c r="EDC103" s="3"/>
      <c r="EDD103" s="3"/>
      <c r="EDE103" s="3"/>
      <c r="EDF103" s="3"/>
      <c r="EDG103" s="3"/>
      <c r="EDH103" s="3"/>
      <c r="EDI103" s="3"/>
      <c r="EDJ103" s="3"/>
      <c r="EDK103" s="3"/>
      <c r="EDL103" s="3"/>
      <c r="EDM103" s="3"/>
      <c r="EDN103" s="3"/>
      <c r="EDO103" s="3"/>
      <c r="EDP103" s="3"/>
      <c r="EDQ103" s="3"/>
      <c r="EDR103" s="3"/>
      <c r="EDS103" s="3"/>
      <c r="EDT103" s="3"/>
      <c r="EDU103" s="3"/>
      <c r="EDV103" s="3"/>
      <c r="EDW103" s="3"/>
      <c r="EDX103" s="3"/>
      <c r="EDY103" s="3"/>
      <c r="EDZ103" s="3"/>
      <c r="EEA103" s="3"/>
      <c r="EEB103" s="3"/>
      <c r="EEC103" s="3"/>
      <c r="EED103" s="3"/>
      <c r="EEE103" s="3"/>
      <c r="EEF103" s="3"/>
      <c r="EEG103" s="3"/>
      <c r="EEH103" s="3"/>
      <c r="EEI103" s="3"/>
      <c r="EEJ103" s="3"/>
      <c r="EEK103" s="3"/>
      <c r="EEL103" s="3"/>
      <c r="EEM103" s="3"/>
      <c r="EEN103" s="3"/>
      <c r="EEO103" s="3"/>
      <c r="EEP103" s="3"/>
      <c r="EEQ103" s="3"/>
      <c r="EER103" s="3"/>
      <c r="EES103" s="3"/>
      <c r="EET103" s="3"/>
      <c r="EEU103" s="3"/>
      <c r="EEV103" s="3"/>
      <c r="EEW103" s="3"/>
      <c r="EEX103" s="3"/>
      <c r="EEY103" s="3"/>
      <c r="EEZ103" s="3"/>
      <c r="EFA103" s="3"/>
      <c r="EFB103" s="3"/>
      <c r="EFC103" s="3"/>
      <c r="EFD103" s="3"/>
      <c r="EFE103" s="3"/>
      <c r="EFF103" s="3"/>
      <c r="EFG103" s="3"/>
      <c r="EFH103" s="3"/>
      <c r="EFI103" s="3"/>
      <c r="EFJ103" s="3"/>
      <c r="EFK103" s="3"/>
      <c r="EFL103" s="3"/>
      <c r="EFM103" s="3"/>
      <c r="EFN103" s="3"/>
      <c r="EFO103" s="3"/>
      <c r="EFP103" s="3"/>
      <c r="EFQ103" s="3"/>
      <c r="EFR103" s="3"/>
      <c r="EFS103" s="3"/>
      <c r="EFT103" s="3"/>
      <c r="EFU103" s="3"/>
      <c r="EFV103" s="3"/>
      <c r="EFW103" s="3"/>
      <c r="EFX103" s="3"/>
      <c r="EFY103" s="3"/>
      <c r="EFZ103" s="3"/>
      <c r="EGA103" s="3"/>
      <c r="EGB103" s="3"/>
      <c r="EGC103" s="3"/>
      <c r="EGD103" s="3"/>
      <c r="EGE103" s="3"/>
      <c r="EGF103" s="3"/>
      <c r="EGG103" s="3"/>
      <c r="EGH103" s="3"/>
      <c r="EGI103" s="3"/>
      <c r="EGJ103" s="3"/>
      <c r="EGK103" s="3"/>
      <c r="EGL103" s="3"/>
      <c r="EGM103" s="3"/>
      <c r="EGN103" s="3"/>
      <c r="EGO103" s="3"/>
      <c r="EGP103" s="3"/>
      <c r="EGQ103" s="3"/>
      <c r="EGR103" s="3"/>
      <c r="EGS103" s="3"/>
      <c r="EGT103" s="3"/>
      <c r="EGU103" s="3"/>
      <c r="EGV103" s="3"/>
      <c r="EGW103" s="3"/>
      <c r="EGX103" s="3"/>
      <c r="EGY103" s="3"/>
      <c r="EGZ103" s="3"/>
      <c r="EHA103" s="3"/>
      <c r="EHB103" s="3"/>
      <c r="EHC103" s="3"/>
      <c r="EHD103" s="3"/>
      <c r="EHE103" s="3"/>
      <c r="EHF103" s="3"/>
      <c r="EHG103" s="3"/>
      <c r="EHH103" s="3"/>
      <c r="EHI103" s="3"/>
      <c r="EHJ103" s="3"/>
      <c r="EHK103" s="3"/>
      <c r="EHL103" s="3"/>
      <c r="EHM103" s="3"/>
      <c r="EHN103" s="3"/>
      <c r="EHO103" s="3"/>
      <c r="EHP103" s="3"/>
      <c r="EHQ103" s="3"/>
      <c r="EHR103" s="3"/>
      <c r="EHS103" s="3"/>
      <c r="EHT103" s="3"/>
      <c r="EHU103" s="3"/>
      <c r="EHV103" s="3"/>
      <c r="EHW103" s="3"/>
      <c r="EHX103" s="3"/>
      <c r="EHY103" s="3"/>
      <c r="EHZ103" s="3"/>
      <c r="EIA103" s="3"/>
      <c r="EIB103" s="3"/>
      <c r="EIC103" s="3"/>
      <c r="EID103" s="3"/>
      <c r="EIE103" s="3"/>
      <c r="EIF103" s="3"/>
      <c r="EIG103" s="3"/>
      <c r="EIH103" s="3"/>
      <c r="EII103" s="3"/>
      <c r="EIJ103" s="3"/>
      <c r="EIK103" s="3"/>
      <c r="EIL103" s="3"/>
      <c r="EIM103" s="3"/>
      <c r="EIN103" s="3"/>
      <c r="EIO103" s="3"/>
      <c r="EIP103" s="3"/>
      <c r="EIQ103" s="3"/>
      <c r="EIR103" s="3"/>
      <c r="EIS103" s="3"/>
      <c r="EIT103" s="3"/>
      <c r="EIU103" s="3"/>
      <c r="EIV103" s="3"/>
      <c r="EIW103" s="3"/>
      <c r="EIX103" s="3"/>
      <c r="EIY103" s="3"/>
      <c r="EIZ103" s="3"/>
      <c r="EJA103" s="3"/>
      <c r="EJB103" s="3"/>
      <c r="EJC103" s="3"/>
      <c r="EJD103" s="3"/>
      <c r="EJE103" s="3"/>
      <c r="EJF103" s="3"/>
      <c r="EJG103" s="3"/>
      <c r="EJH103" s="3"/>
      <c r="EJI103" s="3"/>
      <c r="EJJ103" s="3"/>
      <c r="EJK103" s="3"/>
      <c r="EJL103" s="3"/>
      <c r="EJM103" s="3"/>
      <c r="EJN103" s="3"/>
      <c r="EJO103" s="3"/>
      <c r="EJP103" s="3"/>
      <c r="EJQ103" s="3"/>
      <c r="EJR103" s="3"/>
      <c r="EJS103" s="3"/>
      <c r="EJT103" s="3"/>
      <c r="EJU103" s="3"/>
      <c r="EJV103" s="3"/>
      <c r="EJW103" s="3"/>
      <c r="EJX103" s="3"/>
      <c r="EJY103" s="3"/>
      <c r="EJZ103" s="3"/>
      <c r="EKA103" s="3"/>
      <c r="EKB103" s="3"/>
      <c r="EKC103" s="3"/>
      <c r="EKD103" s="3"/>
      <c r="EKE103" s="3"/>
      <c r="EKF103" s="3"/>
      <c r="EKG103" s="3"/>
      <c r="EKH103" s="3"/>
      <c r="EKI103" s="3"/>
      <c r="EKJ103" s="3"/>
      <c r="EKK103" s="3"/>
      <c r="EKL103" s="3"/>
      <c r="EKM103" s="3"/>
      <c r="EKN103" s="3"/>
      <c r="EKO103" s="3"/>
      <c r="EKP103" s="3"/>
      <c r="EKQ103" s="3"/>
      <c r="EKR103" s="3"/>
      <c r="EKS103" s="3"/>
      <c r="EKT103" s="3"/>
      <c r="EKU103" s="3"/>
      <c r="EKV103" s="3"/>
      <c r="EKW103" s="3"/>
      <c r="EKX103" s="3"/>
      <c r="EKY103" s="3"/>
      <c r="EKZ103" s="3"/>
      <c r="ELA103" s="3"/>
      <c r="ELB103" s="3"/>
      <c r="ELC103" s="3"/>
      <c r="ELD103" s="3"/>
      <c r="ELE103" s="3"/>
      <c r="ELF103" s="3"/>
      <c r="ELG103" s="3"/>
      <c r="ELH103" s="3"/>
      <c r="ELI103" s="3"/>
      <c r="ELJ103" s="3"/>
      <c r="ELK103" s="3"/>
      <c r="ELL103" s="3"/>
      <c r="ELM103" s="3"/>
      <c r="ELN103" s="3"/>
      <c r="ELO103" s="3"/>
      <c r="ELP103" s="3"/>
      <c r="ELQ103" s="3"/>
      <c r="ELR103" s="3"/>
      <c r="ELS103" s="3"/>
      <c r="ELT103" s="3"/>
      <c r="ELU103" s="3"/>
      <c r="ELV103" s="3"/>
      <c r="ELW103" s="3"/>
      <c r="ELX103" s="3"/>
      <c r="ELY103" s="3"/>
      <c r="ELZ103" s="3"/>
      <c r="EMA103" s="3"/>
      <c r="EMB103" s="3"/>
      <c r="EMC103" s="3"/>
      <c r="EMD103" s="3"/>
      <c r="EME103" s="3"/>
      <c r="EMF103" s="3"/>
      <c r="EMG103" s="3"/>
      <c r="EMH103" s="3"/>
      <c r="EMI103" s="3"/>
      <c r="EMJ103" s="3"/>
      <c r="EMK103" s="3"/>
      <c r="EML103" s="3"/>
      <c r="EMM103" s="3"/>
      <c r="EMN103" s="3"/>
      <c r="EMO103" s="3"/>
      <c r="EMP103" s="3"/>
      <c r="EMQ103" s="3"/>
      <c r="EMR103" s="3"/>
      <c r="EMS103" s="3"/>
      <c r="EMT103" s="3"/>
      <c r="EMU103" s="3"/>
      <c r="EMV103" s="3"/>
      <c r="EMW103" s="3"/>
      <c r="EMX103" s="3"/>
      <c r="EMY103" s="3"/>
      <c r="EMZ103" s="3"/>
      <c r="ENA103" s="3"/>
      <c r="ENB103" s="3"/>
      <c r="ENC103" s="3"/>
      <c r="END103" s="3"/>
      <c r="ENE103" s="3"/>
      <c r="ENF103" s="3"/>
      <c r="ENG103" s="3"/>
      <c r="ENH103" s="3"/>
      <c r="ENI103" s="3"/>
      <c r="ENJ103" s="3"/>
      <c r="ENK103" s="3"/>
      <c r="ENL103" s="3"/>
      <c r="ENM103" s="3"/>
      <c r="ENN103" s="3"/>
      <c r="ENO103" s="3"/>
      <c r="ENP103" s="3"/>
      <c r="ENQ103" s="3"/>
      <c r="ENR103" s="3"/>
      <c r="ENS103" s="3"/>
      <c r="ENT103" s="3"/>
      <c r="ENU103" s="3"/>
      <c r="ENV103" s="3"/>
      <c r="ENW103" s="3"/>
      <c r="ENX103" s="3"/>
      <c r="ENY103" s="3"/>
      <c r="ENZ103" s="3"/>
      <c r="EOA103" s="3"/>
      <c r="EOB103" s="3"/>
      <c r="EOC103" s="3"/>
      <c r="EOD103" s="3"/>
      <c r="EOE103" s="3"/>
      <c r="EOF103" s="3"/>
      <c r="EOG103" s="3"/>
      <c r="EOH103" s="3"/>
      <c r="EOI103" s="3"/>
      <c r="EOJ103" s="3"/>
      <c r="EOK103" s="3"/>
      <c r="EOL103" s="3"/>
      <c r="EOM103" s="3"/>
      <c r="EON103" s="3"/>
      <c r="EOO103" s="3"/>
      <c r="EOP103" s="3"/>
      <c r="EOQ103" s="3"/>
      <c r="EOR103" s="3"/>
      <c r="EOS103" s="3"/>
      <c r="EOT103" s="3"/>
      <c r="EOU103" s="3"/>
      <c r="EOV103" s="3"/>
      <c r="EOW103" s="3"/>
      <c r="EOX103" s="3"/>
      <c r="EOY103" s="3"/>
      <c r="EOZ103" s="3"/>
      <c r="EPA103" s="3"/>
      <c r="EPB103" s="3"/>
      <c r="EPC103" s="3"/>
      <c r="EPD103" s="3"/>
      <c r="EPE103" s="3"/>
      <c r="EPF103" s="3"/>
      <c r="EPG103" s="3"/>
      <c r="EPH103" s="3"/>
      <c r="EPI103" s="3"/>
      <c r="EPJ103" s="3"/>
      <c r="EPK103" s="3"/>
      <c r="EPL103" s="3"/>
      <c r="EPM103" s="3"/>
      <c r="EPN103" s="3"/>
      <c r="EPO103" s="3"/>
      <c r="EPP103" s="3"/>
      <c r="EPQ103" s="3"/>
      <c r="EPR103" s="3"/>
      <c r="EPS103" s="3"/>
      <c r="EPT103" s="3"/>
      <c r="EPU103" s="3"/>
      <c r="EPV103" s="3"/>
      <c r="EPW103" s="3"/>
      <c r="EPX103" s="3"/>
      <c r="EPY103" s="3"/>
      <c r="EPZ103" s="3"/>
      <c r="EQA103" s="3"/>
      <c r="EQB103" s="3"/>
      <c r="EQC103" s="3"/>
      <c r="EQD103" s="3"/>
      <c r="EQE103" s="3"/>
      <c r="EQF103" s="3"/>
      <c r="EQG103" s="3"/>
      <c r="EQH103" s="3"/>
      <c r="EQI103" s="3"/>
      <c r="EQJ103" s="3"/>
      <c r="EQK103" s="3"/>
      <c r="EQL103" s="3"/>
      <c r="EQM103" s="3"/>
      <c r="EQN103" s="3"/>
      <c r="EQO103" s="3"/>
      <c r="EQP103" s="3"/>
      <c r="EQQ103" s="3"/>
      <c r="EQR103" s="3"/>
      <c r="EQS103" s="3"/>
      <c r="EQT103" s="3"/>
      <c r="EQU103" s="3"/>
      <c r="EQV103" s="3"/>
      <c r="EQW103" s="3"/>
      <c r="EQX103" s="3"/>
      <c r="EQY103" s="3"/>
      <c r="EQZ103" s="3"/>
      <c r="ERA103" s="3"/>
      <c r="ERB103" s="3"/>
      <c r="ERC103" s="3"/>
      <c r="ERD103" s="3"/>
      <c r="ERE103" s="3"/>
      <c r="ERF103" s="3"/>
      <c r="ERG103" s="3"/>
      <c r="ERH103" s="3"/>
      <c r="ERI103" s="3"/>
      <c r="ERJ103" s="3"/>
      <c r="ERK103" s="3"/>
      <c r="ERL103" s="3"/>
      <c r="ERM103" s="3"/>
      <c r="ERN103" s="3"/>
      <c r="ERO103" s="3"/>
      <c r="ERP103" s="3"/>
      <c r="ERQ103" s="3"/>
      <c r="ERR103" s="3"/>
      <c r="ERS103" s="3"/>
      <c r="ERT103" s="3"/>
      <c r="ERU103" s="3"/>
      <c r="ERV103" s="3"/>
      <c r="ERW103" s="3"/>
      <c r="ERX103" s="3"/>
      <c r="ERY103" s="3"/>
      <c r="ERZ103" s="3"/>
      <c r="ESA103" s="3"/>
      <c r="ESB103" s="3"/>
      <c r="ESC103" s="3"/>
      <c r="ESD103" s="3"/>
      <c r="ESE103" s="3"/>
      <c r="ESF103" s="3"/>
      <c r="ESG103" s="3"/>
      <c r="ESH103" s="3"/>
      <c r="ESI103" s="3"/>
      <c r="ESJ103" s="3"/>
      <c r="ESK103" s="3"/>
      <c r="ESL103" s="3"/>
      <c r="ESM103" s="3"/>
      <c r="ESN103" s="3"/>
      <c r="ESO103" s="3"/>
      <c r="ESP103" s="3"/>
      <c r="ESQ103" s="3"/>
      <c r="ESR103" s="3"/>
      <c r="ESS103" s="3"/>
      <c r="EST103" s="3"/>
      <c r="ESU103" s="3"/>
      <c r="ESV103" s="3"/>
      <c r="ESW103" s="3"/>
      <c r="ESX103" s="3"/>
      <c r="ESY103" s="3"/>
      <c r="ESZ103" s="3"/>
      <c r="ETA103" s="3"/>
      <c r="ETB103" s="3"/>
      <c r="ETC103" s="3"/>
      <c r="ETD103" s="3"/>
      <c r="ETE103" s="3"/>
      <c r="ETF103" s="3"/>
      <c r="ETG103" s="3"/>
      <c r="ETH103" s="3"/>
      <c r="ETI103" s="3"/>
      <c r="ETJ103" s="3"/>
      <c r="ETK103" s="3"/>
      <c r="ETL103" s="3"/>
      <c r="ETM103" s="3"/>
      <c r="ETN103" s="3"/>
      <c r="ETO103" s="3"/>
      <c r="ETP103" s="3"/>
      <c r="ETQ103" s="3"/>
      <c r="ETR103" s="3"/>
      <c r="ETS103" s="3"/>
      <c r="ETT103" s="3"/>
      <c r="ETU103" s="3"/>
      <c r="ETV103" s="3"/>
      <c r="ETW103" s="3"/>
      <c r="ETX103" s="3"/>
      <c r="ETY103" s="3"/>
      <c r="ETZ103" s="3"/>
      <c r="EUA103" s="3"/>
      <c r="EUB103" s="3"/>
      <c r="EUC103" s="3"/>
      <c r="EUD103" s="3"/>
      <c r="EUE103" s="3"/>
      <c r="EUF103" s="3"/>
      <c r="EUG103" s="3"/>
      <c r="EUH103" s="3"/>
      <c r="EUI103" s="3"/>
      <c r="EUJ103" s="3"/>
      <c r="EUK103" s="3"/>
      <c r="EUL103" s="3"/>
      <c r="EUM103" s="3"/>
      <c r="EUN103" s="3"/>
      <c r="EUO103" s="3"/>
      <c r="EUP103" s="3"/>
      <c r="EUQ103" s="3"/>
      <c r="EUR103" s="3"/>
      <c r="EUS103" s="3"/>
      <c r="EUT103" s="3"/>
      <c r="EUU103" s="3"/>
      <c r="EUV103" s="3"/>
      <c r="EUW103" s="3"/>
      <c r="EUX103" s="3"/>
      <c r="EUY103" s="3"/>
      <c r="EUZ103" s="3"/>
      <c r="EVA103" s="3"/>
      <c r="EVB103" s="3"/>
      <c r="EVC103" s="3"/>
      <c r="EVD103" s="3"/>
      <c r="EVE103" s="3"/>
      <c r="EVF103" s="3"/>
      <c r="EVG103" s="3"/>
      <c r="EVH103" s="3"/>
      <c r="EVI103" s="3"/>
      <c r="EVJ103" s="3"/>
      <c r="EVK103" s="3"/>
      <c r="EVL103" s="3"/>
      <c r="EVM103" s="3"/>
      <c r="EVN103" s="3"/>
      <c r="EVO103" s="3"/>
      <c r="EVP103" s="3"/>
      <c r="EVQ103" s="3"/>
      <c r="EVR103" s="3"/>
      <c r="EVS103" s="3"/>
      <c r="EVT103" s="3"/>
      <c r="EVU103" s="3"/>
      <c r="EVV103" s="3"/>
      <c r="EVW103" s="3"/>
      <c r="EVX103" s="3"/>
      <c r="EVY103" s="3"/>
      <c r="EVZ103" s="3"/>
      <c r="EWA103" s="3"/>
      <c r="EWB103" s="3"/>
      <c r="EWC103" s="3"/>
      <c r="EWD103" s="3"/>
      <c r="EWE103" s="3"/>
      <c r="EWF103" s="3"/>
      <c r="EWG103" s="3"/>
      <c r="EWH103" s="3"/>
      <c r="EWI103" s="3"/>
      <c r="EWJ103" s="3"/>
      <c r="EWK103" s="3"/>
      <c r="EWL103" s="3"/>
      <c r="EWM103" s="3"/>
      <c r="EWN103" s="3"/>
      <c r="EWO103" s="3"/>
      <c r="EWP103" s="3"/>
      <c r="EWQ103" s="3"/>
      <c r="EWR103" s="3"/>
      <c r="EWS103" s="3"/>
      <c r="EWT103" s="3"/>
      <c r="EWU103" s="3"/>
      <c r="EWV103" s="3"/>
      <c r="EWW103" s="3"/>
      <c r="EWX103" s="3"/>
      <c r="EWY103" s="3"/>
      <c r="EWZ103" s="3"/>
      <c r="EXA103" s="3"/>
      <c r="EXB103" s="3"/>
      <c r="EXC103" s="3"/>
      <c r="EXD103" s="3"/>
      <c r="EXE103" s="3"/>
      <c r="EXF103" s="3"/>
      <c r="EXG103" s="3"/>
      <c r="EXH103" s="3"/>
      <c r="EXI103" s="3"/>
      <c r="EXJ103" s="3"/>
      <c r="EXK103" s="3"/>
      <c r="EXL103" s="3"/>
      <c r="EXM103" s="3"/>
      <c r="EXN103" s="3"/>
      <c r="EXO103" s="3"/>
      <c r="EXP103" s="3"/>
      <c r="EXQ103" s="3"/>
      <c r="EXR103" s="3"/>
      <c r="EXS103" s="3"/>
      <c r="EXT103" s="3"/>
      <c r="EXU103" s="3"/>
      <c r="EXV103" s="3"/>
      <c r="EXW103" s="3"/>
      <c r="EXX103" s="3"/>
      <c r="EXY103" s="3"/>
      <c r="EXZ103" s="3"/>
      <c r="EYA103" s="3"/>
      <c r="EYB103" s="3"/>
      <c r="EYC103" s="3"/>
      <c r="EYD103" s="3"/>
      <c r="EYE103" s="3"/>
      <c r="EYF103" s="3"/>
      <c r="EYG103" s="3"/>
      <c r="EYH103" s="3"/>
      <c r="EYI103" s="3"/>
      <c r="EYJ103" s="3"/>
      <c r="EYK103" s="3"/>
      <c r="EYL103" s="3"/>
      <c r="EYM103" s="3"/>
      <c r="EYN103" s="3"/>
      <c r="EYO103" s="3"/>
      <c r="EYP103" s="3"/>
      <c r="EYQ103" s="3"/>
      <c r="EYR103" s="3"/>
      <c r="EYS103" s="3"/>
      <c r="EYT103" s="3"/>
      <c r="EYU103" s="3"/>
      <c r="EYV103" s="3"/>
      <c r="EYW103" s="3"/>
      <c r="EYX103" s="3"/>
      <c r="EYY103" s="3"/>
      <c r="EYZ103" s="3"/>
      <c r="EZA103" s="3"/>
      <c r="EZB103" s="3"/>
      <c r="EZC103" s="3"/>
      <c r="EZD103" s="3"/>
      <c r="EZE103" s="3"/>
      <c r="EZF103" s="3"/>
      <c r="EZG103" s="3"/>
      <c r="EZH103" s="3"/>
      <c r="EZI103" s="3"/>
      <c r="EZJ103" s="3"/>
      <c r="EZK103" s="3"/>
      <c r="EZL103" s="3"/>
      <c r="EZM103" s="3"/>
      <c r="EZN103" s="3"/>
      <c r="EZO103" s="3"/>
      <c r="EZP103" s="3"/>
      <c r="EZQ103" s="3"/>
      <c r="EZR103" s="3"/>
      <c r="EZS103" s="3"/>
      <c r="EZT103" s="3"/>
      <c r="EZU103" s="3"/>
      <c r="EZV103" s="3"/>
      <c r="EZW103" s="3"/>
      <c r="EZX103" s="3"/>
      <c r="EZY103" s="3"/>
      <c r="EZZ103" s="3"/>
      <c r="FAA103" s="3"/>
      <c r="FAB103" s="3"/>
      <c r="FAC103" s="3"/>
      <c r="FAD103" s="3"/>
      <c r="FAE103" s="3"/>
      <c r="FAF103" s="3"/>
      <c r="FAG103" s="3"/>
      <c r="FAH103" s="3"/>
      <c r="FAI103" s="3"/>
      <c r="FAJ103" s="3"/>
      <c r="FAK103" s="3"/>
      <c r="FAL103" s="3"/>
      <c r="FAM103" s="3"/>
      <c r="FAN103" s="3"/>
      <c r="FAO103" s="3"/>
      <c r="FAP103" s="3"/>
      <c r="FAQ103" s="3"/>
      <c r="FAR103" s="3"/>
      <c r="FAS103" s="3"/>
      <c r="FAT103" s="3"/>
      <c r="FAU103" s="3"/>
      <c r="FAV103" s="3"/>
      <c r="FAW103" s="3"/>
      <c r="FAX103" s="3"/>
      <c r="FAY103" s="3"/>
      <c r="FAZ103" s="3"/>
      <c r="FBA103" s="3"/>
      <c r="FBB103" s="3"/>
      <c r="FBC103" s="3"/>
      <c r="FBD103" s="3"/>
      <c r="FBE103" s="3"/>
      <c r="FBF103" s="3"/>
      <c r="FBG103" s="3"/>
      <c r="FBH103" s="3"/>
      <c r="FBI103" s="3"/>
      <c r="FBJ103" s="3"/>
      <c r="FBK103" s="3"/>
      <c r="FBL103" s="3"/>
      <c r="FBM103" s="3"/>
      <c r="FBN103" s="3"/>
      <c r="FBO103" s="3"/>
      <c r="FBP103" s="3"/>
      <c r="FBQ103" s="3"/>
      <c r="FBR103" s="3"/>
      <c r="FBS103" s="3"/>
      <c r="FBT103" s="3"/>
      <c r="FBU103" s="3"/>
      <c r="FBV103" s="3"/>
      <c r="FBW103" s="3"/>
      <c r="FBX103" s="3"/>
      <c r="FBY103" s="3"/>
      <c r="FBZ103" s="3"/>
      <c r="FCA103" s="3"/>
      <c r="FCB103" s="3"/>
      <c r="FCC103" s="3"/>
      <c r="FCD103" s="3"/>
      <c r="FCE103" s="3"/>
      <c r="FCF103" s="3"/>
      <c r="FCG103" s="3"/>
      <c r="FCH103" s="3"/>
      <c r="FCI103" s="3"/>
      <c r="FCJ103" s="3"/>
      <c r="FCK103" s="3"/>
      <c r="FCL103" s="3"/>
      <c r="FCM103" s="3"/>
      <c r="FCN103" s="3"/>
      <c r="FCO103" s="3"/>
      <c r="FCP103" s="3"/>
      <c r="FCQ103" s="3"/>
      <c r="FCR103" s="3"/>
      <c r="FCS103" s="3"/>
      <c r="FCT103" s="3"/>
      <c r="FCU103" s="3"/>
      <c r="FCV103" s="3"/>
      <c r="FCW103" s="3"/>
      <c r="FCX103" s="3"/>
      <c r="FCY103" s="3"/>
      <c r="FCZ103" s="3"/>
      <c r="FDA103" s="3"/>
      <c r="FDB103" s="3"/>
      <c r="FDC103" s="3"/>
      <c r="FDD103" s="3"/>
      <c r="FDE103" s="3"/>
      <c r="FDF103" s="3"/>
      <c r="FDG103" s="3"/>
      <c r="FDH103" s="3"/>
      <c r="FDI103" s="3"/>
      <c r="FDJ103" s="3"/>
      <c r="FDK103" s="3"/>
      <c r="FDL103" s="3"/>
      <c r="FDM103" s="3"/>
      <c r="FDN103" s="3"/>
      <c r="FDO103" s="3"/>
      <c r="FDP103" s="3"/>
      <c r="FDQ103" s="3"/>
      <c r="FDR103" s="3"/>
      <c r="FDS103" s="3"/>
      <c r="FDT103" s="3"/>
      <c r="FDU103" s="3"/>
      <c r="FDV103" s="3"/>
      <c r="FDW103" s="3"/>
      <c r="FDX103" s="3"/>
      <c r="FDY103" s="3"/>
      <c r="FDZ103" s="3"/>
      <c r="FEA103" s="3"/>
      <c r="FEB103" s="3"/>
      <c r="FEC103" s="3"/>
      <c r="FED103" s="3"/>
      <c r="FEE103" s="3"/>
      <c r="FEF103" s="3"/>
      <c r="FEG103" s="3"/>
      <c r="FEH103" s="3"/>
      <c r="FEI103" s="3"/>
      <c r="FEJ103" s="3"/>
      <c r="FEK103" s="3"/>
      <c r="FEL103" s="3"/>
      <c r="FEM103" s="3"/>
      <c r="FEN103" s="3"/>
      <c r="FEO103" s="3"/>
      <c r="FEP103" s="3"/>
      <c r="FEQ103" s="3"/>
      <c r="FER103" s="3"/>
      <c r="FES103" s="3"/>
      <c r="FET103" s="3"/>
      <c r="FEU103" s="3"/>
      <c r="FEV103" s="3"/>
      <c r="FEW103" s="3"/>
      <c r="FEX103" s="3"/>
      <c r="FEY103" s="3"/>
      <c r="FEZ103" s="3"/>
      <c r="FFA103" s="3"/>
      <c r="FFB103" s="3"/>
      <c r="FFC103" s="3"/>
      <c r="FFD103" s="3"/>
      <c r="FFE103" s="3"/>
      <c r="FFF103" s="3"/>
      <c r="FFG103" s="3"/>
      <c r="FFH103" s="3"/>
      <c r="FFI103" s="3"/>
      <c r="FFJ103" s="3"/>
      <c r="FFK103" s="3"/>
      <c r="FFL103" s="3"/>
      <c r="FFM103" s="3"/>
      <c r="FFN103" s="3"/>
      <c r="FFO103" s="3"/>
      <c r="FFP103" s="3"/>
      <c r="FFQ103" s="3"/>
      <c r="FFR103" s="3"/>
      <c r="FFS103" s="3"/>
      <c r="FFT103" s="3"/>
      <c r="FFU103" s="3"/>
      <c r="FFV103" s="3"/>
      <c r="FFW103" s="3"/>
      <c r="FFX103" s="3"/>
      <c r="FFY103" s="3"/>
      <c r="FFZ103" s="3"/>
      <c r="FGA103" s="3"/>
      <c r="FGB103" s="3"/>
      <c r="FGC103" s="3"/>
      <c r="FGD103" s="3"/>
      <c r="FGE103" s="3"/>
      <c r="FGF103" s="3"/>
      <c r="FGG103" s="3"/>
      <c r="FGH103" s="3"/>
      <c r="FGI103" s="3"/>
      <c r="FGJ103" s="3"/>
      <c r="FGK103" s="3"/>
      <c r="FGL103" s="3"/>
      <c r="FGM103" s="3"/>
      <c r="FGN103" s="3"/>
      <c r="FGO103" s="3"/>
      <c r="FGP103" s="3"/>
      <c r="FGQ103" s="3"/>
      <c r="FGR103" s="3"/>
      <c r="FGS103" s="3"/>
      <c r="FGT103" s="3"/>
      <c r="FGU103" s="3"/>
      <c r="FGV103" s="3"/>
      <c r="FGW103" s="3"/>
      <c r="FGX103" s="3"/>
      <c r="FGY103" s="3"/>
      <c r="FGZ103" s="3"/>
      <c r="FHA103" s="3"/>
      <c r="FHB103" s="3"/>
      <c r="FHC103" s="3"/>
      <c r="FHD103" s="3"/>
      <c r="FHE103" s="3"/>
      <c r="FHF103" s="3"/>
      <c r="FHG103" s="3"/>
      <c r="FHH103" s="3"/>
      <c r="FHI103" s="3"/>
      <c r="FHJ103" s="3"/>
      <c r="FHK103" s="3"/>
      <c r="FHL103" s="3"/>
      <c r="FHM103" s="3"/>
      <c r="FHN103" s="3"/>
      <c r="FHO103" s="3"/>
      <c r="FHP103" s="3"/>
      <c r="FHQ103" s="3"/>
      <c r="FHR103" s="3"/>
      <c r="FHS103" s="3"/>
      <c r="FHT103" s="3"/>
      <c r="FHU103" s="3"/>
      <c r="FHV103" s="3"/>
      <c r="FHW103" s="3"/>
      <c r="FHX103" s="3"/>
      <c r="FHY103" s="3"/>
      <c r="FHZ103" s="3"/>
      <c r="FIA103" s="3"/>
      <c r="FIB103" s="3"/>
      <c r="FIC103" s="3"/>
      <c r="FID103" s="3"/>
      <c r="FIE103" s="3"/>
      <c r="FIF103" s="3"/>
      <c r="FIG103" s="3"/>
      <c r="FIH103" s="3"/>
      <c r="FII103" s="3"/>
      <c r="FIJ103" s="3"/>
      <c r="FIK103" s="3"/>
      <c r="FIL103" s="3"/>
      <c r="FIM103" s="3"/>
      <c r="FIN103" s="3"/>
      <c r="FIO103" s="3"/>
      <c r="FIP103" s="3"/>
      <c r="FIQ103" s="3"/>
      <c r="FIR103" s="3"/>
      <c r="FIS103" s="3"/>
      <c r="FIT103" s="3"/>
      <c r="FIU103" s="3"/>
      <c r="FIV103" s="3"/>
      <c r="FIW103" s="3"/>
      <c r="FIX103" s="3"/>
      <c r="FIY103" s="3"/>
      <c r="FIZ103" s="3"/>
      <c r="FJA103" s="3"/>
      <c r="FJB103" s="3"/>
      <c r="FJC103" s="3"/>
      <c r="FJD103" s="3"/>
      <c r="FJE103" s="3"/>
      <c r="FJF103" s="3"/>
      <c r="FJG103" s="3"/>
      <c r="FJH103" s="3"/>
      <c r="FJI103" s="3"/>
      <c r="FJJ103" s="3"/>
      <c r="FJK103" s="3"/>
      <c r="FJL103" s="3"/>
      <c r="FJM103" s="3"/>
      <c r="FJN103" s="3"/>
      <c r="FJO103" s="3"/>
      <c r="FJP103" s="3"/>
      <c r="FJQ103" s="3"/>
      <c r="FJR103" s="3"/>
      <c r="FJS103" s="3"/>
      <c r="FJT103" s="3"/>
      <c r="FJU103" s="3"/>
      <c r="FJV103" s="3"/>
      <c r="FJW103" s="3"/>
      <c r="FJX103" s="3"/>
      <c r="FJY103" s="3"/>
      <c r="FJZ103" s="3"/>
      <c r="FKA103" s="3"/>
      <c r="FKB103" s="3"/>
      <c r="FKC103" s="3"/>
      <c r="FKD103" s="3"/>
      <c r="FKE103" s="3"/>
      <c r="FKF103" s="3"/>
      <c r="FKG103" s="3"/>
      <c r="FKH103" s="3"/>
      <c r="FKI103" s="3"/>
      <c r="FKJ103" s="3"/>
      <c r="FKK103" s="3"/>
      <c r="FKL103" s="3"/>
      <c r="FKM103" s="3"/>
      <c r="FKN103" s="3"/>
      <c r="FKO103" s="3"/>
      <c r="FKP103" s="3"/>
      <c r="FKQ103" s="3"/>
      <c r="FKR103" s="3"/>
      <c r="FKS103" s="3"/>
      <c r="FKT103" s="3"/>
      <c r="FKU103" s="3"/>
      <c r="FKV103" s="3"/>
      <c r="FKW103" s="3"/>
      <c r="FKX103" s="3"/>
      <c r="FKY103" s="3"/>
      <c r="FKZ103" s="3"/>
      <c r="FLA103" s="3"/>
      <c r="FLB103" s="3"/>
      <c r="FLC103" s="3"/>
      <c r="FLD103" s="3"/>
      <c r="FLE103" s="3"/>
      <c r="FLF103" s="3"/>
      <c r="FLG103" s="3"/>
      <c r="FLH103" s="3"/>
      <c r="FLI103" s="3"/>
      <c r="FLJ103" s="3"/>
      <c r="FLK103" s="3"/>
      <c r="FLL103" s="3"/>
      <c r="FLM103" s="3"/>
      <c r="FLN103" s="3"/>
      <c r="FLO103" s="3"/>
      <c r="FLP103" s="3"/>
      <c r="FLQ103" s="3"/>
      <c r="FLR103" s="3"/>
      <c r="FLS103" s="3"/>
      <c r="FLT103" s="3"/>
      <c r="FLU103" s="3"/>
      <c r="FLV103" s="3"/>
      <c r="FLW103" s="3"/>
      <c r="FLX103" s="3"/>
      <c r="FLY103" s="3"/>
      <c r="FLZ103" s="3"/>
      <c r="FMA103" s="3"/>
      <c r="FMB103" s="3"/>
      <c r="FMC103" s="3"/>
      <c r="FMD103" s="3"/>
      <c r="FME103" s="3"/>
      <c r="FMF103" s="3"/>
      <c r="FMG103" s="3"/>
      <c r="FMH103" s="3"/>
      <c r="FMI103" s="3"/>
      <c r="FMJ103" s="3"/>
      <c r="FMK103" s="3"/>
      <c r="FML103" s="3"/>
      <c r="FMM103" s="3"/>
      <c r="FMN103" s="3"/>
      <c r="FMO103" s="3"/>
      <c r="FMP103" s="3"/>
      <c r="FMQ103" s="3"/>
      <c r="FMR103" s="3"/>
      <c r="FMS103" s="3"/>
      <c r="FMT103" s="3"/>
      <c r="FMU103" s="3"/>
      <c r="FMV103" s="3"/>
      <c r="FMW103" s="3"/>
      <c r="FMX103" s="3"/>
      <c r="FMY103" s="3"/>
      <c r="FMZ103" s="3"/>
      <c r="FNA103" s="3"/>
      <c r="FNB103" s="3"/>
      <c r="FNC103" s="3"/>
      <c r="FND103" s="3"/>
      <c r="FNE103" s="3"/>
      <c r="FNF103" s="3"/>
      <c r="FNG103" s="3"/>
      <c r="FNH103" s="3"/>
      <c r="FNI103" s="3"/>
      <c r="FNJ103" s="3"/>
      <c r="FNK103" s="3"/>
      <c r="FNL103" s="3"/>
      <c r="FNM103" s="3"/>
      <c r="FNN103" s="3"/>
      <c r="FNO103" s="3"/>
      <c r="FNP103" s="3"/>
      <c r="FNQ103" s="3"/>
      <c r="FNR103" s="3"/>
      <c r="FNS103" s="3"/>
      <c r="FNT103" s="3"/>
      <c r="FNU103" s="3"/>
      <c r="FNV103" s="3"/>
      <c r="FNW103" s="3"/>
      <c r="FNX103" s="3"/>
      <c r="FNY103" s="3"/>
      <c r="FNZ103" s="3"/>
      <c r="FOA103" s="3"/>
      <c r="FOB103" s="3"/>
      <c r="FOC103" s="3"/>
      <c r="FOD103" s="3"/>
      <c r="FOE103" s="3"/>
      <c r="FOF103" s="3"/>
      <c r="FOG103" s="3"/>
      <c r="FOH103" s="3"/>
      <c r="FOI103" s="3"/>
      <c r="FOJ103" s="3"/>
      <c r="FOK103" s="3"/>
      <c r="FOL103" s="3"/>
      <c r="FOM103" s="3"/>
      <c r="FON103" s="3"/>
      <c r="FOO103" s="3"/>
      <c r="FOP103" s="3"/>
      <c r="FOQ103" s="3"/>
      <c r="FOR103" s="3"/>
      <c r="FOS103" s="3"/>
      <c r="FOT103" s="3"/>
      <c r="FOU103" s="3"/>
      <c r="FOV103" s="3"/>
      <c r="FOW103" s="3"/>
      <c r="FOX103" s="3"/>
      <c r="FOY103" s="3"/>
      <c r="FOZ103" s="3"/>
      <c r="FPA103" s="3"/>
      <c r="FPB103" s="3"/>
      <c r="FPC103" s="3"/>
      <c r="FPD103" s="3"/>
      <c r="FPE103" s="3"/>
      <c r="FPF103" s="3"/>
      <c r="FPG103" s="3"/>
      <c r="FPH103" s="3"/>
      <c r="FPI103" s="3"/>
      <c r="FPJ103" s="3"/>
      <c r="FPK103" s="3"/>
      <c r="FPL103" s="3"/>
      <c r="FPM103" s="3"/>
      <c r="FPN103" s="3"/>
      <c r="FPO103" s="3"/>
      <c r="FPP103" s="3"/>
      <c r="FPQ103" s="3"/>
      <c r="FPR103" s="3"/>
      <c r="FPS103" s="3"/>
      <c r="FPT103" s="3"/>
      <c r="FPU103" s="3"/>
      <c r="FPV103" s="3"/>
      <c r="FPW103" s="3"/>
      <c r="FPX103" s="3"/>
      <c r="FPY103" s="3"/>
      <c r="FPZ103" s="3"/>
      <c r="FQA103" s="3"/>
      <c r="FQB103" s="3"/>
      <c r="FQC103" s="3"/>
      <c r="FQD103" s="3"/>
      <c r="FQE103" s="3"/>
      <c r="FQF103" s="3"/>
      <c r="FQG103" s="3"/>
      <c r="FQH103" s="3"/>
      <c r="FQI103" s="3"/>
      <c r="FQJ103" s="3"/>
      <c r="FQK103" s="3"/>
      <c r="FQL103" s="3"/>
      <c r="FQM103" s="3"/>
      <c r="FQN103" s="3"/>
      <c r="FQO103" s="3"/>
      <c r="FQP103" s="3"/>
      <c r="FQQ103" s="3"/>
      <c r="FQR103" s="3"/>
      <c r="FQS103" s="3"/>
      <c r="FQT103" s="3"/>
      <c r="FQU103" s="3"/>
      <c r="FQV103" s="3"/>
      <c r="FQW103" s="3"/>
      <c r="FQX103" s="3"/>
      <c r="FQY103" s="3"/>
      <c r="FQZ103" s="3"/>
      <c r="FRA103" s="3"/>
      <c r="FRB103" s="3"/>
      <c r="FRC103" s="3"/>
      <c r="FRD103" s="3"/>
      <c r="FRE103" s="3"/>
      <c r="FRF103" s="3"/>
      <c r="FRG103" s="3"/>
      <c r="FRH103" s="3"/>
      <c r="FRI103" s="3"/>
      <c r="FRJ103" s="3"/>
      <c r="FRK103" s="3"/>
      <c r="FRL103" s="3"/>
      <c r="FRM103" s="3"/>
      <c r="FRN103" s="3"/>
      <c r="FRO103" s="3"/>
      <c r="FRP103" s="3"/>
      <c r="FRQ103" s="3"/>
      <c r="FRR103" s="3"/>
      <c r="FRS103" s="3"/>
      <c r="FRT103" s="3"/>
      <c r="FRU103" s="3"/>
      <c r="FRV103" s="3"/>
      <c r="FRW103" s="3"/>
      <c r="FRX103" s="3"/>
      <c r="FRY103" s="3"/>
      <c r="FRZ103" s="3"/>
      <c r="FSA103" s="3"/>
      <c r="FSB103" s="3"/>
      <c r="FSC103" s="3"/>
      <c r="FSD103" s="3"/>
      <c r="FSE103" s="3"/>
      <c r="FSF103" s="3"/>
      <c r="FSG103" s="3"/>
      <c r="FSH103" s="3"/>
      <c r="FSI103" s="3"/>
      <c r="FSJ103" s="3"/>
      <c r="FSK103" s="3"/>
      <c r="FSL103" s="3"/>
      <c r="FSM103" s="3"/>
      <c r="FSN103" s="3"/>
      <c r="FSO103" s="3"/>
      <c r="FSP103" s="3"/>
      <c r="FSQ103" s="3"/>
      <c r="FSR103" s="3"/>
      <c r="FSS103" s="3"/>
      <c r="FST103" s="3"/>
      <c r="FSU103" s="3"/>
      <c r="FSV103" s="3"/>
      <c r="FSW103" s="3"/>
      <c r="FSX103" s="3"/>
      <c r="FSY103" s="3"/>
      <c r="FSZ103" s="3"/>
      <c r="FTA103" s="3"/>
      <c r="FTB103" s="3"/>
      <c r="FTC103" s="3"/>
      <c r="FTD103" s="3"/>
      <c r="FTE103" s="3"/>
      <c r="FTF103" s="3"/>
      <c r="FTG103" s="3"/>
      <c r="FTH103" s="3"/>
      <c r="FTI103" s="3"/>
      <c r="FTJ103" s="3"/>
      <c r="FTK103" s="3"/>
      <c r="FTL103" s="3"/>
      <c r="FTM103" s="3"/>
      <c r="FTN103" s="3"/>
      <c r="FTO103" s="3"/>
      <c r="FTP103" s="3"/>
      <c r="FTQ103" s="3"/>
      <c r="FTR103" s="3"/>
      <c r="FTS103" s="3"/>
      <c r="FTT103" s="3"/>
      <c r="FTU103" s="3"/>
      <c r="FTV103" s="3"/>
      <c r="FTW103" s="3"/>
      <c r="FTX103" s="3"/>
      <c r="FTY103" s="3"/>
      <c r="FTZ103" s="3"/>
      <c r="FUA103" s="3"/>
      <c r="FUB103" s="3"/>
      <c r="FUC103" s="3"/>
      <c r="FUD103" s="3"/>
      <c r="FUE103" s="3"/>
      <c r="FUF103" s="3"/>
      <c r="FUG103" s="3"/>
      <c r="FUH103" s="3"/>
      <c r="FUI103" s="3"/>
      <c r="FUJ103" s="3"/>
      <c r="FUK103" s="3"/>
      <c r="FUL103" s="3"/>
      <c r="FUM103" s="3"/>
      <c r="FUN103" s="3"/>
      <c r="FUO103" s="3"/>
      <c r="FUP103" s="3"/>
      <c r="FUQ103" s="3"/>
      <c r="FUR103" s="3"/>
      <c r="FUS103" s="3"/>
      <c r="FUT103" s="3"/>
      <c r="FUU103" s="3"/>
      <c r="FUV103" s="3"/>
      <c r="FUW103" s="3"/>
      <c r="FUX103" s="3"/>
      <c r="FUY103" s="3"/>
      <c r="FUZ103" s="3"/>
      <c r="FVA103" s="3"/>
      <c r="FVB103" s="3"/>
      <c r="FVC103" s="3"/>
      <c r="FVD103" s="3"/>
      <c r="FVE103" s="3"/>
      <c r="FVF103" s="3"/>
      <c r="FVG103" s="3"/>
      <c r="FVH103" s="3"/>
      <c r="FVI103" s="3"/>
      <c r="FVJ103" s="3"/>
      <c r="FVK103" s="3"/>
      <c r="FVL103" s="3"/>
      <c r="FVM103" s="3"/>
      <c r="FVN103" s="3"/>
      <c r="FVO103" s="3"/>
      <c r="FVP103" s="3"/>
      <c r="FVQ103" s="3"/>
      <c r="FVR103" s="3"/>
      <c r="FVS103" s="3"/>
      <c r="FVT103" s="3"/>
      <c r="FVU103" s="3"/>
      <c r="FVV103" s="3"/>
      <c r="FVW103" s="3"/>
      <c r="FVX103" s="3"/>
      <c r="FVY103" s="3"/>
      <c r="FVZ103" s="3"/>
      <c r="FWA103" s="3"/>
      <c r="FWB103" s="3"/>
      <c r="FWC103" s="3"/>
      <c r="FWD103" s="3"/>
      <c r="FWE103" s="3"/>
      <c r="FWF103" s="3"/>
      <c r="FWG103" s="3"/>
      <c r="FWH103" s="3"/>
      <c r="FWI103" s="3"/>
      <c r="FWJ103" s="3"/>
      <c r="FWK103" s="3"/>
      <c r="FWL103" s="3"/>
      <c r="FWM103" s="3"/>
      <c r="FWN103" s="3"/>
      <c r="FWO103" s="3"/>
      <c r="FWP103" s="3"/>
      <c r="FWQ103" s="3"/>
      <c r="FWR103" s="3"/>
      <c r="FWS103" s="3"/>
      <c r="FWT103" s="3"/>
      <c r="FWU103" s="3"/>
      <c r="FWV103" s="3"/>
      <c r="FWW103" s="3"/>
      <c r="FWX103" s="3"/>
      <c r="FWY103" s="3"/>
      <c r="FWZ103" s="3"/>
      <c r="FXA103" s="3"/>
      <c r="FXB103" s="3"/>
      <c r="FXC103" s="3"/>
      <c r="FXD103" s="3"/>
      <c r="FXE103" s="3"/>
      <c r="FXF103" s="3"/>
      <c r="FXG103" s="3"/>
      <c r="FXH103" s="3"/>
      <c r="FXI103" s="3"/>
      <c r="FXJ103" s="3"/>
      <c r="FXK103" s="3"/>
      <c r="FXL103" s="3"/>
      <c r="FXM103" s="3"/>
      <c r="FXN103" s="3"/>
      <c r="FXO103" s="3"/>
      <c r="FXP103" s="3"/>
      <c r="FXQ103" s="3"/>
      <c r="FXR103" s="3"/>
      <c r="FXS103" s="3"/>
      <c r="FXT103" s="3"/>
      <c r="FXU103" s="3"/>
      <c r="FXV103" s="3"/>
      <c r="FXW103" s="3"/>
      <c r="FXX103" s="3"/>
      <c r="FXY103" s="3"/>
      <c r="FXZ103" s="3"/>
      <c r="FYA103" s="3"/>
      <c r="FYB103" s="3"/>
      <c r="FYC103" s="3"/>
      <c r="FYD103" s="3"/>
      <c r="FYE103" s="3"/>
      <c r="FYF103" s="3"/>
      <c r="FYG103" s="3"/>
      <c r="FYH103" s="3"/>
      <c r="FYI103" s="3"/>
      <c r="FYJ103" s="3"/>
      <c r="FYK103" s="3"/>
      <c r="FYL103" s="3"/>
      <c r="FYM103" s="3"/>
      <c r="FYN103" s="3"/>
      <c r="FYO103" s="3"/>
      <c r="FYP103" s="3"/>
      <c r="FYQ103" s="3"/>
      <c r="FYR103" s="3"/>
      <c r="FYS103" s="3"/>
      <c r="FYT103" s="3"/>
      <c r="FYU103" s="3"/>
      <c r="FYV103" s="3"/>
      <c r="FYW103" s="3"/>
      <c r="FYX103" s="3"/>
      <c r="FYY103" s="3"/>
      <c r="FYZ103" s="3"/>
      <c r="FZA103" s="3"/>
      <c r="FZB103" s="3"/>
      <c r="FZC103" s="3"/>
      <c r="FZD103" s="3"/>
      <c r="FZE103" s="3"/>
      <c r="FZF103" s="3"/>
      <c r="FZG103" s="3"/>
      <c r="FZH103" s="3"/>
      <c r="FZI103" s="3"/>
      <c r="FZJ103" s="3"/>
      <c r="FZK103" s="3"/>
      <c r="FZL103" s="3"/>
      <c r="FZM103" s="3"/>
      <c r="FZN103" s="3"/>
      <c r="FZO103" s="3"/>
      <c r="FZP103" s="3"/>
      <c r="FZQ103" s="3"/>
      <c r="FZR103" s="3"/>
      <c r="FZS103" s="3"/>
      <c r="FZT103" s="3"/>
      <c r="FZU103" s="3"/>
      <c r="FZV103" s="3"/>
      <c r="FZW103" s="3"/>
      <c r="FZX103" s="3"/>
      <c r="FZY103" s="3"/>
      <c r="FZZ103" s="3"/>
      <c r="GAA103" s="3"/>
      <c r="GAB103" s="3"/>
      <c r="GAC103" s="3"/>
      <c r="GAD103" s="3"/>
      <c r="GAE103" s="3"/>
      <c r="GAF103" s="3"/>
      <c r="GAG103" s="3"/>
      <c r="GAH103" s="3"/>
      <c r="GAI103" s="3"/>
      <c r="GAJ103" s="3"/>
      <c r="GAK103" s="3"/>
      <c r="GAL103" s="3"/>
      <c r="GAM103" s="3"/>
      <c r="GAN103" s="3"/>
      <c r="GAO103" s="3"/>
      <c r="GAP103" s="3"/>
      <c r="GAQ103" s="3"/>
      <c r="GAR103" s="3"/>
      <c r="GAS103" s="3"/>
      <c r="GAT103" s="3"/>
      <c r="GAU103" s="3"/>
      <c r="GAV103" s="3"/>
      <c r="GAW103" s="3"/>
      <c r="GAX103" s="3"/>
      <c r="GAY103" s="3"/>
      <c r="GAZ103" s="3"/>
      <c r="GBA103" s="3"/>
      <c r="GBB103" s="3"/>
      <c r="GBC103" s="3"/>
      <c r="GBD103" s="3"/>
      <c r="GBE103" s="3"/>
      <c r="GBF103" s="3"/>
      <c r="GBG103" s="3"/>
      <c r="GBH103" s="3"/>
      <c r="GBI103" s="3"/>
      <c r="GBJ103" s="3"/>
      <c r="GBK103" s="3"/>
      <c r="GBL103" s="3"/>
      <c r="GBM103" s="3"/>
      <c r="GBN103" s="3"/>
      <c r="GBO103" s="3"/>
      <c r="GBP103" s="3"/>
      <c r="GBQ103" s="3"/>
      <c r="GBR103" s="3"/>
      <c r="GBS103" s="3"/>
      <c r="GBT103" s="3"/>
      <c r="GBU103" s="3"/>
      <c r="GBV103" s="3"/>
      <c r="GBW103" s="3"/>
      <c r="GBX103" s="3"/>
      <c r="GBY103" s="3"/>
      <c r="GBZ103" s="3"/>
      <c r="GCA103" s="3"/>
      <c r="GCB103" s="3"/>
      <c r="GCC103" s="3"/>
      <c r="GCD103" s="3"/>
      <c r="GCE103" s="3"/>
      <c r="GCF103" s="3"/>
      <c r="GCG103" s="3"/>
      <c r="GCH103" s="3"/>
      <c r="GCI103" s="3"/>
      <c r="GCJ103" s="3"/>
      <c r="GCK103" s="3"/>
      <c r="GCL103" s="3"/>
      <c r="GCM103" s="3"/>
      <c r="GCN103" s="3"/>
      <c r="GCO103" s="3"/>
      <c r="GCP103" s="3"/>
      <c r="GCQ103" s="3"/>
      <c r="GCR103" s="3"/>
      <c r="GCS103" s="3"/>
      <c r="GCT103" s="3"/>
      <c r="GCU103" s="3"/>
      <c r="GCV103" s="3"/>
      <c r="GCW103" s="3"/>
      <c r="GCX103" s="3"/>
      <c r="GCY103" s="3"/>
      <c r="GCZ103" s="3"/>
      <c r="GDA103" s="3"/>
      <c r="GDB103" s="3"/>
      <c r="GDC103" s="3"/>
      <c r="GDD103" s="3"/>
      <c r="GDE103" s="3"/>
      <c r="GDF103" s="3"/>
      <c r="GDG103" s="3"/>
      <c r="GDH103" s="3"/>
      <c r="GDI103" s="3"/>
      <c r="GDJ103" s="3"/>
      <c r="GDK103" s="3"/>
      <c r="GDL103" s="3"/>
      <c r="GDM103" s="3"/>
      <c r="GDN103" s="3"/>
      <c r="GDO103" s="3"/>
      <c r="GDP103" s="3"/>
      <c r="GDQ103" s="3"/>
      <c r="GDR103" s="3"/>
      <c r="GDS103" s="3"/>
      <c r="GDT103" s="3"/>
      <c r="GDU103" s="3"/>
      <c r="GDV103" s="3"/>
      <c r="GDW103" s="3"/>
      <c r="GDX103" s="3"/>
      <c r="GDY103" s="3"/>
      <c r="GDZ103" s="3"/>
      <c r="GEA103" s="3"/>
      <c r="GEB103" s="3"/>
      <c r="GEC103" s="3"/>
      <c r="GED103" s="3"/>
      <c r="GEE103" s="3"/>
      <c r="GEF103" s="3"/>
      <c r="GEG103" s="3"/>
      <c r="GEH103" s="3"/>
      <c r="GEI103" s="3"/>
      <c r="GEJ103" s="3"/>
      <c r="GEK103" s="3"/>
      <c r="GEL103" s="3"/>
      <c r="GEM103" s="3"/>
      <c r="GEN103" s="3"/>
      <c r="GEO103" s="3"/>
      <c r="GEP103" s="3"/>
      <c r="GEQ103" s="3"/>
      <c r="GER103" s="3"/>
      <c r="GES103" s="3"/>
      <c r="GET103" s="3"/>
      <c r="GEU103" s="3"/>
      <c r="GEV103" s="3"/>
      <c r="GEW103" s="3"/>
      <c r="GEX103" s="3"/>
      <c r="GEY103" s="3"/>
      <c r="GEZ103" s="3"/>
      <c r="GFA103" s="3"/>
      <c r="GFB103" s="3"/>
      <c r="GFC103" s="3"/>
      <c r="GFD103" s="3"/>
      <c r="GFE103" s="3"/>
      <c r="GFF103" s="3"/>
      <c r="GFG103" s="3"/>
      <c r="GFH103" s="3"/>
      <c r="GFI103" s="3"/>
      <c r="GFJ103" s="3"/>
      <c r="GFK103" s="3"/>
      <c r="GFL103" s="3"/>
      <c r="GFM103" s="3"/>
      <c r="GFN103" s="3"/>
      <c r="GFO103" s="3"/>
      <c r="GFP103" s="3"/>
      <c r="GFQ103" s="3"/>
      <c r="GFR103" s="3"/>
      <c r="GFS103" s="3"/>
      <c r="GFT103" s="3"/>
      <c r="GFU103" s="3"/>
      <c r="GFV103" s="3"/>
      <c r="GFW103" s="3"/>
      <c r="GFX103" s="3"/>
      <c r="GFY103" s="3"/>
      <c r="GFZ103" s="3"/>
      <c r="GGA103" s="3"/>
      <c r="GGB103" s="3"/>
      <c r="GGC103" s="3"/>
      <c r="GGD103" s="3"/>
      <c r="GGE103" s="3"/>
      <c r="GGF103" s="3"/>
      <c r="GGG103" s="3"/>
      <c r="GGH103" s="3"/>
      <c r="GGI103" s="3"/>
      <c r="GGJ103" s="3"/>
      <c r="GGK103" s="3"/>
      <c r="GGL103" s="3"/>
      <c r="GGM103" s="3"/>
      <c r="GGN103" s="3"/>
      <c r="GGO103" s="3"/>
      <c r="GGP103" s="3"/>
      <c r="GGQ103" s="3"/>
      <c r="GGR103" s="3"/>
      <c r="GGS103" s="3"/>
      <c r="GGT103" s="3"/>
      <c r="GGU103" s="3"/>
      <c r="GGV103" s="3"/>
      <c r="GGW103" s="3"/>
      <c r="GGX103" s="3"/>
      <c r="GGY103" s="3"/>
      <c r="GGZ103" s="3"/>
      <c r="GHA103" s="3"/>
      <c r="GHB103" s="3"/>
      <c r="GHC103" s="3"/>
      <c r="GHD103" s="3"/>
      <c r="GHE103" s="3"/>
      <c r="GHF103" s="3"/>
      <c r="GHG103" s="3"/>
      <c r="GHH103" s="3"/>
      <c r="GHI103" s="3"/>
      <c r="GHJ103" s="3"/>
      <c r="GHK103" s="3"/>
      <c r="GHL103" s="3"/>
      <c r="GHM103" s="3"/>
      <c r="GHN103" s="3"/>
      <c r="GHO103" s="3"/>
      <c r="GHP103" s="3"/>
      <c r="GHQ103" s="3"/>
      <c r="GHR103" s="3"/>
      <c r="GHS103" s="3"/>
      <c r="GHT103" s="3"/>
      <c r="GHU103" s="3"/>
      <c r="GHV103" s="3"/>
      <c r="GHW103" s="3"/>
      <c r="GHX103" s="3"/>
      <c r="GHY103" s="3"/>
      <c r="GHZ103" s="3"/>
      <c r="GIA103" s="3"/>
      <c r="GIB103" s="3"/>
      <c r="GIC103" s="3"/>
      <c r="GID103" s="3"/>
      <c r="GIE103" s="3"/>
      <c r="GIF103" s="3"/>
      <c r="GIG103" s="3"/>
      <c r="GIH103" s="3"/>
      <c r="GII103" s="3"/>
      <c r="GIJ103" s="3"/>
      <c r="GIK103" s="3"/>
      <c r="GIL103" s="3"/>
      <c r="GIM103" s="3"/>
      <c r="GIN103" s="3"/>
      <c r="GIO103" s="3"/>
      <c r="GIP103" s="3"/>
      <c r="GIQ103" s="3"/>
      <c r="GIR103" s="3"/>
      <c r="GIS103" s="3"/>
      <c r="GIT103" s="3"/>
      <c r="GIU103" s="3"/>
      <c r="GIV103" s="3"/>
      <c r="GIW103" s="3"/>
      <c r="GIX103" s="3"/>
      <c r="GIY103" s="3"/>
      <c r="GIZ103" s="3"/>
      <c r="GJA103" s="3"/>
      <c r="GJB103" s="3"/>
      <c r="GJC103" s="3"/>
      <c r="GJD103" s="3"/>
      <c r="GJE103" s="3"/>
      <c r="GJF103" s="3"/>
      <c r="GJG103" s="3"/>
      <c r="GJH103" s="3"/>
      <c r="GJI103" s="3"/>
      <c r="GJJ103" s="3"/>
      <c r="GJK103" s="3"/>
      <c r="GJL103" s="3"/>
      <c r="GJM103" s="3"/>
      <c r="GJN103" s="3"/>
      <c r="GJO103" s="3"/>
      <c r="GJP103" s="3"/>
      <c r="GJQ103" s="3"/>
      <c r="GJR103" s="3"/>
      <c r="GJS103" s="3"/>
      <c r="GJT103" s="3"/>
      <c r="GJU103" s="3"/>
      <c r="GJV103" s="3"/>
      <c r="GJW103" s="3"/>
      <c r="GJX103" s="3"/>
      <c r="GJY103" s="3"/>
      <c r="GJZ103" s="3"/>
      <c r="GKA103" s="3"/>
      <c r="GKB103" s="3"/>
      <c r="GKC103" s="3"/>
      <c r="GKD103" s="3"/>
      <c r="GKE103" s="3"/>
      <c r="GKF103" s="3"/>
      <c r="GKG103" s="3"/>
      <c r="GKH103" s="3"/>
      <c r="GKI103" s="3"/>
      <c r="GKJ103" s="3"/>
      <c r="GKK103" s="3"/>
      <c r="GKL103" s="3"/>
      <c r="GKM103" s="3"/>
      <c r="GKN103" s="3"/>
      <c r="GKO103" s="3"/>
      <c r="GKP103" s="3"/>
      <c r="GKQ103" s="3"/>
      <c r="GKR103" s="3"/>
      <c r="GKS103" s="3"/>
      <c r="GKT103" s="3"/>
      <c r="GKU103" s="3"/>
      <c r="GKV103" s="3"/>
      <c r="GKW103" s="3"/>
      <c r="GKX103" s="3"/>
      <c r="GKY103" s="3"/>
      <c r="GKZ103" s="3"/>
      <c r="GLA103" s="3"/>
      <c r="GLB103" s="3"/>
      <c r="GLC103" s="3"/>
      <c r="GLD103" s="3"/>
      <c r="GLE103" s="3"/>
      <c r="GLF103" s="3"/>
      <c r="GLG103" s="3"/>
      <c r="GLH103" s="3"/>
      <c r="GLI103" s="3"/>
      <c r="GLJ103" s="3"/>
      <c r="GLK103" s="3"/>
      <c r="GLL103" s="3"/>
      <c r="GLM103" s="3"/>
      <c r="GLN103" s="3"/>
      <c r="GLO103" s="3"/>
      <c r="GLP103" s="3"/>
      <c r="GLQ103" s="3"/>
      <c r="GLR103" s="3"/>
      <c r="GLS103" s="3"/>
      <c r="GLT103" s="3"/>
      <c r="GLU103" s="3"/>
      <c r="GLV103" s="3"/>
      <c r="GLW103" s="3"/>
      <c r="GLX103" s="3"/>
      <c r="GLY103" s="3"/>
      <c r="GLZ103" s="3"/>
      <c r="GMA103" s="3"/>
      <c r="GMB103" s="3"/>
      <c r="GMC103" s="3"/>
      <c r="GMD103" s="3"/>
      <c r="GME103" s="3"/>
      <c r="GMF103" s="3"/>
      <c r="GMG103" s="3"/>
      <c r="GMH103" s="3"/>
      <c r="GMI103" s="3"/>
      <c r="GMJ103" s="3"/>
      <c r="GMK103" s="3"/>
      <c r="GML103" s="3"/>
      <c r="GMM103" s="3"/>
      <c r="GMN103" s="3"/>
      <c r="GMO103" s="3"/>
      <c r="GMP103" s="3"/>
      <c r="GMQ103" s="3"/>
      <c r="GMR103" s="3"/>
      <c r="GMS103" s="3"/>
      <c r="GMT103" s="3"/>
      <c r="GMU103" s="3"/>
      <c r="GMV103" s="3"/>
      <c r="GMW103" s="3"/>
      <c r="GMX103" s="3"/>
      <c r="GMY103" s="3"/>
      <c r="GMZ103" s="3"/>
      <c r="GNA103" s="3"/>
      <c r="GNB103" s="3"/>
      <c r="GNC103" s="3"/>
      <c r="GND103" s="3"/>
      <c r="GNE103" s="3"/>
      <c r="GNF103" s="3"/>
      <c r="GNG103" s="3"/>
      <c r="GNH103" s="3"/>
      <c r="GNI103" s="3"/>
      <c r="GNJ103" s="3"/>
      <c r="GNK103" s="3"/>
      <c r="GNL103" s="3"/>
      <c r="GNM103" s="3"/>
      <c r="GNN103" s="3"/>
      <c r="GNO103" s="3"/>
      <c r="GNP103" s="3"/>
      <c r="GNQ103" s="3"/>
      <c r="GNR103" s="3"/>
      <c r="GNS103" s="3"/>
      <c r="GNT103" s="3"/>
      <c r="GNU103" s="3"/>
      <c r="GNV103" s="3"/>
      <c r="GNW103" s="3"/>
      <c r="GNX103" s="3"/>
      <c r="GNY103" s="3"/>
      <c r="GNZ103" s="3"/>
      <c r="GOA103" s="3"/>
      <c r="GOB103" s="3"/>
      <c r="GOC103" s="3"/>
      <c r="GOD103" s="3"/>
      <c r="GOE103" s="3"/>
      <c r="GOF103" s="3"/>
      <c r="GOG103" s="3"/>
      <c r="GOH103" s="3"/>
      <c r="GOI103" s="3"/>
      <c r="GOJ103" s="3"/>
      <c r="GOK103" s="3"/>
      <c r="GOL103" s="3"/>
      <c r="GOM103" s="3"/>
      <c r="GON103" s="3"/>
      <c r="GOO103" s="3"/>
      <c r="GOP103" s="3"/>
      <c r="GOQ103" s="3"/>
      <c r="GOR103" s="3"/>
      <c r="GOS103" s="3"/>
      <c r="GOT103" s="3"/>
      <c r="GOU103" s="3"/>
      <c r="GOV103" s="3"/>
      <c r="GOW103" s="3"/>
      <c r="GOX103" s="3"/>
      <c r="GOY103" s="3"/>
      <c r="GOZ103" s="3"/>
      <c r="GPA103" s="3"/>
      <c r="GPB103" s="3"/>
      <c r="GPC103" s="3"/>
      <c r="GPD103" s="3"/>
      <c r="GPE103" s="3"/>
      <c r="GPF103" s="3"/>
      <c r="GPG103" s="3"/>
      <c r="GPH103" s="3"/>
      <c r="GPI103" s="3"/>
      <c r="GPJ103" s="3"/>
      <c r="GPK103" s="3"/>
      <c r="GPL103" s="3"/>
      <c r="GPM103" s="3"/>
      <c r="GPN103" s="3"/>
      <c r="GPO103" s="3"/>
      <c r="GPP103" s="3"/>
      <c r="GPQ103" s="3"/>
      <c r="GPR103" s="3"/>
      <c r="GPS103" s="3"/>
      <c r="GPT103" s="3"/>
      <c r="GPU103" s="3"/>
      <c r="GPV103" s="3"/>
      <c r="GPW103" s="3"/>
      <c r="GPX103" s="3"/>
      <c r="GPY103" s="3"/>
      <c r="GPZ103" s="3"/>
      <c r="GQA103" s="3"/>
      <c r="GQB103" s="3"/>
      <c r="GQC103" s="3"/>
      <c r="GQD103" s="3"/>
      <c r="GQE103" s="3"/>
      <c r="GQF103" s="3"/>
      <c r="GQG103" s="3"/>
      <c r="GQH103" s="3"/>
      <c r="GQI103" s="3"/>
      <c r="GQJ103" s="3"/>
      <c r="GQK103" s="3"/>
      <c r="GQL103" s="3"/>
      <c r="GQM103" s="3"/>
      <c r="GQN103" s="3"/>
      <c r="GQO103" s="3"/>
      <c r="GQP103" s="3"/>
      <c r="GQQ103" s="3"/>
      <c r="GQR103" s="3"/>
      <c r="GQS103" s="3"/>
      <c r="GQT103" s="3"/>
      <c r="GQU103" s="3"/>
      <c r="GQV103" s="3"/>
      <c r="GQW103" s="3"/>
      <c r="GQX103" s="3"/>
      <c r="GQY103" s="3"/>
      <c r="GQZ103" s="3"/>
      <c r="GRA103" s="3"/>
      <c r="GRB103" s="3"/>
      <c r="GRC103" s="3"/>
      <c r="GRD103" s="3"/>
      <c r="GRE103" s="3"/>
      <c r="GRF103" s="3"/>
      <c r="GRG103" s="3"/>
      <c r="GRH103" s="3"/>
      <c r="GRI103" s="3"/>
      <c r="GRJ103" s="3"/>
      <c r="GRK103" s="3"/>
      <c r="GRL103" s="3"/>
      <c r="GRM103" s="3"/>
      <c r="GRN103" s="3"/>
      <c r="GRO103" s="3"/>
      <c r="GRP103" s="3"/>
      <c r="GRQ103" s="3"/>
      <c r="GRR103" s="3"/>
      <c r="GRS103" s="3"/>
      <c r="GRT103" s="3"/>
      <c r="GRU103" s="3"/>
      <c r="GRV103" s="3"/>
      <c r="GRW103" s="3"/>
      <c r="GRX103" s="3"/>
      <c r="GRY103" s="3"/>
      <c r="GRZ103" s="3"/>
      <c r="GSA103" s="3"/>
      <c r="GSB103" s="3"/>
      <c r="GSC103" s="3"/>
      <c r="GSD103" s="3"/>
      <c r="GSE103" s="3"/>
      <c r="GSF103" s="3"/>
      <c r="GSG103" s="3"/>
      <c r="GSH103" s="3"/>
      <c r="GSI103" s="3"/>
      <c r="GSJ103" s="3"/>
      <c r="GSK103" s="3"/>
      <c r="GSL103" s="3"/>
      <c r="GSM103" s="3"/>
      <c r="GSN103" s="3"/>
      <c r="GSO103" s="3"/>
      <c r="GSP103" s="3"/>
      <c r="GSQ103" s="3"/>
      <c r="GSR103" s="3"/>
      <c r="GSS103" s="3"/>
      <c r="GST103" s="3"/>
      <c r="GSU103" s="3"/>
      <c r="GSV103" s="3"/>
      <c r="GSW103" s="3"/>
      <c r="GSX103" s="3"/>
      <c r="GSY103" s="3"/>
      <c r="GSZ103" s="3"/>
      <c r="GTA103" s="3"/>
      <c r="GTB103" s="3"/>
      <c r="GTC103" s="3"/>
      <c r="GTD103" s="3"/>
      <c r="GTE103" s="3"/>
      <c r="GTF103" s="3"/>
      <c r="GTG103" s="3"/>
      <c r="GTH103" s="3"/>
      <c r="GTI103" s="3"/>
      <c r="GTJ103" s="3"/>
      <c r="GTK103" s="3"/>
      <c r="GTL103" s="3"/>
      <c r="GTM103" s="3"/>
      <c r="GTN103" s="3"/>
      <c r="GTO103" s="3"/>
      <c r="GTP103" s="3"/>
      <c r="GTQ103" s="3"/>
      <c r="GTR103" s="3"/>
      <c r="GTS103" s="3"/>
      <c r="GTT103" s="3"/>
      <c r="GTU103" s="3"/>
      <c r="GTV103" s="3"/>
      <c r="GTW103" s="3"/>
      <c r="GTX103" s="3"/>
      <c r="GTY103" s="3"/>
      <c r="GTZ103" s="3"/>
      <c r="GUA103" s="3"/>
      <c r="GUB103" s="3"/>
      <c r="GUC103" s="3"/>
      <c r="GUD103" s="3"/>
      <c r="GUE103" s="3"/>
      <c r="GUF103" s="3"/>
      <c r="GUG103" s="3"/>
      <c r="GUH103" s="3"/>
      <c r="GUI103" s="3"/>
      <c r="GUJ103" s="3"/>
      <c r="GUK103" s="3"/>
      <c r="GUL103" s="3"/>
      <c r="GUM103" s="3"/>
      <c r="GUN103" s="3"/>
      <c r="GUO103" s="3"/>
      <c r="GUP103" s="3"/>
      <c r="GUQ103" s="3"/>
      <c r="GUR103" s="3"/>
      <c r="GUS103" s="3"/>
      <c r="GUT103" s="3"/>
      <c r="GUU103" s="3"/>
      <c r="GUV103" s="3"/>
      <c r="GUW103" s="3"/>
      <c r="GUX103" s="3"/>
      <c r="GUY103" s="3"/>
      <c r="GUZ103" s="3"/>
      <c r="GVA103" s="3"/>
      <c r="GVB103" s="3"/>
      <c r="GVC103" s="3"/>
      <c r="GVD103" s="3"/>
      <c r="GVE103" s="3"/>
      <c r="GVF103" s="3"/>
      <c r="GVG103" s="3"/>
      <c r="GVH103" s="3"/>
      <c r="GVI103" s="3"/>
      <c r="GVJ103" s="3"/>
      <c r="GVK103" s="3"/>
      <c r="GVL103" s="3"/>
      <c r="GVM103" s="3"/>
      <c r="GVN103" s="3"/>
      <c r="GVO103" s="3"/>
      <c r="GVP103" s="3"/>
      <c r="GVQ103" s="3"/>
      <c r="GVR103" s="3"/>
      <c r="GVS103" s="3"/>
      <c r="GVT103" s="3"/>
      <c r="GVU103" s="3"/>
      <c r="GVV103" s="3"/>
      <c r="GVW103" s="3"/>
      <c r="GVX103" s="3"/>
      <c r="GVY103" s="3"/>
      <c r="GVZ103" s="3"/>
      <c r="GWA103" s="3"/>
      <c r="GWB103" s="3"/>
      <c r="GWC103" s="3"/>
      <c r="GWD103" s="3"/>
      <c r="GWE103" s="3"/>
      <c r="GWF103" s="3"/>
      <c r="GWG103" s="3"/>
      <c r="GWH103" s="3"/>
      <c r="GWI103" s="3"/>
      <c r="GWJ103" s="3"/>
      <c r="GWK103" s="3"/>
      <c r="GWL103" s="3"/>
      <c r="GWM103" s="3"/>
      <c r="GWN103" s="3"/>
      <c r="GWO103" s="3"/>
      <c r="GWP103" s="3"/>
      <c r="GWQ103" s="3"/>
      <c r="GWR103" s="3"/>
      <c r="GWS103" s="3"/>
      <c r="GWT103" s="3"/>
      <c r="GWU103" s="3"/>
      <c r="GWV103" s="3"/>
      <c r="GWW103" s="3"/>
      <c r="GWX103" s="3"/>
      <c r="GWY103" s="3"/>
      <c r="GWZ103" s="3"/>
      <c r="GXA103" s="3"/>
      <c r="GXB103" s="3"/>
      <c r="GXC103" s="3"/>
      <c r="GXD103" s="3"/>
      <c r="GXE103" s="3"/>
      <c r="GXF103" s="3"/>
      <c r="GXG103" s="3"/>
      <c r="GXH103" s="3"/>
      <c r="GXI103" s="3"/>
      <c r="GXJ103" s="3"/>
      <c r="GXK103" s="3"/>
      <c r="GXL103" s="3"/>
      <c r="GXM103" s="3"/>
      <c r="GXN103" s="3"/>
      <c r="GXO103" s="3"/>
      <c r="GXP103" s="3"/>
      <c r="GXQ103" s="3"/>
      <c r="GXR103" s="3"/>
      <c r="GXS103" s="3"/>
      <c r="GXT103" s="3"/>
      <c r="GXU103" s="3"/>
      <c r="GXV103" s="3"/>
      <c r="GXW103" s="3"/>
      <c r="GXX103" s="3"/>
      <c r="GXY103" s="3"/>
      <c r="GXZ103" s="3"/>
      <c r="GYA103" s="3"/>
      <c r="GYB103" s="3"/>
      <c r="GYC103" s="3"/>
      <c r="GYD103" s="3"/>
      <c r="GYE103" s="3"/>
      <c r="GYF103" s="3"/>
      <c r="GYG103" s="3"/>
      <c r="GYH103" s="3"/>
      <c r="GYI103" s="3"/>
      <c r="GYJ103" s="3"/>
      <c r="GYK103" s="3"/>
      <c r="GYL103" s="3"/>
      <c r="GYM103" s="3"/>
      <c r="GYN103" s="3"/>
      <c r="GYO103" s="3"/>
      <c r="GYP103" s="3"/>
      <c r="GYQ103" s="3"/>
      <c r="GYR103" s="3"/>
      <c r="GYS103" s="3"/>
      <c r="GYT103" s="3"/>
      <c r="GYU103" s="3"/>
      <c r="GYV103" s="3"/>
      <c r="GYW103" s="3"/>
      <c r="GYX103" s="3"/>
      <c r="GYY103" s="3"/>
      <c r="GYZ103" s="3"/>
      <c r="GZA103" s="3"/>
      <c r="GZB103" s="3"/>
      <c r="GZC103" s="3"/>
      <c r="GZD103" s="3"/>
      <c r="GZE103" s="3"/>
      <c r="GZF103" s="3"/>
      <c r="GZG103" s="3"/>
      <c r="GZH103" s="3"/>
      <c r="GZI103" s="3"/>
      <c r="GZJ103" s="3"/>
      <c r="GZK103" s="3"/>
      <c r="GZL103" s="3"/>
      <c r="GZM103" s="3"/>
      <c r="GZN103" s="3"/>
      <c r="GZO103" s="3"/>
      <c r="GZP103" s="3"/>
      <c r="GZQ103" s="3"/>
      <c r="GZR103" s="3"/>
      <c r="GZS103" s="3"/>
      <c r="GZT103" s="3"/>
      <c r="GZU103" s="3"/>
      <c r="GZV103" s="3"/>
      <c r="GZW103" s="3"/>
      <c r="GZX103" s="3"/>
      <c r="GZY103" s="3"/>
      <c r="GZZ103" s="3"/>
      <c r="HAA103" s="3"/>
      <c r="HAB103" s="3"/>
      <c r="HAC103" s="3"/>
      <c r="HAD103" s="3"/>
      <c r="HAE103" s="3"/>
      <c r="HAF103" s="3"/>
      <c r="HAG103" s="3"/>
      <c r="HAH103" s="3"/>
      <c r="HAI103" s="3"/>
      <c r="HAJ103" s="3"/>
      <c r="HAK103" s="3"/>
      <c r="HAL103" s="3"/>
      <c r="HAM103" s="3"/>
      <c r="HAN103" s="3"/>
      <c r="HAO103" s="3"/>
      <c r="HAP103" s="3"/>
      <c r="HAQ103" s="3"/>
      <c r="HAR103" s="3"/>
      <c r="HAS103" s="3"/>
      <c r="HAT103" s="3"/>
      <c r="HAU103" s="3"/>
      <c r="HAV103" s="3"/>
      <c r="HAW103" s="3"/>
      <c r="HAX103" s="3"/>
      <c r="HAY103" s="3"/>
      <c r="HAZ103" s="3"/>
      <c r="HBA103" s="3"/>
      <c r="HBB103" s="3"/>
      <c r="HBC103" s="3"/>
      <c r="HBD103" s="3"/>
      <c r="HBE103" s="3"/>
      <c r="HBF103" s="3"/>
      <c r="HBG103" s="3"/>
      <c r="HBH103" s="3"/>
      <c r="HBI103" s="3"/>
      <c r="HBJ103" s="3"/>
      <c r="HBK103" s="3"/>
      <c r="HBL103" s="3"/>
      <c r="HBM103" s="3"/>
      <c r="HBN103" s="3"/>
      <c r="HBO103" s="3"/>
      <c r="HBP103" s="3"/>
      <c r="HBQ103" s="3"/>
      <c r="HBR103" s="3"/>
      <c r="HBS103" s="3"/>
      <c r="HBT103" s="3"/>
      <c r="HBU103" s="3"/>
      <c r="HBV103" s="3"/>
      <c r="HBW103" s="3"/>
      <c r="HBX103" s="3"/>
      <c r="HBY103" s="3"/>
      <c r="HBZ103" s="3"/>
      <c r="HCA103" s="3"/>
      <c r="HCB103" s="3"/>
      <c r="HCC103" s="3"/>
      <c r="HCD103" s="3"/>
      <c r="HCE103" s="3"/>
      <c r="HCF103" s="3"/>
      <c r="HCG103" s="3"/>
      <c r="HCH103" s="3"/>
      <c r="HCI103" s="3"/>
      <c r="HCJ103" s="3"/>
      <c r="HCK103" s="3"/>
      <c r="HCL103" s="3"/>
      <c r="HCM103" s="3"/>
      <c r="HCN103" s="3"/>
      <c r="HCO103" s="3"/>
      <c r="HCP103" s="3"/>
      <c r="HCQ103" s="3"/>
      <c r="HCR103" s="3"/>
      <c r="HCS103" s="3"/>
      <c r="HCT103" s="3"/>
      <c r="HCU103" s="3"/>
      <c r="HCV103" s="3"/>
      <c r="HCW103" s="3"/>
      <c r="HCX103" s="3"/>
      <c r="HCY103" s="3"/>
      <c r="HCZ103" s="3"/>
      <c r="HDA103" s="3"/>
      <c r="HDB103" s="3"/>
      <c r="HDC103" s="3"/>
      <c r="HDD103" s="3"/>
      <c r="HDE103" s="3"/>
      <c r="HDF103" s="3"/>
      <c r="HDG103" s="3"/>
      <c r="HDH103" s="3"/>
      <c r="HDI103" s="3"/>
      <c r="HDJ103" s="3"/>
      <c r="HDK103" s="3"/>
      <c r="HDL103" s="3"/>
      <c r="HDM103" s="3"/>
      <c r="HDN103" s="3"/>
      <c r="HDO103" s="3"/>
      <c r="HDP103" s="3"/>
      <c r="HDQ103" s="3"/>
      <c r="HDR103" s="3"/>
      <c r="HDS103" s="3"/>
      <c r="HDT103" s="3"/>
      <c r="HDU103" s="3"/>
      <c r="HDV103" s="3"/>
      <c r="HDW103" s="3"/>
      <c r="HDX103" s="3"/>
      <c r="HDY103" s="3"/>
      <c r="HDZ103" s="3"/>
      <c r="HEA103" s="3"/>
      <c r="HEB103" s="3"/>
      <c r="HEC103" s="3"/>
      <c r="HED103" s="3"/>
      <c r="HEE103" s="3"/>
      <c r="HEF103" s="3"/>
      <c r="HEG103" s="3"/>
      <c r="HEH103" s="3"/>
      <c r="HEI103" s="3"/>
      <c r="HEJ103" s="3"/>
      <c r="HEK103" s="3"/>
      <c r="HEL103" s="3"/>
      <c r="HEM103" s="3"/>
      <c r="HEN103" s="3"/>
      <c r="HEO103" s="3"/>
      <c r="HEP103" s="3"/>
      <c r="HEQ103" s="3"/>
      <c r="HER103" s="3"/>
      <c r="HES103" s="3"/>
      <c r="HET103" s="3"/>
      <c r="HEU103" s="3"/>
      <c r="HEV103" s="3"/>
      <c r="HEW103" s="3"/>
      <c r="HEX103" s="3"/>
      <c r="HEY103" s="3"/>
      <c r="HEZ103" s="3"/>
      <c r="HFA103" s="3"/>
      <c r="HFB103" s="3"/>
      <c r="HFC103" s="3"/>
      <c r="HFD103" s="3"/>
      <c r="HFE103" s="3"/>
      <c r="HFF103" s="3"/>
      <c r="HFG103" s="3"/>
      <c r="HFH103" s="3"/>
      <c r="HFI103" s="3"/>
      <c r="HFJ103" s="3"/>
      <c r="HFK103" s="3"/>
      <c r="HFL103" s="3"/>
      <c r="HFM103" s="3"/>
      <c r="HFN103" s="3"/>
      <c r="HFO103" s="3"/>
      <c r="HFP103" s="3"/>
      <c r="HFQ103" s="3"/>
      <c r="HFR103" s="3"/>
      <c r="HFS103" s="3"/>
      <c r="HFT103" s="3"/>
      <c r="HFU103" s="3"/>
      <c r="HFV103" s="3"/>
      <c r="HFW103" s="3"/>
      <c r="HFX103" s="3"/>
      <c r="HFY103" s="3"/>
      <c r="HFZ103" s="3"/>
      <c r="HGA103" s="3"/>
      <c r="HGB103" s="3"/>
      <c r="HGC103" s="3"/>
      <c r="HGD103" s="3"/>
      <c r="HGE103" s="3"/>
      <c r="HGF103" s="3"/>
      <c r="HGG103" s="3"/>
      <c r="HGH103" s="3"/>
      <c r="HGI103" s="3"/>
      <c r="HGJ103" s="3"/>
      <c r="HGK103" s="3"/>
      <c r="HGL103" s="3"/>
      <c r="HGM103" s="3"/>
      <c r="HGN103" s="3"/>
      <c r="HGO103" s="3"/>
      <c r="HGP103" s="3"/>
      <c r="HGQ103" s="3"/>
      <c r="HGR103" s="3"/>
      <c r="HGS103" s="3"/>
      <c r="HGT103" s="3"/>
      <c r="HGU103" s="3"/>
      <c r="HGV103" s="3"/>
      <c r="HGW103" s="3"/>
      <c r="HGX103" s="3"/>
      <c r="HGY103" s="3"/>
      <c r="HGZ103" s="3"/>
      <c r="HHA103" s="3"/>
      <c r="HHB103" s="3"/>
      <c r="HHC103" s="3"/>
      <c r="HHD103" s="3"/>
      <c r="HHE103" s="3"/>
      <c r="HHF103" s="3"/>
      <c r="HHG103" s="3"/>
      <c r="HHH103" s="3"/>
      <c r="HHI103" s="3"/>
      <c r="HHJ103" s="3"/>
      <c r="HHK103" s="3"/>
      <c r="HHL103" s="3"/>
      <c r="HHM103" s="3"/>
      <c r="HHN103" s="3"/>
      <c r="HHO103" s="3"/>
      <c r="HHP103" s="3"/>
      <c r="HHQ103" s="3"/>
      <c r="HHR103" s="3"/>
      <c r="HHS103" s="3"/>
      <c r="HHT103" s="3"/>
      <c r="HHU103" s="3"/>
      <c r="HHV103" s="3"/>
      <c r="HHW103" s="3"/>
      <c r="HHX103" s="3"/>
      <c r="HHY103" s="3"/>
      <c r="HHZ103" s="3"/>
      <c r="HIA103" s="3"/>
      <c r="HIB103" s="3"/>
      <c r="HIC103" s="3"/>
      <c r="HID103" s="3"/>
      <c r="HIE103" s="3"/>
      <c r="HIF103" s="3"/>
      <c r="HIG103" s="3"/>
      <c r="HIH103" s="3"/>
      <c r="HII103" s="3"/>
      <c r="HIJ103" s="3"/>
      <c r="HIK103" s="3"/>
      <c r="HIL103" s="3"/>
      <c r="HIM103" s="3"/>
      <c r="HIN103" s="3"/>
      <c r="HIO103" s="3"/>
      <c r="HIP103" s="3"/>
      <c r="HIQ103" s="3"/>
      <c r="HIR103" s="3"/>
      <c r="HIS103" s="3"/>
      <c r="HIT103" s="3"/>
      <c r="HIU103" s="3"/>
      <c r="HIV103" s="3"/>
      <c r="HIW103" s="3"/>
      <c r="HIX103" s="3"/>
      <c r="HIY103" s="3"/>
      <c r="HIZ103" s="3"/>
      <c r="HJA103" s="3"/>
      <c r="HJB103" s="3"/>
      <c r="HJC103" s="3"/>
      <c r="HJD103" s="3"/>
      <c r="HJE103" s="3"/>
      <c r="HJF103" s="3"/>
      <c r="HJG103" s="3"/>
      <c r="HJH103" s="3"/>
      <c r="HJI103" s="3"/>
      <c r="HJJ103" s="3"/>
      <c r="HJK103" s="3"/>
      <c r="HJL103" s="3"/>
      <c r="HJM103" s="3"/>
      <c r="HJN103" s="3"/>
      <c r="HJO103" s="3"/>
      <c r="HJP103" s="3"/>
      <c r="HJQ103" s="3"/>
      <c r="HJR103" s="3"/>
      <c r="HJS103" s="3"/>
      <c r="HJT103" s="3"/>
      <c r="HJU103" s="3"/>
      <c r="HJV103" s="3"/>
      <c r="HJW103" s="3"/>
      <c r="HJX103" s="3"/>
      <c r="HJY103" s="3"/>
      <c r="HJZ103" s="3"/>
      <c r="HKA103" s="3"/>
      <c r="HKB103" s="3"/>
      <c r="HKC103" s="3"/>
      <c r="HKD103" s="3"/>
      <c r="HKE103" s="3"/>
      <c r="HKF103" s="3"/>
      <c r="HKG103" s="3"/>
      <c r="HKH103" s="3"/>
      <c r="HKI103" s="3"/>
      <c r="HKJ103" s="3"/>
      <c r="HKK103" s="3"/>
      <c r="HKL103" s="3"/>
      <c r="HKM103" s="3"/>
      <c r="HKN103" s="3"/>
      <c r="HKO103" s="3"/>
      <c r="HKP103" s="3"/>
      <c r="HKQ103" s="3"/>
      <c r="HKR103" s="3"/>
      <c r="HKS103" s="3"/>
      <c r="HKT103" s="3"/>
      <c r="HKU103" s="3"/>
      <c r="HKV103" s="3"/>
      <c r="HKW103" s="3"/>
      <c r="HKX103" s="3"/>
      <c r="HKY103" s="3"/>
      <c r="HKZ103" s="3"/>
      <c r="HLA103" s="3"/>
      <c r="HLB103" s="3"/>
      <c r="HLC103" s="3"/>
      <c r="HLD103" s="3"/>
      <c r="HLE103" s="3"/>
      <c r="HLF103" s="3"/>
      <c r="HLG103" s="3"/>
      <c r="HLH103" s="3"/>
      <c r="HLI103" s="3"/>
      <c r="HLJ103" s="3"/>
      <c r="HLK103" s="3"/>
      <c r="HLL103" s="3"/>
      <c r="HLM103" s="3"/>
      <c r="HLN103" s="3"/>
      <c r="HLO103" s="3"/>
      <c r="HLP103" s="3"/>
      <c r="HLQ103" s="3"/>
      <c r="HLR103" s="3"/>
      <c r="HLS103" s="3"/>
      <c r="HLT103" s="3"/>
      <c r="HLU103" s="3"/>
      <c r="HLV103" s="3"/>
      <c r="HLW103" s="3"/>
      <c r="HLX103" s="3"/>
      <c r="HLY103" s="3"/>
      <c r="HLZ103" s="3"/>
      <c r="HMA103" s="3"/>
      <c r="HMB103" s="3"/>
      <c r="HMC103" s="3"/>
      <c r="HMD103" s="3"/>
      <c r="HME103" s="3"/>
      <c r="HMF103" s="3"/>
      <c r="HMG103" s="3"/>
      <c r="HMH103" s="3"/>
      <c r="HMI103" s="3"/>
      <c r="HMJ103" s="3"/>
      <c r="HMK103" s="3"/>
      <c r="HML103" s="3"/>
      <c r="HMM103" s="3"/>
      <c r="HMN103" s="3"/>
      <c r="HMO103" s="3"/>
      <c r="HMP103" s="3"/>
      <c r="HMQ103" s="3"/>
      <c r="HMR103" s="3"/>
      <c r="HMS103" s="3"/>
      <c r="HMT103" s="3"/>
      <c r="HMU103" s="3"/>
      <c r="HMV103" s="3"/>
      <c r="HMW103" s="3"/>
      <c r="HMX103" s="3"/>
      <c r="HMY103" s="3"/>
      <c r="HMZ103" s="3"/>
      <c r="HNA103" s="3"/>
      <c r="HNB103" s="3"/>
      <c r="HNC103" s="3"/>
      <c r="HND103" s="3"/>
      <c r="HNE103" s="3"/>
      <c r="HNF103" s="3"/>
      <c r="HNG103" s="3"/>
      <c r="HNH103" s="3"/>
      <c r="HNI103" s="3"/>
      <c r="HNJ103" s="3"/>
      <c r="HNK103" s="3"/>
      <c r="HNL103" s="3"/>
      <c r="HNM103" s="3"/>
      <c r="HNN103" s="3"/>
      <c r="HNO103" s="3"/>
      <c r="HNP103" s="3"/>
      <c r="HNQ103" s="3"/>
      <c r="HNR103" s="3"/>
      <c r="HNS103" s="3"/>
      <c r="HNT103" s="3"/>
      <c r="HNU103" s="3"/>
      <c r="HNV103" s="3"/>
      <c r="HNW103" s="3"/>
      <c r="HNX103" s="3"/>
      <c r="HNY103" s="3"/>
      <c r="HNZ103" s="3"/>
      <c r="HOA103" s="3"/>
      <c r="HOB103" s="3"/>
      <c r="HOC103" s="3"/>
      <c r="HOD103" s="3"/>
      <c r="HOE103" s="3"/>
      <c r="HOF103" s="3"/>
      <c r="HOG103" s="3"/>
      <c r="HOH103" s="3"/>
      <c r="HOI103" s="3"/>
      <c r="HOJ103" s="3"/>
      <c r="HOK103" s="3"/>
      <c r="HOL103" s="3"/>
      <c r="HOM103" s="3"/>
      <c r="HON103" s="3"/>
      <c r="HOO103" s="3"/>
      <c r="HOP103" s="3"/>
      <c r="HOQ103" s="3"/>
      <c r="HOR103" s="3"/>
      <c r="HOS103" s="3"/>
      <c r="HOT103" s="3"/>
      <c r="HOU103" s="3"/>
      <c r="HOV103" s="3"/>
      <c r="HOW103" s="3"/>
      <c r="HOX103" s="3"/>
      <c r="HOY103" s="3"/>
      <c r="HOZ103" s="3"/>
      <c r="HPA103" s="3"/>
      <c r="HPB103" s="3"/>
      <c r="HPC103" s="3"/>
      <c r="HPD103" s="3"/>
      <c r="HPE103" s="3"/>
      <c r="HPF103" s="3"/>
      <c r="HPG103" s="3"/>
      <c r="HPH103" s="3"/>
      <c r="HPI103" s="3"/>
      <c r="HPJ103" s="3"/>
      <c r="HPK103" s="3"/>
      <c r="HPL103" s="3"/>
      <c r="HPM103" s="3"/>
      <c r="HPN103" s="3"/>
      <c r="HPO103" s="3"/>
      <c r="HPP103" s="3"/>
      <c r="HPQ103" s="3"/>
      <c r="HPR103" s="3"/>
      <c r="HPS103" s="3"/>
      <c r="HPT103" s="3"/>
      <c r="HPU103" s="3"/>
      <c r="HPV103" s="3"/>
      <c r="HPW103" s="3"/>
      <c r="HPX103" s="3"/>
      <c r="HPY103" s="3"/>
      <c r="HPZ103" s="3"/>
      <c r="HQA103" s="3"/>
      <c r="HQB103" s="3"/>
      <c r="HQC103" s="3"/>
      <c r="HQD103" s="3"/>
      <c r="HQE103" s="3"/>
      <c r="HQF103" s="3"/>
      <c r="HQG103" s="3"/>
      <c r="HQH103" s="3"/>
      <c r="HQI103" s="3"/>
      <c r="HQJ103" s="3"/>
      <c r="HQK103" s="3"/>
      <c r="HQL103" s="3"/>
      <c r="HQM103" s="3"/>
      <c r="HQN103" s="3"/>
      <c r="HQO103" s="3"/>
      <c r="HQP103" s="3"/>
      <c r="HQQ103" s="3"/>
      <c r="HQR103" s="3"/>
      <c r="HQS103" s="3"/>
      <c r="HQT103" s="3"/>
      <c r="HQU103" s="3"/>
      <c r="HQV103" s="3"/>
      <c r="HQW103" s="3"/>
      <c r="HQX103" s="3"/>
      <c r="HQY103" s="3"/>
      <c r="HQZ103" s="3"/>
      <c r="HRA103" s="3"/>
      <c r="HRB103" s="3"/>
      <c r="HRC103" s="3"/>
      <c r="HRD103" s="3"/>
      <c r="HRE103" s="3"/>
      <c r="HRF103" s="3"/>
      <c r="HRG103" s="3"/>
      <c r="HRH103" s="3"/>
      <c r="HRI103" s="3"/>
      <c r="HRJ103" s="3"/>
      <c r="HRK103" s="3"/>
      <c r="HRL103" s="3"/>
      <c r="HRM103" s="3"/>
      <c r="HRN103" s="3"/>
      <c r="HRO103" s="3"/>
      <c r="HRP103" s="3"/>
      <c r="HRQ103" s="3"/>
      <c r="HRR103" s="3"/>
      <c r="HRS103" s="3"/>
      <c r="HRT103" s="3"/>
      <c r="HRU103" s="3"/>
      <c r="HRV103" s="3"/>
      <c r="HRW103" s="3"/>
      <c r="HRX103" s="3"/>
      <c r="HRY103" s="3"/>
      <c r="HRZ103" s="3"/>
      <c r="HSA103" s="3"/>
      <c r="HSB103" s="3"/>
      <c r="HSC103" s="3"/>
      <c r="HSD103" s="3"/>
      <c r="HSE103" s="3"/>
      <c r="HSF103" s="3"/>
      <c r="HSG103" s="3"/>
      <c r="HSH103" s="3"/>
      <c r="HSI103" s="3"/>
      <c r="HSJ103" s="3"/>
      <c r="HSK103" s="3"/>
      <c r="HSL103" s="3"/>
      <c r="HSM103" s="3"/>
      <c r="HSN103" s="3"/>
      <c r="HSO103" s="3"/>
      <c r="HSP103" s="3"/>
      <c r="HSQ103" s="3"/>
      <c r="HSR103" s="3"/>
      <c r="HSS103" s="3"/>
      <c r="HST103" s="3"/>
      <c r="HSU103" s="3"/>
      <c r="HSV103" s="3"/>
      <c r="HSW103" s="3"/>
      <c r="HSX103" s="3"/>
      <c r="HSY103" s="3"/>
      <c r="HSZ103" s="3"/>
      <c r="HTA103" s="3"/>
      <c r="HTB103" s="3"/>
      <c r="HTC103" s="3"/>
      <c r="HTD103" s="3"/>
      <c r="HTE103" s="3"/>
      <c r="HTF103" s="3"/>
      <c r="HTG103" s="3"/>
      <c r="HTH103" s="3"/>
      <c r="HTI103" s="3"/>
      <c r="HTJ103" s="3"/>
      <c r="HTK103" s="3"/>
      <c r="HTL103" s="3"/>
      <c r="HTM103" s="3"/>
      <c r="HTN103" s="3"/>
      <c r="HTO103" s="3"/>
      <c r="HTP103" s="3"/>
      <c r="HTQ103" s="3"/>
      <c r="HTR103" s="3"/>
      <c r="HTS103" s="3"/>
      <c r="HTT103" s="3"/>
      <c r="HTU103" s="3"/>
      <c r="HTV103" s="3"/>
      <c r="HTW103" s="3"/>
      <c r="HTX103" s="3"/>
      <c r="HTY103" s="3"/>
      <c r="HTZ103" s="3"/>
      <c r="HUA103" s="3"/>
      <c r="HUB103" s="3"/>
      <c r="HUC103" s="3"/>
      <c r="HUD103" s="3"/>
      <c r="HUE103" s="3"/>
      <c r="HUF103" s="3"/>
      <c r="HUG103" s="3"/>
      <c r="HUH103" s="3"/>
      <c r="HUI103" s="3"/>
      <c r="HUJ103" s="3"/>
      <c r="HUK103" s="3"/>
      <c r="HUL103" s="3"/>
      <c r="HUM103" s="3"/>
      <c r="HUN103" s="3"/>
      <c r="HUO103" s="3"/>
      <c r="HUP103" s="3"/>
      <c r="HUQ103" s="3"/>
      <c r="HUR103" s="3"/>
      <c r="HUS103" s="3"/>
      <c r="HUT103" s="3"/>
      <c r="HUU103" s="3"/>
      <c r="HUV103" s="3"/>
      <c r="HUW103" s="3"/>
      <c r="HUX103" s="3"/>
      <c r="HUY103" s="3"/>
      <c r="HUZ103" s="3"/>
      <c r="HVA103" s="3"/>
      <c r="HVB103" s="3"/>
      <c r="HVC103" s="3"/>
      <c r="HVD103" s="3"/>
      <c r="HVE103" s="3"/>
      <c r="HVF103" s="3"/>
      <c r="HVG103" s="3"/>
      <c r="HVH103" s="3"/>
      <c r="HVI103" s="3"/>
      <c r="HVJ103" s="3"/>
      <c r="HVK103" s="3"/>
      <c r="HVL103" s="3"/>
      <c r="HVM103" s="3"/>
      <c r="HVN103" s="3"/>
      <c r="HVO103" s="3"/>
      <c r="HVP103" s="3"/>
      <c r="HVQ103" s="3"/>
      <c r="HVR103" s="3"/>
      <c r="HVS103" s="3"/>
      <c r="HVT103" s="3"/>
      <c r="HVU103" s="3"/>
      <c r="HVV103" s="3"/>
      <c r="HVW103" s="3"/>
      <c r="HVX103" s="3"/>
      <c r="HVY103" s="3"/>
      <c r="HVZ103" s="3"/>
      <c r="HWA103" s="3"/>
      <c r="HWB103" s="3"/>
      <c r="HWC103" s="3"/>
      <c r="HWD103" s="3"/>
      <c r="HWE103" s="3"/>
      <c r="HWF103" s="3"/>
      <c r="HWG103" s="3"/>
      <c r="HWH103" s="3"/>
      <c r="HWI103" s="3"/>
      <c r="HWJ103" s="3"/>
      <c r="HWK103" s="3"/>
      <c r="HWL103" s="3"/>
      <c r="HWM103" s="3"/>
      <c r="HWN103" s="3"/>
      <c r="HWO103" s="3"/>
      <c r="HWP103" s="3"/>
      <c r="HWQ103" s="3"/>
      <c r="HWR103" s="3"/>
      <c r="HWS103" s="3"/>
      <c r="HWT103" s="3"/>
      <c r="HWU103" s="3"/>
      <c r="HWV103" s="3"/>
      <c r="HWW103" s="3"/>
      <c r="HWX103" s="3"/>
      <c r="HWY103" s="3"/>
      <c r="HWZ103" s="3"/>
      <c r="HXA103" s="3"/>
      <c r="HXB103" s="3"/>
      <c r="HXC103" s="3"/>
      <c r="HXD103" s="3"/>
      <c r="HXE103" s="3"/>
      <c r="HXF103" s="3"/>
      <c r="HXG103" s="3"/>
      <c r="HXH103" s="3"/>
      <c r="HXI103" s="3"/>
      <c r="HXJ103" s="3"/>
      <c r="HXK103" s="3"/>
      <c r="HXL103" s="3"/>
      <c r="HXM103" s="3"/>
      <c r="HXN103" s="3"/>
      <c r="HXO103" s="3"/>
      <c r="HXP103" s="3"/>
      <c r="HXQ103" s="3"/>
      <c r="HXR103" s="3"/>
      <c r="HXS103" s="3"/>
      <c r="HXT103" s="3"/>
      <c r="HXU103" s="3"/>
      <c r="HXV103" s="3"/>
      <c r="HXW103" s="3"/>
      <c r="HXX103" s="3"/>
      <c r="HXY103" s="3"/>
      <c r="HXZ103" s="3"/>
      <c r="HYA103" s="3"/>
      <c r="HYB103" s="3"/>
      <c r="HYC103" s="3"/>
      <c r="HYD103" s="3"/>
      <c r="HYE103" s="3"/>
      <c r="HYF103" s="3"/>
      <c r="HYG103" s="3"/>
      <c r="HYH103" s="3"/>
      <c r="HYI103" s="3"/>
      <c r="HYJ103" s="3"/>
      <c r="HYK103" s="3"/>
      <c r="HYL103" s="3"/>
      <c r="HYM103" s="3"/>
      <c r="HYN103" s="3"/>
      <c r="HYO103" s="3"/>
      <c r="HYP103" s="3"/>
      <c r="HYQ103" s="3"/>
      <c r="HYR103" s="3"/>
      <c r="HYS103" s="3"/>
      <c r="HYT103" s="3"/>
      <c r="HYU103" s="3"/>
      <c r="HYV103" s="3"/>
      <c r="HYW103" s="3"/>
      <c r="HYX103" s="3"/>
      <c r="HYY103" s="3"/>
      <c r="HYZ103" s="3"/>
      <c r="HZA103" s="3"/>
      <c r="HZB103" s="3"/>
      <c r="HZC103" s="3"/>
      <c r="HZD103" s="3"/>
      <c r="HZE103" s="3"/>
      <c r="HZF103" s="3"/>
      <c r="HZG103" s="3"/>
      <c r="HZH103" s="3"/>
      <c r="HZI103" s="3"/>
      <c r="HZJ103" s="3"/>
      <c r="HZK103" s="3"/>
      <c r="HZL103" s="3"/>
      <c r="HZM103" s="3"/>
      <c r="HZN103" s="3"/>
      <c r="HZO103" s="3"/>
      <c r="HZP103" s="3"/>
      <c r="HZQ103" s="3"/>
      <c r="HZR103" s="3"/>
      <c r="HZS103" s="3"/>
      <c r="HZT103" s="3"/>
      <c r="HZU103" s="3"/>
      <c r="HZV103" s="3"/>
      <c r="HZW103" s="3"/>
      <c r="HZX103" s="3"/>
      <c r="HZY103" s="3"/>
      <c r="HZZ103" s="3"/>
      <c r="IAA103" s="3"/>
      <c r="IAB103" s="3"/>
      <c r="IAC103" s="3"/>
      <c r="IAD103" s="3"/>
      <c r="IAE103" s="3"/>
      <c r="IAF103" s="3"/>
      <c r="IAG103" s="3"/>
      <c r="IAH103" s="3"/>
      <c r="IAI103" s="3"/>
      <c r="IAJ103" s="3"/>
      <c r="IAK103" s="3"/>
      <c r="IAL103" s="3"/>
      <c r="IAM103" s="3"/>
      <c r="IAN103" s="3"/>
      <c r="IAO103" s="3"/>
      <c r="IAP103" s="3"/>
      <c r="IAQ103" s="3"/>
      <c r="IAR103" s="3"/>
      <c r="IAS103" s="3"/>
      <c r="IAT103" s="3"/>
      <c r="IAU103" s="3"/>
      <c r="IAV103" s="3"/>
      <c r="IAW103" s="3"/>
      <c r="IAX103" s="3"/>
      <c r="IAY103" s="3"/>
      <c r="IAZ103" s="3"/>
      <c r="IBA103" s="3"/>
      <c r="IBB103" s="3"/>
      <c r="IBC103" s="3"/>
      <c r="IBD103" s="3"/>
      <c r="IBE103" s="3"/>
      <c r="IBF103" s="3"/>
      <c r="IBG103" s="3"/>
      <c r="IBH103" s="3"/>
      <c r="IBI103" s="3"/>
      <c r="IBJ103" s="3"/>
      <c r="IBK103" s="3"/>
      <c r="IBL103" s="3"/>
      <c r="IBM103" s="3"/>
      <c r="IBN103" s="3"/>
      <c r="IBO103" s="3"/>
      <c r="IBP103" s="3"/>
      <c r="IBQ103" s="3"/>
      <c r="IBR103" s="3"/>
      <c r="IBS103" s="3"/>
      <c r="IBT103" s="3"/>
      <c r="IBU103" s="3"/>
      <c r="IBV103" s="3"/>
      <c r="IBW103" s="3"/>
      <c r="IBX103" s="3"/>
      <c r="IBY103" s="3"/>
      <c r="IBZ103" s="3"/>
      <c r="ICA103" s="3"/>
      <c r="ICB103" s="3"/>
      <c r="ICC103" s="3"/>
      <c r="ICD103" s="3"/>
      <c r="ICE103" s="3"/>
      <c r="ICF103" s="3"/>
      <c r="ICG103" s="3"/>
      <c r="ICH103" s="3"/>
      <c r="ICI103" s="3"/>
      <c r="ICJ103" s="3"/>
      <c r="ICK103" s="3"/>
      <c r="ICL103" s="3"/>
      <c r="ICM103" s="3"/>
      <c r="ICN103" s="3"/>
      <c r="ICO103" s="3"/>
      <c r="ICP103" s="3"/>
      <c r="ICQ103" s="3"/>
      <c r="ICR103" s="3"/>
      <c r="ICS103" s="3"/>
      <c r="ICT103" s="3"/>
      <c r="ICU103" s="3"/>
      <c r="ICV103" s="3"/>
      <c r="ICW103" s="3"/>
      <c r="ICX103" s="3"/>
      <c r="ICY103" s="3"/>
      <c r="ICZ103" s="3"/>
      <c r="IDA103" s="3"/>
      <c r="IDB103" s="3"/>
      <c r="IDC103" s="3"/>
      <c r="IDD103" s="3"/>
      <c r="IDE103" s="3"/>
      <c r="IDF103" s="3"/>
      <c r="IDG103" s="3"/>
      <c r="IDH103" s="3"/>
      <c r="IDI103" s="3"/>
      <c r="IDJ103" s="3"/>
      <c r="IDK103" s="3"/>
      <c r="IDL103" s="3"/>
      <c r="IDM103" s="3"/>
      <c r="IDN103" s="3"/>
      <c r="IDO103" s="3"/>
      <c r="IDP103" s="3"/>
      <c r="IDQ103" s="3"/>
      <c r="IDR103" s="3"/>
      <c r="IDS103" s="3"/>
      <c r="IDT103" s="3"/>
      <c r="IDU103" s="3"/>
      <c r="IDV103" s="3"/>
      <c r="IDW103" s="3"/>
      <c r="IDX103" s="3"/>
      <c r="IDY103" s="3"/>
      <c r="IDZ103" s="3"/>
      <c r="IEA103" s="3"/>
      <c r="IEB103" s="3"/>
      <c r="IEC103" s="3"/>
      <c r="IED103" s="3"/>
      <c r="IEE103" s="3"/>
      <c r="IEF103" s="3"/>
      <c r="IEG103" s="3"/>
      <c r="IEH103" s="3"/>
      <c r="IEI103" s="3"/>
      <c r="IEJ103" s="3"/>
      <c r="IEK103" s="3"/>
      <c r="IEL103" s="3"/>
      <c r="IEM103" s="3"/>
      <c r="IEN103" s="3"/>
      <c r="IEO103" s="3"/>
      <c r="IEP103" s="3"/>
      <c r="IEQ103" s="3"/>
      <c r="IER103" s="3"/>
      <c r="IES103" s="3"/>
      <c r="IET103" s="3"/>
      <c r="IEU103" s="3"/>
      <c r="IEV103" s="3"/>
      <c r="IEW103" s="3"/>
      <c r="IEX103" s="3"/>
      <c r="IEY103" s="3"/>
      <c r="IEZ103" s="3"/>
      <c r="IFA103" s="3"/>
      <c r="IFB103" s="3"/>
      <c r="IFC103" s="3"/>
      <c r="IFD103" s="3"/>
      <c r="IFE103" s="3"/>
      <c r="IFF103" s="3"/>
      <c r="IFG103" s="3"/>
      <c r="IFH103" s="3"/>
      <c r="IFI103" s="3"/>
      <c r="IFJ103" s="3"/>
      <c r="IFK103" s="3"/>
      <c r="IFL103" s="3"/>
      <c r="IFM103" s="3"/>
      <c r="IFN103" s="3"/>
      <c r="IFO103" s="3"/>
      <c r="IFP103" s="3"/>
      <c r="IFQ103" s="3"/>
      <c r="IFR103" s="3"/>
      <c r="IFS103" s="3"/>
      <c r="IFT103" s="3"/>
      <c r="IFU103" s="3"/>
      <c r="IFV103" s="3"/>
      <c r="IFW103" s="3"/>
      <c r="IFX103" s="3"/>
      <c r="IFY103" s="3"/>
      <c r="IFZ103" s="3"/>
      <c r="IGA103" s="3"/>
      <c r="IGB103" s="3"/>
      <c r="IGC103" s="3"/>
      <c r="IGD103" s="3"/>
      <c r="IGE103" s="3"/>
      <c r="IGF103" s="3"/>
      <c r="IGG103" s="3"/>
      <c r="IGH103" s="3"/>
      <c r="IGI103" s="3"/>
      <c r="IGJ103" s="3"/>
      <c r="IGK103" s="3"/>
      <c r="IGL103" s="3"/>
      <c r="IGM103" s="3"/>
      <c r="IGN103" s="3"/>
      <c r="IGO103" s="3"/>
      <c r="IGP103" s="3"/>
      <c r="IGQ103" s="3"/>
      <c r="IGR103" s="3"/>
      <c r="IGS103" s="3"/>
      <c r="IGT103" s="3"/>
      <c r="IGU103" s="3"/>
      <c r="IGV103" s="3"/>
      <c r="IGW103" s="3"/>
      <c r="IGX103" s="3"/>
      <c r="IGY103" s="3"/>
      <c r="IGZ103" s="3"/>
      <c r="IHA103" s="3"/>
      <c r="IHB103" s="3"/>
      <c r="IHC103" s="3"/>
      <c r="IHD103" s="3"/>
      <c r="IHE103" s="3"/>
      <c r="IHF103" s="3"/>
      <c r="IHG103" s="3"/>
      <c r="IHH103" s="3"/>
      <c r="IHI103" s="3"/>
      <c r="IHJ103" s="3"/>
      <c r="IHK103" s="3"/>
      <c r="IHL103" s="3"/>
      <c r="IHM103" s="3"/>
      <c r="IHN103" s="3"/>
      <c r="IHO103" s="3"/>
      <c r="IHP103" s="3"/>
      <c r="IHQ103" s="3"/>
      <c r="IHR103" s="3"/>
      <c r="IHS103" s="3"/>
      <c r="IHT103" s="3"/>
      <c r="IHU103" s="3"/>
      <c r="IHV103" s="3"/>
      <c r="IHW103" s="3"/>
      <c r="IHX103" s="3"/>
      <c r="IHY103" s="3"/>
      <c r="IHZ103" s="3"/>
      <c r="IIA103" s="3"/>
      <c r="IIB103" s="3"/>
      <c r="IIC103" s="3"/>
      <c r="IID103" s="3"/>
      <c r="IIE103" s="3"/>
      <c r="IIF103" s="3"/>
      <c r="IIG103" s="3"/>
      <c r="IIH103" s="3"/>
      <c r="III103" s="3"/>
      <c r="IIJ103" s="3"/>
      <c r="IIK103" s="3"/>
      <c r="IIL103" s="3"/>
      <c r="IIM103" s="3"/>
      <c r="IIN103" s="3"/>
      <c r="IIO103" s="3"/>
      <c r="IIP103" s="3"/>
      <c r="IIQ103" s="3"/>
      <c r="IIR103" s="3"/>
      <c r="IIS103" s="3"/>
      <c r="IIT103" s="3"/>
      <c r="IIU103" s="3"/>
      <c r="IIV103" s="3"/>
      <c r="IIW103" s="3"/>
      <c r="IIX103" s="3"/>
      <c r="IIY103" s="3"/>
      <c r="IIZ103" s="3"/>
      <c r="IJA103" s="3"/>
      <c r="IJB103" s="3"/>
      <c r="IJC103" s="3"/>
      <c r="IJD103" s="3"/>
      <c r="IJE103" s="3"/>
      <c r="IJF103" s="3"/>
      <c r="IJG103" s="3"/>
      <c r="IJH103" s="3"/>
      <c r="IJI103" s="3"/>
      <c r="IJJ103" s="3"/>
      <c r="IJK103" s="3"/>
      <c r="IJL103" s="3"/>
      <c r="IJM103" s="3"/>
      <c r="IJN103" s="3"/>
      <c r="IJO103" s="3"/>
      <c r="IJP103" s="3"/>
      <c r="IJQ103" s="3"/>
      <c r="IJR103" s="3"/>
      <c r="IJS103" s="3"/>
      <c r="IJT103" s="3"/>
      <c r="IJU103" s="3"/>
      <c r="IJV103" s="3"/>
      <c r="IJW103" s="3"/>
      <c r="IJX103" s="3"/>
      <c r="IJY103" s="3"/>
      <c r="IJZ103" s="3"/>
      <c r="IKA103" s="3"/>
      <c r="IKB103" s="3"/>
      <c r="IKC103" s="3"/>
      <c r="IKD103" s="3"/>
      <c r="IKE103" s="3"/>
      <c r="IKF103" s="3"/>
      <c r="IKG103" s="3"/>
      <c r="IKH103" s="3"/>
      <c r="IKI103" s="3"/>
      <c r="IKJ103" s="3"/>
      <c r="IKK103" s="3"/>
      <c r="IKL103" s="3"/>
      <c r="IKM103" s="3"/>
      <c r="IKN103" s="3"/>
      <c r="IKO103" s="3"/>
      <c r="IKP103" s="3"/>
      <c r="IKQ103" s="3"/>
      <c r="IKR103" s="3"/>
      <c r="IKS103" s="3"/>
      <c r="IKT103" s="3"/>
      <c r="IKU103" s="3"/>
      <c r="IKV103" s="3"/>
      <c r="IKW103" s="3"/>
      <c r="IKX103" s="3"/>
      <c r="IKY103" s="3"/>
      <c r="IKZ103" s="3"/>
      <c r="ILA103" s="3"/>
      <c r="ILB103" s="3"/>
      <c r="ILC103" s="3"/>
      <c r="ILD103" s="3"/>
      <c r="ILE103" s="3"/>
      <c r="ILF103" s="3"/>
      <c r="ILG103" s="3"/>
      <c r="ILH103" s="3"/>
      <c r="ILI103" s="3"/>
      <c r="ILJ103" s="3"/>
      <c r="ILK103" s="3"/>
      <c r="ILL103" s="3"/>
      <c r="ILM103" s="3"/>
      <c r="ILN103" s="3"/>
      <c r="ILO103" s="3"/>
      <c r="ILP103" s="3"/>
      <c r="ILQ103" s="3"/>
      <c r="ILR103" s="3"/>
      <c r="ILS103" s="3"/>
      <c r="ILT103" s="3"/>
      <c r="ILU103" s="3"/>
      <c r="ILV103" s="3"/>
      <c r="ILW103" s="3"/>
      <c r="ILX103" s="3"/>
      <c r="ILY103" s="3"/>
      <c r="ILZ103" s="3"/>
      <c r="IMA103" s="3"/>
      <c r="IMB103" s="3"/>
      <c r="IMC103" s="3"/>
      <c r="IMD103" s="3"/>
      <c r="IME103" s="3"/>
      <c r="IMF103" s="3"/>
      <c r="IMG103" s="3"/>
      <c r="IMH103" s="3"/>
      <c r="IMI103" s="3"/>
      <c r="IMJ103" s="3"/>
      <c r="IMK103" s="3"/>
      <c r="IML103" s="3"/>
      <c r="IMM103" s="3"/>
      <c r="IMN103" s="3"/>
      <c r="IMO103" s="3"/>
      <c r="IMP103" s="3"/>
      <c r="IMQ103" s="3"/>
      <c r="IMR103" s="3"/>
      <c r="IMS103" s="3"/>
      <c r="IMT103" s="3"/>
      <c r="IMU103" s="3"/>
      <c r="IMV103" s="3"/>
      <c r="IMW103" s="3"/>
      <c r="IMX103" s="3"/>
      <c r="IMY103" s="3"/>
      <c r="IMZ103" s="3"/>
      <c r="INA103" s="3"/>
      <c r="INB103" s="3"/>
      <c r="INC103" s="3"/>
      <c r="IND103" s="3"/>
      <c r="INE103" s="3"/>
      <c r="INF103" s="3"/>
      <c r="ING103" s="3"/>
      <c r="INH103" s="3"/>
      <c r="INI103" s="3"/>
      <c r="INJ103" s="3"/>
      <c r="INK103" s="3"/>
      <c r="INL103" s="3"/>
      <c r="INM103" s="3"/>
      <c r="INN103" s="3"/>
      <c r="INO103" s="3"/>
      <c r="INP103" s="3"/>
      <c r="INQ103" s="3"/>
      <c r="INR103" s="3"/>
      <c r="INS103" s="3"/>
      <c r="INT103" s="3"/>
      <c r="INU103" s="3"/>
      <c r="INV103" s="3"/>
      <c r="INW103" s="3"/>
      <c r="INX103" s="3"/>
      <c r="INY103" s="3"/>
      <c r="INZ103" s="3"/>
      <c r="IOA103" s="3"/>
      <c r="IOB103" s="3"/>
      <c r="IOC103" s="3"/>
      <c r="IOD103" s="3"/>
      <c r="IOE103" s="3"/>
      <c r="IOF103" s="3"/>
      <c r="IOG103" s="3"/>
      <c r="IOH103" s="3"/>
      <c r="IOI103" s="3"/>
      <c r="IOJ103" s="3"/>
      <c r="IOK103" s="3"/>
      <c r="IOL103" s="3"/>
      <c r="IOM103" s="3"/>
      <c r="ION103" s="3"/>
      <c r="IOO103" s="3"/>
      <c r="IOP103" s="3"/>
      <c r="IOQ103" s="3"/>
      <c r="IOR103" s="3"/>
      <c r="IOS103" s="3"/>
      <c r="IOT103" s="3"/>
      <c r="IOU103" s="3"/>
      <c r="IOV103" s="3"/>
      <c r="IOW103" s="3"/>
      <c r="IOX103" s="3"/>
      <c r="IOY103" s="3"/>
      <c r="IOZ103" s="3"/>
      <c r="IPA103" s="3"/>
      <c r="IPB103" s="3"/>
      <c r="IPC103" s="3"/>
      <c r="IPD103" s="3"/>
      <c r="IPE103" s="3"/>
      <c r="IPF103" s="3"/>
      <c r="IPG103" s="3"/>
      <c r="IPH103" s="3"/>
      <c r="IPI103" s="3"/>
      <c r="IPJ103" s="3"/>
      <c r="IPK103" s="3"/>
      <c r="IPL103" s="3"/>
      <c r="IPM103" s="3"/>
      <c r="IPN103" s="3"/>
      <c r="IPO103" s="3"/>
      <c r="IPP103" s="3"/>
      <c r="IPQ103" s="3"/>
      <c r="IPR103" s="3"/>
      <c r="IPS103" s="3"/>
      <c r="IPT103" s="3"/>
      <c r="IPU103" s="3"/>
      <c r="IPV103" s="3"/>
      <c r="IPW103" s="3"/>
      <c r="IPX103" s="3"/>
      <c r="IPY103" s="3"/>
      <c r="IPZ103" s="3"/>
      <c r="IQA103" s="3"/>
      <c r="IQB103" s="3"/>
      <c r="IQC103" s="3"/>
      <c r="IQD103" s="3"/>
      <c r="IQE103" s="3"/>
      <c r="IQF103" s="3"/>
      <c r="IQG103" s="3"/>
      <c r="IQH103" s="3"/>
      <c r="IQI103" s="3"/>
      <c r="IQJ103" s="3"/>
      <c r="IQK103" s="3"/>
      <c r="IQL103" s="3"/>
      <c r="IQM103" s="3"/>
      <c r="IQN103" s="3"/>
      <c r="IQO103" s="3"/>
      <c r="IQP103" s="3"/>
      <c r="IQQ103" s="3"/>
      <c r="IQR103" s="3"/>
      <c r="IQS103" s="3"/>
      <c r="IQT103" s="3"/>
      <c r="IQU103" s="3"/>
      <c r="IQV103" s="3"/>
      <c r="IQW103" s="3"/>
      <c r="IQX103" s="3"/>
      <c r="IQY103" s="3"/>
      <c r="IQZ103" s="3"/>
      <c r="IRA103" s="3"/>
      <c r="IRB103" s="3"/>
      <c r="IRC103" s="3"/>
      <c r="IRD103" s="3"/>
      <c r="IRE103" s="3"/>
      <c r="IRF103" s="3"/>
      <c r="IRG103" s="3"/>
      <c r="IRH103" s="3"/>
      <c r="IRI103" s="3"/>
      <c r="IRJ103" s="3"/>
      <c r="IRK103" s="3"/>
      <c r="IRL103" s="3"/>
      <c r="IRM103" s="3"/>
      <c r="IRN103" s="3"/>
      <c r="IRO103" s="3"/>
      <c r="IRP103" s="3"/>
      <c r="IRQ103" s="3"/>
      <c r="IRR103" s="3"/>
      <c r="IRS103" s="3"/>
      <c r="IRT103" s="3"/>
      <c r="IRU103" s="3"/>
      <c r="IRV103" s="3"/>
      <c r="IRW103" s="3"/>
      <c r="IRX103" s="3"/>
      <c r="IRY103" s="3"/>
      <c r="IRZ103" s="3"/>
      <c r="ISA103" s="3"/>
      <c r="ISB103" s="3"/>
      <c r="ISC103" s="3"/>
      <c r="ISD103" s="3"/>
      <c r="ISE103" s="3"/>
      <c r="ISF103" s="3"/>
      <c r="ISG103" s="3"/>
      <c r="ISH103" s="3"/>
      <c r="ISI103" s="3"/>
      <c r="ISJ103" s="3"/>
      <c r="ISK103" s="3"/>
      <c r="ISL103" s="3"/>
      <c r="ISM103" s="3"/>
      <c r="ISN103" s="3"/>
      <c r="ISO103" s="3"/>
      <c r="ISP103" s="3"/>
      <c r="ISQ103" s="3"/>
      <c r="ISR103" s="3"/>
      <c r="ISS103" s="3"/>
      <c r="IST103" s="3"/>
      <c r="ISU103" s="3"/>
      <c r="ISV103" s="3"/>
      <c r="ISW103" s="3"/>
      <c r="ISX103" s="3"/>
      <c r="ISY103" s="3"/>
      <c r="ISZ103" s="3"/>
      <c r="ITA103" s="3"/>
      <c r="ITB103" s="3"/>
      <c r="ITC103" s="3"/>
      <c r="ITD103" s="3"/>
      <c r="ITE103" s="3"/>
      <c r="ITF103" s="3"/>
      <c r="ITG103" s="3"/>
      <c r="ITH103" s="3"/>
      <c r="ITI103" s="3"/>
      <c r="ITJ103" s="3"/>
      <c r="ITK103" s="3"/>
      <c r="ITL103" s="3"/>
      <c r="ITM103" s="3"/>
      <c r="ITN103" s="3"/>
      <c r="ITO103" s="3"/>
      <c r="ITP103" s="3"/>
      <c r="ITQ103" s="3"/>
      <c r="ITR103" s="3"/>
      <c r="ITS103" s="3"/>
      <c r="ITT103" s="3"/>
      <c r="ITU103" s="3"/>
      <c r="ITV103" s="3"/>
      <c r="ITW103" s="3"/>
      <c r="ITX103" s="3"/>
      <c r="ITY103" s="3"/>
      <c r="ITZ103" s="3"/>
      <c r="IUA103" s="3"/>
      <c r="IUB103" s="3"/>
      <c r="IUC103" s="3"/>
      <c r="IUD103" s="3"/>
      <c r="IUE103" s="3"/>
      <c r="IUF103" s="3"/>
      <c r="IUG103" s="3"/>
      <c r="IUH103" s="3"/>
      <c r="IUI103" s="3"/>
      <c r="IUJ103" s="3"/>
      <c r="IUK103" s="3"/>
      <c r="IUL103" s="3"/>
      <c r="IUM103" s="3"/>
      <c r="IUN103" s="3"/>
      <c r="IUO103" s="3"/>
      <c r="IUP103" s="3"/>
      <c r="IUQ103" s="3"/>
      <c r="IUR103" s="3"/>
      <c r="IUS103" s="3"/>
      <c r="IUT103" s="3"/>
      <c r="IUU103" s="3"/>
      <c r="IUV103" s="3"/>
      <c r="IUW103" s="3"/>
      <c r="IUX103" s="3"/>
      <c r="IUY103" s="3"/>
      <c r="IUZ103" s="3"/>
      <c r="IVA103" s="3"/>
      <c r="IVB103" s="3"/>
      <c r="IVC103" s="3"/>
      <c r="IVD103" s="3"/>
      <c r="IVE103" s="3"/>
      <c r="IVF103" s="3"/>
      <c r="IVG103" s="3"/>
      <c r="IVH103" s="3"/>
      <c r="IVI103" s="3"/>
      <c r="IVJ103" s="3"/>
      <c r="IVK103" s="3"/>
      <c r="IVL103" s="3"/>
      <c r="IVM103" s="3"/>
      <c r="IVN103" s="3"/>
      <c r="IVO103" s="3"/>
      <c r="IVP103" s="3"/>
      <c r="IVQ103" s="3"/>
      <c r="IVR103" s="3"/>
      <c r="IVS103" s="3"/>
      <c r="IVT103" s="3"/>
      <c r="IVU103" s="3"/>
      <c r="IVV103" s="3"/>
      <c r="IVW103" s="3"/>
      <c r="IVX103" s="3"/>
      <c r="IVY103" s="3"/>
      <c r="IVZ103" s="3"/>
      <c r="IWA103" s="3"/>
      <c r="IWB103" s="3"/>
      <c r="IWC103" s="3"/>
      <c r="IWD103" s="3"/>
      <c r="IWE103" s="3"/>
      <c r="IWF103" s="3"/>
      <c r="IWG103" s="3"/>
      <c r="IWH103" s="3"/>
      <c r="IWI103" s="3"/>
      <c r="IWJ103" s="3"/>
      <c r="IWK103" s="3"/>
      <c r="IWL103" s="3"/>
      <c r="IWM103" s="3"/>
      <c r="IWN103" s="3"/>
      <c r="IWO103" s="3"/>
      <c r="IWP103" s="3"/>
      <c r="IWQ103" s="3"/>
      <c r="IWR103" s="3"/>
      <c r="IWS103" s="3"/>
      <c r="IWT103" s="3"/>
      <c r="IWU103" s="3"/>
      <c r="IWV103" s="3"/>
      <c r="IWW103" s="3"/>
      <c r="IWX103" s="3"/>
      <c r="IWY103" s="3"/>
      <c r="IWZ103" s="3"/>
      <c r="IXA103" s="3"/>
      <c r="IXB103" s="3"/>
      <c r="IXC103" s="3"/>
      <c r="IXD103" s="3"/>
      <c r="IXE103" s="3"/>
      <c r="IXF103" s="3"/>
      <c r="IXG103" s="3"/>
      <c r="IXH103" s="3"/>
      <c r="IXI103" s="3"/>
      <c r="IXJ103" s="3"/>
      <c r="IXK103" s="3"/>
      <c r="IXL103" s="3"/>
      <c r="IXM103" s="3"/>
      <c r="IXN103" s="3"/>
      <c r="IXO103" s="3"/>
      <c r="IXP103" s="3"/>
      <c r="IXQ103" s="3"/>
      <c r="IXR103" s="3"/>
      <c r="IXS103" s="3"/>
      <c r="IXT103" s="3"/>
      <c r="IXU103" s="3"/>
      <c r="IXV103" s="3"/>
      <c r="IXW103" s="3"/>
      <c r="IXX103" s="3"/>
      <c r="IXY103" s="3"/>
      <c r="IXZ103" s="3"/>
      <c r="IYA103" s="3"/>
      <c r="IYB103" s="3"/>
      <c r="IYC103" s="3"/>
      <c r="IYD103" s="3"/>
      <c r="IYE103" s="3"/>
      <c r="IYF103" s="3"/>
      <c r="IYG103" s="3"/>
      <c r="IYH103" s="3"/>
      <c r="IYI103" s="3"/>
      <c r="IYJ103" s="3"/>
      <c r="IYK103" s="3"/>
      <c r="IYL103" s="3"/>
      <c r="IYM103" s="3"/>
      <c r="IYN103" s="3"/>
      <c r="IYO103" s="3"/>
      <c r="IYP103" s="3"/>
      <c r="IYQ103" s="3"/>
      <c r="IYR103" s="3"/>
      <c r="IYS103" s="3"/>
      <c r="IYT103" s="3"/>
      <c r="IYU103" s="3"/>
      <c r="IYV103" s="3"/>
      <c r="IYW103" s="3"/>
      <c r="IYX103" s="3"/>
      <c r="IYY103" s="3"/>
      <c r="IYZ103" s="3"/>
      <c r="IZA103" s="3"/>
      <c r="IZB103" s="3"/>
      <c r="IZC103" s="3"/>
      <c r="IZD103" s="3"/>
      <c r="IZE103" s="3"/>
      <c r="IZF103" s="3"/>
      <c r="IZG103" s="3"/>
      <c r="IZH103" s="3"/>
      <c r="IZI103" s="3"/>
      <c r="IZJ103" s="3"/>
      <c r="IZK103" s="3"/>
      <c r="IZL103" s="3"/>
      <c r="IZM103" s="3"/>
      <c r="IZN103" s="3"/>
      <c r="IZO103" s="3"/>
      <c r="IZP103" s="3"/>
      <c r="IZQ103" s="3"/>
      <c r="IZR103" s="3"/>
      <c r="IZS103" s="3"/>
      <c r="IZT103" s="3"/>
      <c r="IZU103" s="3"/>
      <c r="IZV103" s="3"/>
      <c r="IZW103" s="3"/>
      <c r="IZX103" s="3"/>
      <c r="IZY103" s="3"/>
      <c r="IZZ103" s="3"/>
      <c r="JAA103" s="3"/>
      <c r="JAB103" s="3"/>
      <c r="JAC103" s="3"/>
      <c r="JAD103" s="3"/>
      <c r="JAE103" s="3"/>
      <c r="JAF103" s="3"/>
      <c r="JAG103" s="3"/>
      <c r="JAH103" s="3"/>
      <c r="JAI103" s="3"/>
      <c r="JAJ103" s="3"/>
      <c r="JAK103" s="3"/>
      <c r="JAL103" s="3"/>
      <c r="JAM103" s="3"/>
      <c r="JAN103" s="3"/>
      <c r="JAO103" s="3"/>
      <c r="JAP103" s="3"/>
      <c r="JAQ103" s="3"/>
      <c r="JAR103" s="3"/>
      <c r="JAS103" s="3"/>
      <c r="JAT103" s="3"/>
      <c r="JAU103" s="3"/>
      <c r="JAV103" s="3"/>
      <c r="JAW103" s="3"/>
      <c r="JAX103" s="3"/>
      <c r="JAY103" s="3"/>
      <c r="JAZ103" s="3"/>
      <c r="JBA103" s="3"/>
      <c r="JBB103" s="3"/>
      <c r="JBC103" s="3"/>
      <c r="JBD103" s="3"/>
      <c r="JBE103" s="3"/>
      <c r="JBF103" s="3"/>
      <c r="JBG103" s="3"/>
      <c r="JBH103" s="3"/>
      <c r="JBI103" s="3"/>
      <c r="JBJ103" s="3"/>
      <c r="JBK103" s="3"/>
      <c r="JBL103" s="3"/>
      <c r="JBM103" s="3"/>
      <c r="JBN103" s="3"/>
      <c r="JBO103" s="3"/>
      <c r="JBP103" s="3"/>
      <c r="JBQ103" s="3"/>
      <c r="JBR103" s="3"/>
      <c r="JBS103" s="3"/>
      <c r="JBT103" s="3"/>
      <c r="JBU103" s="3"/>
      <c r="JBV103" s="3"/>
      <c r="JBW103" s="3"/>
      <c r="JBX103" s="3"/>
      <c r="JBY103" s="3"/>
      <c r="JBZ103" s="3"/>
      <c r="JCA103" s="3"/>
      <c r="JCB103" s="3"/>
      <c r="JCC103" s="3"/>
      <c r="JCD103" s="3"/>
      <c r="JCE103" s="3"/>
      <c r="JCF103" s="3"/>
      <c r="JCG103" s="3"/>
      <c r="JCH103" s="3"/>
      <c r="JCI103" s="3"/>
      <c r="JCJ103" s="3"/>
      <c r="JCK103" s="3"/>
      <c r="JCL103" s="3"/>
      <c r="JCM103" s="3"/>
      <c r="JCN103" s="3"/>
      <c r="JCO103" s="3"/>
      <c r="JCP103" s="3"/>
      <c r="JCQ103" s="3"/>
      <c r="JCR103" s="3"/>
      <c r="JCS103" s="3"/>
      <c r="JCT103" s="3"/>
      <c r="JCU103" s="3"/>
      <c r="JCV103" s="3"/>
      <c r="JCW103" s="3"/>
      <c r="JCX103" s="3"/>
      <c r="JCY103" s="3"/>
      <c r="JCZ103" s="3"/>
      <c r="JDA103" s="3"/>
      <c r="JDB103" s="3"/>
      <c r="JDC103" s="3"/>
      <c r="JDD103" s="3"/>
      <c r="JDE103" s="3"/>
      <c r="JDF103" s="3"/>
      <c r="JDG103" s="3"/>
      <c r="JDH103" s="3"/>
      <c r="JDI103" s="3"/>
      <c r="JDJ103" s="3"/>
      <c r="JDK103" s="3"/>
      <c r="JDL103" s="3"/>
      <c r="JDM103" s="3"/>
      <c r="JDN103" s="3"/>
      <c r="JDO103" s="3"/>
      <c r="JDP103" s="3"/>
      <c r="JDQ103" s="3"/>
      <c r="JDR103" s="3"/>
      <c r="JDS103" s="3"/>
      <c r="JDT103" s="3"/>
      <c r="JDU103" s="3"/>
      <c r="JDV103" s="3"/>
      <c r="JDW103" s="3"/>
      <c r="JDX103" s="3"/>
      <c r="JDY103" s="3"/>
      <c r="JDZ103" s="3"/>
      <c r="JEA103" s="3"/>
      <c r="JEB103" s="3"/>
      <c r="JEC103" s="3"/>
      <c r="JED103" s="3"/>
      <c r="JEE103" s="3"/>
      <c r="JEF103" s="3"/>
      <c r="JEG103" s="3"/>
      <c r="JEH103" s="3"/>
      <c r="JEI103" s="3"/>
      <c r="JEJ103" s="3"/>
      <c r="JEK103" s="3"/>
      <c r="JEL103" s="3"/>
      <c r="JEM103" s="3"/>
      <c r="JEN103" s="3"/>
      <c r="JEO103" s="3"/>
      <c r="JEP103" s="3"/>
      <c r="JEQ103" s="3"/>
      <c r="JER103" s="3"/>
      <c r="JES103" s="3"/>
      <c r="JET103" s="3"/>
      <c r="JEU103" s="3"/>
      <c r="JEV103" s="3"/>
      <c r="JEW103" s="3"/>
      <c r="JEX103" s="3"/>
      <c r="JEY103" s="3"/>
      <c r="JEZ103" s="3"/>
      <c r="JFA103" s="3"/>
      <c r="JFB103" s="3"/>
      <c r="JFC103" s="3"/>
      <c r="JFD103" s="3"/>
      <c r="JFE103" s="3"/>
      <c r="JFF103" s="3"/>
      <c r="JFG103" s="3"/>
      <c r="JFH103" s="3"/>
      <c r="JFI103" s="3"/>
      <c r="JFJ103" s="3"/>
      <c r="JFK103" s="3"/>
      <c r="JFL103" s="3"/>
      <c r="JFM103" s="3"/>
      <c r="JFN103" s="3"/>
      <c r="JFO103" s="3"/>
      <c r="JFP103" s="3"/>
      <c r="JFQ103" s="3"/>
      <c r="JFR103" s="3"/>
      <c r="JFS103" s="3"/>
      <c r="JFT103" s="3"/>
      <c r="JFU103" s="3"/>
      <c r="JFV103" s="3"/>
      <c r="JFW103" s="3"/>
      <c r="JFX103" s="3"/>
      <c r="JFY103" s="3"/>
      <c r="JFZ103" s="3"/>
      <c r="JGA103" s="3"/>
      <c r="JGB103" s="3"/>
      <c r="JGC103" s="3"/>
      <c r="JGD103" s="3"/>
      <c r="JGE103" s="3"/>
      <c r="JGF103" s="3"/>
      <c r="JGG103" s="3"/>
      <c r="JGH103" s="3"/>
      <c r="JGI103" s="3"/>
      <c r="JGJ103" s="3"/>
      <c r="JGK103" s="3"/>
      <c r="JGL103" s="3"/>
      <c r="JGM103" s="3"/>
      <c r="JGN103" s="3"/>
      <c r="JGO103" s="3"/>
      <c r="JGP103" s="3"/>
      <c r="JGQ103" s="3"/>
      <c r="JGR103" s="3"/>
      <c r="JGS103" s="3"/>
      <c r="JGT103" s="3"/>
      <c r="JGU103" s="3"/>
      <c r="JGV103" s="3"/>
      <c r="JGW103" s="3"/>
      <c r="JGX103" s="3"/>
      <c r="JGY103" s="3"/>
      <c r="JGZ103" s="3"/>
      <c r="JHA103" s="3"/>
      <c r="JHB103" s="3"/>
      <c r="JHC103" s="3"/>
      <c r="JHD103" s="3"/>
      <c r="JHE103" s="3"/>
      <c r="JHF103" s="3"/>
      <c r="JHG103" s="3"/>
      <c r="JHH103" s="3"/>
      <c r="JHI103" s="3"/>
      <c r="JHJ103" s="3"/>
      <c r="JHK103" s="3"/>
      <c r="JHL103" s="3"/>
      <c r="JHM103" s="3"/>
      <c r="JHN103" s="3"/>
      <c r="JHO103" s="3"/>
      <c r="JHP103" s="3"/>
      <c r="JHQ103" s="3"/>
      <c r="JHR103" s="3"/>
      <c r="JHS103" s="3"/>
      <c r="JHT103" s="3"/>
      <c r="JHU103" s="3"/>
      <c r="JHV103" s="3"/>
      <c r="JHW103" s="3"/>
      <c r="JHX103" s="3"/>
      <c r="JHY103" s="3"/>
      <c r="JHZ103" s="3"/>
      <c r="JIA103" s="3"/>
      <c r="JIB103" s="3"/>
      <c r="JIC103" s="3"/>
      <c r="JID103" s="3"/>
      <c r="JIE103" s="3"/>
      <c r="JIF103" s="3"/>
      <c r="JIG103" s="3"/>
      <c r="JIH103" s="3"/>
      <c r="JII103" s="3"/>
      <c r="JIJ103" s="3"/>
      <c r="JIK103" s="3"/>
      <c r="JIL103" s="3"/>
      <c r="JIM103" s="3"/>
      <c r="JIN103" s="3"/>
      <c r="JIO103" s="3"/>
      <c r="JIP103" s="3"/>
      <c r="JIQ103" s="3"/>
      <c r="JIR103" s="3"/>
      <c r="JIS103" s="3"/>
      <c r="JIT103" s="3"/>
      <c r="JIU103" s="3"/>
      <c r="JIV103" s="3"/>
      <c r="JIW103" s="3"/>
      <c r="JIX103" s="3"/>
      <c r="JIY103" s="3"/>
      <c r="JIZ103" s="3"/>
      <c r="JJA103" s="3"/>
      <c r="JJB103" s="3"/>
      <c r="JJC103" s="3"/>
      <c r="JJD103" s="3"/>
      <c r="JJE103" s="3"/>
      <c r="JJF103" s="3"/>
      <c r="JJG103" s="3"/>
      <c r="JJH103" s="3"/>
      <c r="JJI103" s="3"/>
      <c r="JJJ103" s="3"/>
      <c r="JJK103" s="3"/>
      <c r="JJL103" s="3"/>
      <c r="JJM103" s="3"/>
      <c r="JJN103" s="3"/>
      <c r="JJO103" s="3"/>
      <c r="JJP103" s="3"/>
      <c r="JJQ103" s="3"/>
      <c r="JJR103" s="3"/>
      <c r="JJS103" s="3"/>
      <c r="JJT103" s="3"/>
      <c r="JJU103" s="3"/>
      <c r="JJV103" s="3"/>
      <c r="JJW103" s="3"/>
      <c r="JJX103" s="3"/>
      <c r="JJY103" s="3"/>
      <c r="JJZ103" s="3"/>
      <c r="JKA103" s="3"/>
      <c r="JKB103" s="3"/>
      <c r="JKC103" s="3"/>
      <c r="JKD103" s="3"/>
      <c r="JKE103" s="3"/>
      <c r="JKF103" s="3"/>
      <c r="JKG103" s="3"/>
      <c r="JKH103" s="3"/>
      <c r="JKI103" s="3"/>
      <c r="JKJ103" s="3"/>
      <c r="JKK103" s="3"/>
      <c r="JKL103" s="3"/>
      <c r="JKM103" s="3"/>
      <c r="JKN103" s="3"/>
      <c r="JKO103" s="3"/>
      <c r="JKP103" s="3"/>
      <c r="JKQ103" s="3"/>
      <c r="JKR103" s="3"/>
      <c r="JKS103" s="3"/>
      <c r="JKT103" s="3"/>
      <c r="JKU103" s="3"/>
      <c r="JKV103" s="3"/>
      <c r="JKW103" s="3"/>
      <c r="JKX103" s="3"/>
      <c r="JKY103" s="3"/>
      <c r="JKZ103" s="3"/>
      <c r="JLA103" s="3"/>
      <c r="JLB103" s="3"/>
      <c r="JLC103" s="3"/>
      <c r="JLD103" s="3"/>
      <c r="JLE103" s="3"/>
      <c r="JLF103" s="3"/>
      <c r="JLG103" s="3"/>
      <c r="JLH103" s="3"/>
      <c r="JLI103" s="3"/>
      <c r="JLJ103" s="3"/>
      <c r="JLK103" s="3"/>
      <c r="JLL103" s="3"/>
      <c r="JLM103" s="3"/>
      <c r="JLN103" s="3"/>
      <c r="JLO103" s="3"/>
      <c r="JLP103" s="3"/>
      <c r="JLQ103" s="3"/>
      <c r="JLR103" s="3"/>
      <c r="JLS103" s="3"/>
      <c r="JLT103" s="3"/>
      <c r="JLU103" s="3"/>
      <c r="JLV103" s="3"/>
      <c r="JLW103" s="3"/>
      <c r="JLX103" s="3"/>
      <c r="JLY103" s="3"/>
      <c r="JLZ103" s="3"/>
      <c r="JMA103" s="3"/>
      <c r="JMB103" s="3"/>
      <c r="JMC103" s="3"/>
      <c r="JMD103" s="3"/>
      <c r="JME103" s="3"/>
      <c r="JMF103" s="3"/>
      <c r="JMG103" s="3"/>
      <c r="JMH103" s="3"/>
      <c r="JMI103" s="3"/>
      <c r="JMJ103" s="3"/>
      <c r="JMK103" s="3"/>
      <c r="JML103" s="3"/>
      <c r="JMM103" s="3"/>
      <c r="JMN103" s="3"/>
      <c r="JMO103" s="3"/>
      <c r="JMP103" s="3"/>
      <c r="JMQ103" s="3"/>
      <c r="JMR103" s="3"/>
      <c r="JMS103" s="3"/>
      <c r="JMT103" s="3"/>
      <c r="JMU103" s="3"/>
      <c r="JMV103" s="3"/>
      <c r="JMW103" s="3"/>
      <c r="JMX103" s="3"/>
      <c r="JMY103" s="3"/>
      <c r="JMZ103" s="3"/>
      <c r="JNA103" s="3"/>
      <c r="JNB103" s="3"/>
      <c r="JNC103" s="3"/>
      <c r="JND103" s="3"/>
      <c r="JNE103" s="3"/>
      <c r="JNF103" s="3"/>
      <c r="JNG103" s="3"/>
      <c r="JNH103" s="3"/>
      <c r="JNI103" s="3"/>
      <c r="JNJ103" s="3"/>
      <c r="JNK103" s="3"/>
      <c r="JNL103" s="3"/>
      <c r="JNM103" s="3"/>
      <c r="JNN103" s="3"/>
      <c r="JNO103" s="3"/>
      <c r="JNP103" s="3"/>
      <c r="JNQ103" s="3"/>
      <c r="JNR103" s="3"/>
      <c r="JNS103" s="3"/>
      <c r="JNT103" s="3"/>
      <c r="JNU103" s="3"/>
      <c r="JNV103" s="3"/>
      <c r="JNW103" s="3"/>
      <c r="JNX103" s="3"/>
      <c r="JNY103" s="3"/>
      <c r="JNZ103" s="3"/>
      <c r="JOA103" s="3"/>
      <c r="JOB103" s="3"/>
      <c r="JOC103" s="3"/>
      <c r="JOD103" s="3"/>
      <c r="JOE103" s="3"/>
      <c r="JOF103" s="3"/>
      <c r="JOG103" s="3"/>
      <c r="JOH103" s="3"/>
      <c r="JOI103" s="3"/>
      <c r="JOJ103" s="3"/>
      <c r="JOK103" s="3"/>
      <c r="JOL103" s="3"/>
      <c r="JOM103" s="3"/>
      <c r="JON103" s="3"/>
      <c r="JOO103" s="3"/>
      <c r="JOP103" s="3"/>
      <c r="JOQ103" s="3"/>
      <c r="JOR103" s="3"/>
      <c r="JOS103" s="3"/>
      <c r="JOT103" s="3"/>
      <c r="JOU103" s="3"/>
      <c r="JOV103" s="3"/>
      <c r="JOW103" s="3"/>
      <c r="JOX103" s="3"/>
      <c r="JOY103" s="3"/>
      <c r="JOZ103" s="3"/>
      <c r="JPA103" s="3"/>
      <c r="JPB103" s="3"/>
      <c r="JPC103" s="3"/>
      <c r="JPD103" s="3"/>
      <c r="JPE103" s="3"/>
      <c r="JPF103" s="3"/>
      <c r="JPG103" s="3"/>
      <c r="JPH103" s="3"/>
      <c r="JPI103" s="3"/>
      <c r="JPJ103" s="3"/>
      <c r="JPK103" s="3"/>
      <c r="JPL103" s="3"/>
      <c r="JPM103" s="3"/>
      <c r="JPN103" s="3"/>
      <c r="JPO103" s="3"/>
      <c r="JPP103" s="3"/>
      <c r="JPQ103" s="3"/>
      <c r="JPR103" s="3"/>
      <c r="JPS103" s="3"/>
      <c r="JPT103" s="3"/>
      <c r="JPU103" s="3"/>
      <c r="JPV103" s="3"/>
      <c r="JPW103" s="3"/>
      <c r="JPX103" s="3"/>
      <c r="JPY103" s="3"/>
      <c r="JPZ103" s="3"/>
      <c r="JQA103" s="3"/>
      <c r="JQB103" s="3"/>
      <c r="JQC103" s="3"/>
      <c r="JQD103" s="3"/>
      <c r="JQE103" s="3"/>
      <c r="JQF103" s="3"/>
      <c r="JQG103" s="3"/>
      <c r="JQH103" s="3"/>
      <c r="JQI103" s="3"/>
      <c r="JQJ103" s="3"/>
      <c r="JQK103" s="3"/>
      <c r="JQL103" s="3"/>
      <c r="JQM103" s="3"/>
      <c r="JQN103" s="3"/>
      <c r="JQO103" s="3"/>
      <c r="JQP103" s="3"/>
      <c r="JQQ103" s="3"/>
      <c r="JQR103" s="3"/>
      <c r="JQS103" s="3"/>
      <c r="JQT103" s="3"/>
      <c r="JQU103" s="3"/>
      <c r="JQV103" s="3"/>
      <c r="JQW103" s="3"/>
      <c r="JQX103" s="3"/>
      <c r="JQY103" s="3"/>
      <c r="JQZ103" s="3"/>
      <c r="JRA103" s="3"/>
      <c r="JRB103" s="3"/>
      <c r="JRC103" s="3"/>
      <c r="JRD103" s="3"/>
      <c r="JRE103" s="3"/>
      <c r="JRF103" s="3"/>
      <c r="JRG103" s="3"/>
      <c r="JRH103" s="3"/>
      <c r="JRI103" s="3"/>
      <c r="JRJ103" s="3"/>
      <c r="JRK103" s="3"/>
      <c r="JRL103" s="3"/>
      <c r="JRM103" s="3"/>
      <c r="JRN103" s="3"/>
      <c r="JRO103" s="3"/>
      <c r="JRP103" s="3"/>
      <c r="JRQ103" s="3"/>
      <c r="JRR103" s="3"/>
      <c r="JRS103" s="3"/>
      <c r="JRT103" s="3"/>
      <c r="JRU103" s="3"/>
      <c r="JRV103" s="3"/>
      <c r="JRW103" s="3"/>
      <c r="JRX103" s="3"/>
      <c r="JRY103" s="3"/>
      <c r="JRZ103" s="3"/>
      <c r="JSA103" s="3"/>
      <c r="JSB103" s="3"/>
      <c r="JSC103" s="3"/>
      <c r="JSD103" s="3"/>
      <c r="JSE103" s="3"/>
      <c r="JSF103" s="3"/>
      <c r="JSG103" s="3"/>
      <c r="JSH103" s="3"/>
      <c r="JSI103" s="3"/>
      <c r="JSJ103" s="3"/>
      <c r="JSK103" s="3"/>
      <c r="JSL103" s="3"/>
      <c r="JSM103" s="3"/>
      <c r="JSN103" s="3"/>
      <c r="JSO103" s="3"/>
      <c r="JSP103" s="3"/>
      <c r="JSQ103" s="3"/>
      <c r="JSR103" s="3"/>
      <c r="JSS103" s="3"/>
      <c r="JST103" s="3"/>
      <c r="JSU103" s="3"/>
      <c r="JSV103" s="3"/>
      <c r="JSW103" s="3"/>
      <c r="JSX103" s="3"/>
      <c r="JSY103" s="3"/>
      <c r="JSZ103" s="3"/>
      <c r="JTA103" s="3"/>
      <c r="JTB103" s="3"/>
      <c r="JTC103" s="3"/>
      <c r="JTD103" s="3"/>
      <c r="JTE103" s="3"/>
      <c r="JTF103" s="3"/>
      <c r="JTG103" s="3"/>
      <c r="JTH103" s="3"/>
      <c r="JTI103" s="3"/>
      <c r="JTJ103" s="3"/>
      <c r="JTK103" s="3"/>
      <c r="JTL103" s="3"/>
      <c r="JTM103" s="3"/>
      <c r="JTN103" s="3"/>
      <c r="JTO103" s="3"/>
      <c r="JTP103" s="3"/>
      <c r="JTQ103" s="3"/>
      <c r="JTR103" s="3"/>
      <c r="JTS103" s="3"/>
      <c r="JTT103" s="3"/>
      <c r="JTU103" s="3"/>
      <c r="JTV103" s="3"/>
      <c r="JTW103" s="3"/>
      <c r="JTX103" s="3"/>
      <c r="JTY103" s="3"/>
      <c r="JTZ103" s="3"/>
      <c r="JUA103" s="3"/>
      <c r="JUB103" s="3"/>
      <c r="JUC103" s="3"/>
      <c r="JUD103" s="3"/>
      <c r="JUE103" s="3"/>
      <c r="JUF103" s="3"/>
      <c r="JUG103" s="3"/>
      <c r="JUH103" s="3"/>
      <c r="JUI103" s="3"/>
      <c r="JUJ103" s="3"/>
      <c r="JUK103" s="3"/>
      <c r="JUL103" s="3"/>
      <c r="JUM103" s="3"/>
      <c r="JUN103" s="3"/>
      <c r="JUO103" s="3"/>
      <c r="JUP103" s="3"/>
      <c r="JUQ103" s="3"/>
      <c r="JUR103" s="3"/>
      <c r="JUS103" s="3"/>
      <c r="JUT103" s="3"/>
      <c r="JUU103" s="3"/>
      <c r="JUV103" s="3"/>
      <c r="JUW103" s="3"/>
      <c r="JUX103" s="3"/>
      <c r="JUY103" s="3"/>
      <c r="JUZ103" s="3"/>
      <c r="JVA103" s="3"/>
      <c r="JVB103" s="3"/>
      <c r="JVC103" s="3"/>
      <c r="JVD103" s="3"/>
      <c r="JVE103" s="3"/>
      <c r="JVF103" s="3"/>
      <c r="JVG103" s="3"/>
      <c r="JVH103" s="3"/>
      <c r="JVI103" s="3"/>
      <c r="JVJ103" s="3"/>
      <c r="JVK103" s="3"/>
      <c r="JVL103" s="3"/>
      <c r="JVM103" s="3"/>
      <c r="JVN103" s="3"/>
      <c r="JVO103" s="3"/>
      <c r="JVP103" s="3"/>
      <c r="JVQ103" s="3"/>
      <c r="JVR103" s="3"/>
      <c r="JVS103" s="3"/>
      <c r="JVT103" s="3"/>
      <c r="JVU103" s="3"/>
      <c r="JVV103" s="3"/>
      <c r="JVW103" s="3"/>
      <c r="JVX103" s="3"/>
      <c r="JVY103" s="3"/>
      <c r="JVZ103" s="3"/>
      <c r="JWA103" s="3"/>
      <c r="JWB103" s="3"/>
      <c r="JWC103" s="3"/>
      <c r="JWD103" s="3"/>
      <c r="JWE103" s="3"/>
      <c r="JWF103" s="3"/>
      <c r="JWG103" s="3"/>
      <c r="JWH103" s="3"/>
      <c r="JWI103" s="3"/>
      <c r="JWJ103" s="3"/>
      <c r="JWK103" s="3"/>
      <c r="JWL103" s="3"/>
      <c r="JWM103" s="3"/>
      <c r="JWN103" s="3"/>
      <c r="JWO103" s="3"/>
      <c r="JWP103" s="3"/>
      <c r="JWQ103" s="3"/>
      <c r="JWR103" s="3"/>
      <c r="JWS103" s="3"/>
      <c r="JWT103" s="3"/>
      <c r="JWU103" s="3"/>
      <c r="JWV103" s="3"/>
      <c r="JWW103" s="3"/>
      <c r="JWX103" s="3"/>
      <c r="JWY103" s="3"/>
      <c r="JWZ103" s="3"/>
      <c r="JXA103" s="3"/>
      <c r="JXB103" s="3"/>
      <c r="JXC103" s="3"/>
      <c r="JXD103" s="3"/>
      <c r="JXE103" s="3"/>
      <c r="JXF103" s="3"/>
      <c r="JXG103" s="3"/>
      <c r="JXH103" s="3"/>
      <c r="JXI103" s="3"/>
      <c r="JXJ103" s="3"/>
      <c r="JXK103" s="3"/>
      <c r="JXL103" s="3"/>
      <c r="JXM103" s="3"/>
      <c r="JXN103" s="3"/>
      <c r="JXO103" s="3"/>
      <c r="JXP103" s="3"/>
      <c r="JXQ103" s="3"/>
      <c r="JXR103" s="3"/>
      <c r="JXS103" s="3"/>
      <c r="JXT103" s="3"/>
      <c r="JXU103" s="3"/>
      <c r="JXV103" s="3"/>
      <c r="JXW103" s="3"/>
      <c r="JXX103" s="3"/>
      <c r="JXY103" s="3"/>
      <c r="JXZ103" s="3"/>
      <c r="JYA103" s="3"/>
      <c r="JYB103" s="3"/>
      <c r="JYC103" s="3"/>
      <c r="JYD103" s="3"/>
      <c r="JYE103" s="3"/>
      <c r="JYF103" s="3"/>
      <c r="JYG103" s="3"/>
      <c r="JYH103" s="3"/>
      <c r="JYI103" s="3"/>
      <c r="JYJ103" s="3"/>
      <c r="JYK103" s="3"/>
      <c r="JYL103" s="3"/>
      <c r="JYM103" s="3"/>
      <c r="JYN103" s="3"/>
      <c r="JYO103" s="3"/>
      <c r="JYP103" s="3"/>
      <c r="JYQ103" s="3"/>
      <c r="JYR103" s="3"/>
      <c r="JYS103" s="3"/>
      <c r="JYT103" s="3"/>
      <c r="JYU103" s="3"/>
      <c r="JYV103" s="3"/>
      <c r="JYW103" s="3"/>
      <c r="JYX103" s="3"/>
      <c r="JYY103" s="3"/>
      <c r="JYZ103" s="3"/>
      <c r="JZA103" s="3"/>
      <c r="JZB103" s="3"/>
      <c r="JZC103" s="3"/>
      <c r="JZD103" s="3"/>
      <c r="JZE103" s="3"/>
      <c r="JZF103" s="3"/>
      <c r="JZG103" s="3"/>
      <c r="JZH103" s="3"/>
      <c r="JZI103" s="3"/>
      <c r="JZJ103" s="3"/>
      <c r="JZK103" s="3"/>
      <c r="JZL103" s="3"/>
      <c r="JZM103" s="3"/>
      <c r="JZN103" s="3"/>
      <c r="JZO103" s="3"/>
      <c r="JZP103" s="3"/>
      <c r="JZQ103" s="3"/>
      <c r="JZR103" s="3"/>
      <c r="JZS103" s="3"/>
      <c r="JZT103" s="3"/>
      <c r="JZU103" s="3"/>
      <c r="JZV103" s="3"/>
      <c r="JZW103" s="3"/>
      <c r="JZX103" s="3"/>
      <c r="JZY103" s="3"/>
      <c r="JZZ103" s="3"/>
      <c r="KAA103" s="3"/>
      <c r="KAB103" s="3"/>
      <c r="KAC103" s="3"/>
      <c r="KAD103" s="3"/>
      <c r="KAE103" s="3"/>
      <c r="KAF103" s="3"/>
      <c r="KAG103" s="3"/>
      <c r="KAH103" s="3"/>
      <c r="KAI103" s="3"/>
      <c r="KAJ103" s="3"/>
      <c r="KAK103" s="3"/>
      <c r="KAL103" s="3"/>
      <c r="KAM103" s="3"/>
      <c r="KAN103" s="3"/>
      <c r="KAO103" s="3"/>
      <c r="KAP103" s="3"/>
      <c r="KAQ103" s="3"/>
      <c r="KAR103" s="3"/>
      <c r="KAS103" s="3"/>
      <c r="KAT103" s="3"/>
      <c r="KAU103" s="3"/>
      <c r="KAV103" s="3"/>
      <c r="KAW103" s="3"/>
      <c r="KAX103" s="3"/>
      <c r="KAY103" s="3"/>
      <c r="KAZ103" s="3"/>
      <c r="KBA103" s="3"/>
      <c r="KBB103" s="3"/>
      <c r="KBC103" s="3"/>
      <c r="KBD103" s="3"/>
      <c r="KBE103" s="3"/>
      <c r="KBF103" s="3"/>
      <c r="KBG103" s="3"/>
      <c r="KBH103" s="3"/>
      <c r="KBI103" s="3"/>
      <c r="KBJ103" s="3"/>
      <c r="KBK103" s="3"/>
      <c r="KBL103" s="3"/>
      <c r="KBM103" s="3"/>
      <c r="KBN103" s="3"/>
      <c r="KBO103" s="3"/>
      <c r="KBP103" s="3"/>
      <c r="KBQ103" s="3"/>
      <c r="KBR103" s="3"/>
      <c r="KBS103" s="3"/>
      <c r="KBT103" s="3"/>
      <c r="KBU103" s="3"/>
      <c r="KBV103" s="3"/>
      <c r="KBW103" s="3"/>
      <c r="KBX103" s="3"/>
      <c r="KBY103" s="3"/>
      <c r="KBZ103" s="3"/>
      <c r="KCA103" s="3"/>
      <c r="KCB103" s="3"/>
      <c r="KCC103" s="3"/>
      <c r="KCD103" s="3"/>
      <c r="KCE103" s="3"/>
      <c r="KCF103" s="3"/>
      <c r="KCG103" s="3"/>
      <c r="KCH103" s="3"/>
      <c r="KCI103" s="3"/>
      <c r="KCJ103" s="3"/>
      <c r="KCK103" s="3"/>
      <c r="KCL103" s="3"/>
      <c r="KCM103" s="3"/>
      <c r="KCN103" s="3"/>
      <c r="KCO103" s="3"/>
      <c r="KCP103" s="3"/>
      <c r="KCQ103" s="3"/>
      <c r="KCR103" s="3"/>
      <c r="KCS103" s="3"/>
      <c r="KCT103" s="3"/>
      <c r="KCU103" s="3"/>
      <c r="KCV103" s="3"/>
      <c r="KCW103" s="3"/>
      <c r="KCX103" s="3"/>
      <c r="KCY103" s="3"/>
      <c r="KCZ103" s="3"/>
      <c r="KDA103" s="3"/>
      <c r="KDB103" s="3"/>
      <c r="KDC103" s="3"/>
      <c r="KDD103" s="3"/>
      <c r="KDE103" s="3"/>
      <c r="KDF103" s="3"/>
      <c r="KDG103" s="3"/>
      <c r="KDH103" s="3"/>
      <c r="KDI103" s="3"/>
      <c r="KDJ103" s="3"/>
      <c r="KDK103" s="3"/>
      <c r="KDL103" s="3"/>
      <c r="KDM103" s="3"/>
      <c r="KDN103" s="3"/>
      <c r="KDO103" s="3"/>
      <c r="KDP103" s="3"/>
      <c r="KDQ103" s="3"/>
      <c r="KDR103" s="3"/>
      <c r="KDS103" s="3"/>
      <c r="KDT103" s="3"/>
      <c r="KDU103" s="3"/>
      <c r="KDV103" s="3"/>
      <c r="KDW103" s="3"/>
      <c r="KDX103" s="3"/>
      <c r="KDY103" s="3"/>
      <c r="KDZ103" s="3"/>
      <c r="KEA103" s="3"/>
      <c r="KEB103" s="3"/>
      <c r="KEC103" s="3"/>
      <c r="KED103" s="3"/>
      <c r="KEE103" s="3"/>
      <c r="KEF103" s="3"/>
      <c r="KEG103" s="3"/>
      <c r="KEH103" s="3"/>
      <c r="KEI103" s="3"/>
      <c r="KEJ103" s="3"/>
      <c r="KEK103" s="3"/>
      <c r="KEL103" s="3"/>
      <c r="KEM103" s="3"/>
      <c r="KEN103" s="3"/>
      <c r="KEO103" s="3"/>
      <c r="KEP103" s="3"/>
      <c r="KEQ103" s="3"/>
      <c r="KER103" s="3"/>
      <c r="KES103" s="3"/>
      <c r="KET103" s="3"/>
      <c r="KEU103" s="3"/>
      <c r="KEV103" s="3"/>
      <c r="KEW103" s="3"/>
      <c r="KEX103" s="3"/>
      <c r="KEY103" s="3"/>
      <c r="KEZ103" s="3"/>
      <c r="KFA103" s="3"/>
      <c r="KFB103" s="3"/>
      <c r="KFC103" s="3"/>
      <c r="KFD103" s="3"/>
      <c r="KFE103" s="3"/>
      <c r="KFF103" s="3"/>
      <c r="KFG103" s="3"/>
      <c r="KFH103" s="3"/>
      <c r="KFI103" s="3"/>
      <c r="KFJ103" s="3"/>
      <c r="KFK103" s="3"/>
      <c r="KFL103" s="3"/>
      <c r="KFM103" s="3"/>
      <c r="KFN103" s="3"/>
      <c r="KFO103" s="3"/>
      <c r="KFP103" s="3"/>
      <c r="KFQ103" s="3"/>
      <c r="KFR103" s="3"/>
      <c r="KFS103" s="3"/>
      <c r="KFT103" s="3"/>
      <c r="KFU103" s="3"/>
      <c r="KFV103" s="3"/>
      <c r="KFW103" s="3"/>
      <c r="KFX103" s="3"/>
      <c r="KFY103" s="3"/>
      <c r="KFZ103" s="3"/>
      <c r="KGA103" s="3"/>
      <c r="KGB103" s="3"/>
      <c r="KGC103" s="3"/>
      <c r="KGD103" s="3"/>
      <c r="KGE103" s="3"/>
      <c r="KGF103" s="3"/>
      <c r="KGG103" s="3"/>
      <c r="KGH103" s="3"/>
      <c r="KGI103" s="3"/>
      <c r="KGJ103" s="3"/>
      <c r="KGK103" s="3"/>
      <c r="KGL103" s="3"/>
      <c r="KGM103" s="3"/>
      <c r="KGN103" s="3"/>
      <c r="KGO103" s="3"/>
      <c r="KGP103" s="3"/>
      <c r="KGQ103" s="3"/>
      <c r="KGR103" s="3"/>
      <c r="KGS103" s="3"/>
      <c r="KGT103" s="3"/>
      <c r="KGU103" s="3"/>
      <c r="KGV103" s="3"/>
      <c r="KGW103" s="3"/>
      <c r="KGX103" s="3"/>
      <c r="KGY103" s="3"/>
      <c r="KGZ103" s="3"/>
      <c r="KHA103" s="3"/>
      <c r="KHB103" s="3"/>
      <c r="KHC103" s="3"/>
      <c r="KHD103" s="3"/>
      <c r="KHE103" s="3"/>
      <c r="KHF103" s="3"/>
      <c r="KHG103" s="3"/>
      <c r="KHH103" s="3"/>
      <c r="KHI103" s="3"/>
      <c r="KHJ103" s="3"/>
      <c r="KHK103" s="3"/>
      <c r="KHL103" s="3"/>
      <c r="KHM103" s="3"/>
      <c r="KHN103" s="3"/>
      <c r="KHO103" s="3"/>
      <c r="KHP103" s="3"/>
      <c r="KHQ103" s="3"/>
      <c r="KHR103" s="3"/>
      <c r="KHS103" s="3"/>
      <c r="KHT103" s="3"/>
      <c r="KHU103" s="3"/>
      <c r="KHV103" s="3"/>
      <c r="KHW103" s="3"/>
      <c r="KHX103" s="3"/>
      <c r="KHY103" s="3"/>
      <c r="KHZ103" s="3"/>
      <c r="KIA103" s="3"/>
      <c r="KIB103" s="3"/>
      <c r="KIC103" s="3"/>
      <c r="KID103" s="3"/>
      <c r="KIE103" s="3"/>
      <c r="KIF103" s="3"/>
      <c r="KIG103" s="3"/>
      <c r="KIH103" s="3"/>
      <c r="KII103" s="3"/>
      <c r="KIJ103" s="3"/>
      <c r="KIK103" s="3"/>
      <c r="KIL103" s="3"/>
      <c r="KIM103" s="3"/>
      <c r="KIN103" s="3"/>
      <c r="KIO103" s="3"/>
      <c r="KIP103" s="3"/>
      <c r="KIQ103" s="3"/>
      <c r="KIR103" s="3"/>
      <c r="KIS103" s="3"/>
      <c r="KIT103" s="3"/>
      <c r="KIU103" s="3"/>
      <c r="KIV103" s="3"/>
      <c r="KIW103" s="3"/>
      <c r="KIX103" s="3"/>
      <c r="KIY103" s="3"/>
      <c r="KIZ103" s="3"/>
      <c r="KJA103" s="3"/>
      <c r="KJB103" s="3"/>
      <c r="KJC103" s="3"/>
      <c r="KJD103" s="3"/>
      <c r="KJE103" s="3"/>
      <c r="KJF103" s="3"/>
      <c r="KJG103" s="3"/>
      <c r="KJH103" s="3"/>
      <c r="KJI103" s="3"/>
      <c r="KJJ103" s="3"/>
      <c r="KJK103" s="3"/>
      <c r="KJL103" s="3"/>
      <c r="KJM103" s="3"/>
      <c r="KJN103" s="3"/>
      <c r="KJO103" s="3"/>
      <c r="KJP103" s="3"/>
      <c r="KJQ103" s="3"/>
      <c r="KJR103" s="3"/>
      <c r="KJS103" s="3"/>
      <c r="KJT103" s="3"/>
      <c r="KJU103" s="3"/>
      <c r="KJV103" s="3"/>
      <c r="KJW103" s="3"/>
      <c r="KJX103" s="3"/>
      <c r="KJY103" s="3"/>
      <c r="KJZ103" s="3"/>
      <c r="KKA103" s="3"/>
      <c r="KKB103" s="3"/>
      <c r="KKC103" s="3"/>
      <c r="KKD103" s="3"/>
      <c r="KKE103" s="3"/>
      <c r="KKF103" s="3"/>
      <c r="KKG103" s="3"/>
      <c r="KKH103" s="3"/>
      <c r="KKI103" s="3"/>
      <c r="KKJ103" s="3"/>
      <c r="KKK103" s="3"/>
      <c r="KKL103" s="3"/>
      <c r="KKM103" s="3"/>
      <c r="KKN103" s="3"/>
      <c r="KKO103" s="3"/>
      <c r="KKP103" s="3"/>
      <c r="KKQ103" s="3"/>
      <c r="KKR103" s="3"/>
      <c r="KKS103" s="3"/>
      <c r="KKT103" s="3"/>
      <c r="KKU103" s="3"/>
      <c r="KKV103" s="3"/>
      <c r="KKW103" s="3"/>
      <c r="KKX103" s="3"/>
      <c r="KKY103" s="3"/>
      <c r="KKZ103" s="3"/>
      <c r="KLA103" s="3"/>
      <c r="KLB103" s="3"/>
      <c r="KLC103" s="3"/>
      <c r="KLD103" s="3"/>
      <c r="KLE103" s="3"/>
      <c r="KLF103" s="3"/>
      <c r="KLG103" s="3"/>
      <c r="KLH103" s="3"/>
      <c r="KLI103" s="3"/>
      <c r="KLJ103" s="3"/>
      <c r="KLK103" s="3"/>
      <c r="KLL103" s="3"/>
      <c r="KLM103" s="3"/>
      <c r="KLN103" s="3"/>
      <c r="KLO103" s="3"/>
      <c r="KLP103" s="3"/>
      <c r="KLQ103" s="3"/>
      <c r="KLR103" s="3"/>
      <c r="KLS103" s="3"/>
      <c r="KLT103" s="3"/>
      <c r="KLU103" s="3"/>
      <c r="KLV103" s="3"/>
      <c r="KLW103" s="3"/>
      <c r="KLX103" s="3"/>
      <c r="KLY103" s="3"/>
      <c r="KLZ103" s="3"/>
      <c r="KMA103" s="3"/>
      <c r="KMB103" s="3"/>
      <c r="KMC103" s="3"/>
      <c r="KMD103" s="3"/>
      <c r="KME103" s="3"/>
      <c r="KMF103" s="3"/>
      <c r="KMG103" s="3"/>
      <c r="KMH103" s="3"/>
      <c r="KMI103" s="3"/>
      <c r="KMJ103" s="3"/>
      <c r="KMK103" s="3"/>
      <c r="KML103" s="3"/>
      <c r="KMM103" s="3"/>
      <c r="KMN103" s="3"/>
      <c r="KMO103" s="3"/>
      <c r="KMP103" s="3"/>
      <c r="KMQ103" s="3"/>
      <c r="KMR103" s="3"/>
      <c r="KMS103" s="3"/>
      <c r="KMT103" s="3"/>
      <c r="KMU103" s="3"/>
      <c r="KMV103" s="3"/>
      <c r="KMW103" s="3"/>
      <c r="KMX103" s="3"/>
      <c r="KMY103" s="3"/>
      <c r="KMZ103" s="3"/>
      <c r="KNA103" s="3"/>
      <c r="KNB103" s="3"/>
      <c r="KNC103" s="3"/>
      <c r="KND103" s="3"/>
      <c r="KNE103" s="3"/>
      <c r="KNF103" s="3"/>
      <c r="KNG103" s="3"/>
      <c r="KNH103" s="3"/>
      <c r="KNI103" s="3"/>
      <c r="KNJ103" s="3"/>
      <c r="KNK103" s="3"/>
      <c r="KNL103" s="3"/>
      <c r="KNM103" s="3"/>
      <c r="KNN103" s="3"/>
      <c r="KNO103" s="3"/>
      <c r="KNP103" s="3"/>
      <c r="KNQ103" s="3"/>
      <c r="KNR103" s="3"/>
      <c r="KNS103" s="3"/>
      <c r="KNT103" s="3"/>
      <c r="KNU103" s="3"/>
      <c r="KNV103" s="3"/>
      <c r="KNW103" s="3"/>
      <c r="KNX103" s="3"/>
      <c r="KNY103" s="3"/>
      <c r="KNZ103" s="3"/>
      <c r="KOA103" s="3"/>
      <c r="KOB103" s="3"/>
      <c r="KOC103" s="3"/>
      <c r="KOD103" s="3"/>
      <c r="KOE103" s="3"/>
      <c r="KOF103" s="3"/>
      <c r="KOG103" s="3"/>
      <c r="KOH103" s="3"/>
      <c r="KOI103" s="3"/>
      <c r="KOJ103" s="3"/>
      <c r="KOK103" s="3"/>
      <c r="KOL103" s="3"/>
      <c r="KOM103" s="3"/>
      <c r="KON103" s="3"/>
      <c r="KOO103" s="3"/>
      <c r="KOP103" s="3"/>
      <c r="KOQ103" s="3"/>
      <c r="KOR103" s="3"/>
      <c r="KOS103" s="3"/>
      <c r="KOT103" s="3"/>
      <c r="KOU103" s="3"/>
      <c r="KOV103" s="3"/>
      <c r="KOW103" s="3"/>
      <c r="KOX103" s="3"/>
      <c r="KOY103" s="3"/>
      <c r="KOZ103" s="3"/>
      <c r="KPA103" s="3"/>
      <c r="KPB103" s="3"/>
      <c r="KPC103" s="3"/>
      <c r="KPD103" s="3"/>
      <c r="KPE103" s="3"/>
      <c r="KPF103" s="3"/>
      <c r="KPG103" s="3"/>
      <c r="KPH103" s="3"/>
      <c r="KPI103" s="3"/>
      <c r="KPJ103" s="3"/>
      <c r="KPK103" s="3"/>
      <c r="KPL103" s="3"/>
      <c r="KPM103" s="3"/>
      <c r="KPN103" s="3"/>
      <c r="KPO103" s="3"/>
      <c r="KPP103" s="3"/>
      <c r="KPQ103" s="3"/>
      <c r="KPR103" s="3"/>
      <c r="KPS103" s="3"/>
      <c r="KPT103" s="3"/>
      <c r="KPU103" s="3"/>
      <c r="KPV103" s="3"/>
      <c r="KPW103" s="3"/>
      <c r="KPX103" s="3"/>
      <c r="KPY103" s="3"/>
      <c r="KPZ103" s="3"/>
      <c r="KQA103" s="3"/>
      <c r="KQB103" s="3"/>
      <c r="KQC103" s="3"/>
      <c r="KQD103" s="3"/>
      <c r="KQE103" s="3"/>
      <c r="KQF103" s="3"/>
      <c r="KQG103" s="3"/>
      <c r="KQH103" s="3"/>
      <c r="KQI103" s="3"/>
      <c r="KQJ103" s="3"/>
      <c r="KQK103" s="3"/>
      <c r="KQL103" s="3"/>
      <c r="KQM103" s="3"/>
      <c r="KQN103" s="3"/>
      <c r="KQO103" s="3"/>
      <c r="KQP103" s="3"/>
      <c r="KQQ103" s="3"/>
      <c r="KQR103" s="3"/>
      <c r="KQS103" s="3"/>
      <c r="KQT103" s="3"/>
      <c r="KQU103" s="3"/>
      <c r="KQV103" s="3"/>
      <c r="KQW103" s="3"/>
      <c r="KQX103" s="3"/>
      <c r="KQY103" s="3"/>
      <c r="KQZ103" s="3"/>
      <c r="KRA103" s="3"/>
      <c r="KRB103" s="3"/>
      <c r="KRC103" s="3"/>
      <c r="KRD103" s="3"/>
      <c r="KRE103" s="3"/>
      <c r="KRF103" s="3"/>
      <c r="KRG103" s="3"/>
      <c r="KRH103" s="3"/>
      <c r="KRI103" s="3"/>
      <c r="KRJ103" s="3"/>
      <c r="KRK103" s="3"/>
      <c r="KRL103" s="3"/>
      <c r="KRM103" s="3"/>
      <c r="KRN103" s="3"/>
      <c r="KRO103" s="3"/>
      <c r="KRP103" s="3"/>
      <c r="KRQ103" s="3"/>
      <c r="KRR103" s="3"/>
      <c r="KRS103" s="3"/>
      <c r="KRT103" s="3"/>
      <c r="KRU103" s="3"/>
      <c r="KRV103" s="3"/>
      <c r="KRW103" s="3"/>
      <c r="KRX103" s="3"/>
      <c r="KRY103" s="3"/>
      <c r="KRZ103" s="3"/>
      <c r="KSA103" s="3"/>
      <c r="KSB103" s="3"/>
      <c r="KSC103" s="3"/>
      <c r="KSD103" s="3"/>
      <c r="KSE103" s="3"/>
      <c r="KSF103" s="3"/>
      <c r="KSG103" s="3"/>
      <c r="KSH103" s="3"/>
      <c r="KSI103" s="3"/>
      <c r="KSJ103" s="3"/>
      <c r="KSK103" s="3"/>
      <c r="KSL103" s="3"/>
      <c r="KSM103" s="3"/>
      <c r="KSN103" s="3"/>
      <c r="KSO103" s="3"/>
      <c r="KSP103" s="3"/>
      <c r="KSQ103" s="3"/>
      <c r="KSR103" s="3"/>
      <c r="KSS103" s="3"/>
      <c r="KST103" s="3"/>
      <c r="KSU103" s="3"/>
      <c r="KSV103" s="3"/>
      <c r="KSW103" s="3"/>
      <c r="KSX103" s="3"/>
      <c r="KSY103" s="3"/>
      <c r="KSZ103" s="3"/>
      <c r="KTA103" s="3"/>
      <c r="KTB103" s="3"/>
      <c r="KTC103" s="3"/>
      <c r="KTD103" s="3"/>
      <c r="KTE103" s="3"/>
      <c r="KTF103" s="3"/>
      <c r="KTG103" s="3"/>
      <c r="KTH103" s="3"/>
      <c r="KTI103" s="3"/>
      <c r="KTJ103" s="3"/>
      <c r="KTK103" s="3"/>
      <c r="KTL103" s="3"/>
      <c r="KTM103" s="3"/>
      <c r="KTN103" s="3"/>
      <c r="KTO103" s="3"/>
      <c r="KTP103" s="3"/>
      <c r="KTQ103" s="3"/>
      <c r="KTR103" s="3"/>
      <c r="KTS103" s="3"/>
      <c r="KTT103" s="3"/>
      <c r="KTU103" s="3"/>
      <c r="KTV103" s="3"/>
      <c r="KTW103" s="3"/>
      <c r="KTX103" s="3"/>
      <c r="KTY103" s="3"/>
      <c r="KTZ103" s="3"/>
      <c r="KUA103" s="3"/>
      <c r="KUB103" s="3"/>
      <c r="KUC103" s="3"/>
      <c r="KUD103" s="3"/>
      <c r="KUE103" s="3"/>
      <c r="KUF103" s="3"/>
      <c r="KUG103" s="3"/>
      <c r="KUH103" s="3"/>
      <c r="KUI103" s="3"/>
      <c r="KUJ103" s="3"/>
      <c r="KUK103" s="3"/>
      <c r="KUL103" s="3"/>
      <c r="KUM103" s="3"/>
      <c r="KUN103" s="3"/>
      <c r="KUO103" s="3"/>
      <c r="KUP103" s="3"/>
      <c r="KUQ103" s="3"/>
      <c r="KUR103" s="3"/>
      <c r="KUS103" s="3"/>
      <c r="KUT103" s="3"/>
      <c r="KUU103" s="3"/>
      <c r="KUV103" s="3"/>
      <c r="KUW103" s="3"/>
      <c r="KUX103" s="3"/>
      <c r="KUY103" s="3"/>
      <c r="KUZ103" s="3"/>
      <c r="KVA103" s="3"/>
      <c r="KVB103" s="3"/>
      <c r="KVC103" s="3"/>
      <c r="KVD103" s="3"/>
      <c r="KVE103" s="3"/>
      <c r="KVF103" s="3"/>
      <c r="KVG103" s="3"/>
      <c r="KVH103" s="3"/>
      <c r="KVI103" s="3"/>
      <c r="KVJ103" s="3"/>
      <c r="KVK103" s="3"/>
      <c r="KVL103" s="3"/>
      <c r="KVM103" s="3"/>
      <c r="KVN103" s="3"/>
      <c r="KVO103" s="3"/>
      <c r="KVP103" s="3"/>
      <c r="KVQ103" s="3"/>
      <c r="KVR103" s="3"/>
      <c r="KVS103" s="3"/>
      <c r="KVT103" s="3"/>
      <c r="KVU103" s="3"/>
      <c r="KVV103" s="3"/>
      <c r="KVW103" s="3"/>
      <c r="KVX103" s="3"/>
      <c r="KVY103" s="3"/>
      <c r="KVZ103" s="3"/>
      <c r="KWA103" s="3"/>
      <c r="KWB103" s="3"/>
      <c r="KWC103" s="3"/>
      <c r="KWD103" s="3"/>
      <c r="KWE103" s="3"/>
      <c r="KWF103" s="3"/>
      <c r="KWG103" s="3"/>
      <c r="KWH103" s="3"/>
      <c r="KWI103" s="3"/>
      <c r="KWJ103" s="3"/>
      <c r="KWK103" s="3"/>
      <c r="KWL103" s="3"/>
      <c r="KWM103" s="3"/>
      <c r="KWN103" s="3"/>
      <c r="KWO103" s="3"/>
      <c r="KWP103" s="3"/>
      <c r="KWQ103" s="3"/>
      <c r="KWR103" s="3"/>
      <c r="KWS103" s="3"/>
      <c r="KWT103" s="3"/>
      <c r="KWU103" s="3"/>
      <c r="KWV103" s="3"/>
      <c r="KWW103" s="3"/>
      <c r="KWX103" s="3"/>
      <c r="KWY103" s="3"/>
      <c r="KWZ103" s="3"/>
      <c r="KXA103" s="3"/>
      <c r="KXB103" s="3"/>
      <c r="KXC103" s="3"/>
      <c r="KXD103" s="3"/>
      <c r="KXE103" s="3"/>
      <c r="KXF103" s="3"/>
      <c r="KXG103" s="3"/>
      <c r="KXH103" s="3"/>
      <c r="KXI103" s="3"/>
      <c r="KXJ103" s="3"/>
      <c r="KXK103" s="3"/>
      <c r="KXL103" s="3"/>
      <c r="KXM103" s="3"/>
      <c r="KXN103" s="3"/>
      <c r="KXO103" s="3"/>
      <c r="KXP103" s="3"/>
      <c r="KXQ103" s="3"/>
      <c r="KXR103" s="3"/>
      <c r="KXS103" s="3"/>
      <c r="KXT103" s="3"/>
      <c r="KXU103" s="3"/>
      <c r="KXV103" s="3"/>
      <c r="KXW103" s="3"/>
      <c r="KXX103" s="3"/>
      <c r="KXY103" s="3"/>
      <c r="KXZ103" s="3"/>
      <c r="KYA103" s="3"/>
      <c r="KYB103" s="3"/>
      <c r="KYC103" s="3"/>
      <c r="KYD103" s="3"/>
      <c r="KYE103" s="3"/>
      <c r="KYF103" s="3"/>
      <c r="KYG103" s="3"/>
      <c r="KYH103" s="3"/>
      <c r="KYI103" s="3"/>
      <c r="KYJ103" s="3"/>
      <c r="KYK103" s="3"/>
      <c r="KYL103" s="3"/>
      <c r="KYM103" s="3"/>
      <c r="KYN103" s="3"/>
      <c r="KYO103" s="3"/>
      <c r="KYP103" s="3"/>
      <c r="KYQ103" s="3"/>
      <c r="KYR103" s="3"/>
      <c r="KYS103" s="3"/>
      <c r="KYT103" s="3"/>
      <c r="KYU103" s="3"/>
      <c r="KYV103" s="3"/>
      <c r="KYW103" s="3"/>
      <c r="KYX103" s="3"/>
      <c r="KYY103" s="3"/>
      <c r="KYZ103" s="3"/>
      <c r="KZA103" s="3"/>
      <c r="KZB103" s="3"/>
      <c r="KZC103" s="3"/>
      <c r="KZD103" s="3"/>
      <c r="KZE103" s="3"/>
      <c r="KZF103" s="3"/>
      <c r="KZG103" s="3"/>
      <c r="KZH103" s="3"/>
      <c r="KZI103" s="3"/>
      <c r="KZJ103" s="3"/>
      <c r="KZK103" s="3"/>
      <c r="KZL103" s="3"/>
      <c r="KZM103" s="3"/>
      <c r="KZN103" s="3"/>
      <c r="KZO103" s="3"/>
      <c r="KZP103" s="3"/>
      <c r="KZQ103" s="3"/>
      <c r="KZR103" s="3"/>
      <c r="KZS103" s="3"/>
      <c r="KZT103" s="3"/>
      <c r="KZU103" s="3"/>
      <c r="KZV103" s="3"/>
      <c r="KZW103" s="3"/>
      <c r="KZX103" s="3"/>
      <c r="KZY103" s="3"/>
      <c r="KZZ103" s="3"/>
      <c r="LAA103" s="3"/>
      <c r="LAB103" s="3"/>
      <c r="LAC103" s="3"/>
      <c r="LAD103" s="3"/>
      <c r="LAE103" s="3"/>
      <c r="LAF103" s="3"/>
      <c r="LAG103" s="3"/>
      <c r="LAH103" s="3"/>
      <c r="LAI103" s="3"/>
      <c r="LAJ103" s="3"/>
      <c r="LAK103" s="3"/>
      <c r="LAL103" s="3"/>
      <c r="LAM103" s="3"/>
      <c r="LAN103" s="3"/>
      <c r="LAO103" s="3"/>
      <c r="LAP103" s="3"/>
      <c r="LAQ103" s="3"/>
      <c r="LAR103" s="3"/>
      <c r="LAS103" s="3"/>
      <c r="LAT103" s="3"/>
      <c r="LAU103" s="3"/>
      <c r="LAV103" s="3"/>
      <c r="LAW103" s="3"/>
      <c r="LAX103" s="3"/>
      <c r="LAY103" s="3"/>
      <c r="LAZ103" s="3"/>
      <c r="LBA103" s="3"/>
      <c r="LBB103" s="3"/>
      <c r="LBC103" s="3"/>
      <c r="LBD103" s="3"/>
      <c r="LBE103" s="3"/>
      <c r="LBF103" s="3"/>
      <c r="LBG103" s="3"/>
      <c r="LBH103" s="3"/>
      <c r="LBI103" s="3"/>
      <c r="LBJ103" s="3"/>
      <c r="LBK103" s="3"/>
      <c r="LBL103" s="3"/>
      <c r="LBM103" s="3"/>
      <c r="LBN103" s="3"/>
      <c r="LBO103" s="3"/>
      <c r="LBP103" s="3"/>
      <c r="LBQ103" s="3"/>
      <c r="LBR103" s="3"/>
      <c r="LBS103" s="3"/>
      <c r="LBT103" s="3"/>
      <c r="LBU103" s="3"/>
      <c r="LBV103" s="3"/>
      <c r="LBW103" s="3"/>
      <c r="LBX103" s="3"/>
      <c r="LBY103" s="3"/>
      <c r="LBZ103" s="3"/>
      <c r="LCA103" s="3"/>
      <c r="LCB103" s="3"/>
      <c r="LCC103" s="3"/>
      <c r="LCD103" s="3"/>
      <c r="LCE103" s="3"/>
      <c r="LCF103" s="3"/>
      <c r="LCG103" s="3"/>
      <c r="LCH103" s="3"/>
      <c r="LCI103" s="3"/>
      <c r="LCJ103" s="3"/>
      <c r="LCK103" s="3"/>
      <c r="LCL103" s="3"/>
      <c r="LCM103" s="3"/>
      <c r="LCN103" s="3"/>
      <c r="LCO103" s="3"/>
      <c r="LCP103" s="3"/>
      <c r="LCQ103" s="3"/>
      <c r="LCR103" s="3"/>
      <c r="LCS103" s="3"/>
      <c r="LCT103" s="3"/>
      <c r="LCU103" s="3"/>
      <c r="LCV103" s="3"/>
      <c r="LCW103" s="3"/>
      <c r="LCX103" s="3"/>
      <c r="LCY103" s="3"/>
      <c r="LCZ103" s="3"/>
      <c r="LDA103" s="3"/>
      <c r="LDB103" s="3"/>
      <c r="LDC103" s="3"/>
      <c r="LDD103" s="3"/>
      <c r="LDE103" s="3"/>
      <c r="LDF103" s="3"/>
      <c r="LDG103" s="3"/>
      <c r="LDH103" s="3"/>
      <c r="LDI103" s="3"/>
      <c r="LDJ103" s="3"/>
      <c r="LDK103" s="3"/>
      <c r="LDL103" s="3"/>
      <c r="LDM103" s="3"/>
      <c r="LDN103" s="3"/>
      <c r="LDO103" s="3"/>
      <c r="LDP103" s="3"/>
      <c r="LDQ103" s="3"/>
      <c r="LDR103" s="3"/>
      <c r="LDS103" s="3"/>
      <c r="LDT103" s="3"/>
      <c r="LDU103" s="3"/>
      <c r="LDV103" s="3"/>
      <c r="LDW103" s="3"/>
      <c r="LDX103" s="3"/>
      <c r="LDY103" s="3"/>
      <c r="LDZ103" s="3"/>
      <c r="LEA103" s="3"/>
      <c r="LEB103" s="3"/>
      <c r="LEC103" s="3"/>
      <c r="LED103" s="3"/>
      <c r="LEE103" s="3"/>
      <c r="LEF103" s="3"/>
      <c r="LEG103" s="3"/>
      <c r="LEH103" s="3"/>
      <c r="LEI103" s="3"/>
      <c r="LEJ103" s="3"/>
      <c r="LEK103" s="3"/>
      <c r="LEL103" s="3"/>
      <c r="LEM103" s="3"/>
      <c r="LEN103" s="3"/>
      <c r="LEO103" s="3"/>
      <c r="LEP103" s="3"/>
      <c r="LEQ103" s="3"/>
      <c r="LER103" s="3"/>
      <c r="LES103" s="3"/>
      <c r="LET103" s="3"/>
      <c r="LEU103" s="3"/>
      <c r="LEV103" s="3"/>
      <c r="LEW103" s="3"/>
      <c r="LEX103" s="3"/>
      <c r="LEY103" s="3"/>
      <c r="LEZ103" s="3"/>
      <c r="LFA103" s="3"/>
      <c r="LFB103" s="3"/>
      <c r="LFC103" s="3"/>
      <c r="LFD103" s="3"/>
      <c r="LFE103" s="3"/>
      <c r="LFF103" s="3"/>
      <c r="LFG103" s="3"/>
      <c r="LFH103" s="3"/>
      <c r="LFI103" s="3"/>
      <c r="LFJ103" s="3"/>
      <c r="LFK103" s="3"/>
      <c r="LFL103" s="3"/>
      <c r="LFM103" s="3"/>
      <c r="LFN103" s="3"/>
      <c r="LFO103" s="3"/>
      <c r="LFP103" s="3"/>
      <c r="LFQ103" s="3"/>
      <c r="LFR103" s="3"/>
      <c r="LFS103" s="3"/>
      <c r="LFT103" s="3"/>
      <c r="LFU103" s="3"/>
      <c r="LFV103" s="3"/>
      <c r="LFW103" s="3"/>
      <c r="LFX103" s="3"/>
      <c r="LFY103" s="3"/>
      <c r="LFZ103" s="3"/>
      <c r="LGA103" s="3"/>
      <c r="LGB103" s="3"/>
      <c r="LGC103" s="3"/>
      <c r="LGD103" s="3"/>
      <c r="LGE103" s="3"/>
      <c r="LGF103" s="3"/>
      <c r="LGG103" s="3"/>
      <c r="LGH103" s="3"/>
      <c r="LGI103" s="3"/>
      <c r="LGJ103" s="3"/>
      <c r="LGK103" s="3"/>
      <c r="LGL103" s="3"/>
      <c r="LGM103" s="3"/>
      <c r="LGN103" s="3"/>
      <c r="LGO103" s="3"/>
      <c r="LGP103" s="3"/>
      <c r="LGQ103" s="3"/>
      <c r="LGR103" s="3"/>
      <c r="LGS103" s="3"/>
      <c r="LGT103" s="3"/>
      <c r="LGU103" s="3"/>
      <c r="LGV103" s="3"/>
      <c r="LGW103" s="3"/>
      <c r="LGX103" s="3"/>
      <c r="LGY103" s="3"/>
      <c r="LGZ103" s="3"/>
      <c r="LHA103" s="3"/>
      <c r="LHB103" s="3"/>
      <c r="LHC103" s="3"/>
      <c r="LHD103" s="3"/>
      <c r="LHE103" s="3"/>
      <c r="LHF103" s="3"/>
      <c r="LHG103" s="3"/>
      <c r="LHH103" s="3"/>
      <c r="LHI103" s="3"/>
      <c r="LHJ103" s="3"/>
      <c r="LHK103" s="3"/>
      <c r="LHL103" s="3"/>
      <c r="LHM103" s="3"/>
      <c r="LHN103" s="3"/>
      <c r="LHO103" s="3"/>
      <c r="LHP103" s="3"/>
      <c r="LHQ103" s="3"/>
      <c r="LHR103" s="3"/>
      <c r="LHS103" s="3"/>
      <c r="LHT103" s="3"/>
      <c r="LHU103" s="3"/>
      <c r="LHV103" s="3"/>
      <c r="LHW103" s="3"/>
      <c r="LHX103" s="3"/>
      <c r="LHY103" s="3"/>
      <c r="LHZ103" s="3"/>
      <c r="LIA103" s="3"/>
      <c r="LIB103" s="3"/>
      <c r="LIC103" s="3"/>
      <c r="LID103" s="3"/>
      <c r="LIE103" s="3"/>
      <c r="LIF103" s="3"/>
      <c r="LIG103" s="3"/>
      <c r="LIH103" s="3"/>
      <c r="LII103" s="3"/>
      <c r="LIJ103" s="3"/>
      <c r="LIK103" s="3"/>
      <c r="LIL103" s="3"/>
      <c r="LIM103" s="3"/>
      <c r="LIN103" s="3"/>
      <c r="LIO103" s="3"/>
      <c r="LIP103" s="3"/>
      <c r="LIQ103" s="3"/>
      <c r="LIR103" s="3"/>
      <c r="LIS103" s="3"/>
      <c r="LIT103" s="3"/>
      <c r="LIU103" s="3"/>
      <c r="LIV103" s="3"/>
      <c r="LIW103" s="3"/>
      <c r="LIX103" s="3"/>
      <c r="LIY103" s="3"/>
      <c r="LIZ103" s="3"/>
      <c r="LJA103" s="3"/>
      <c r="LJB103" s="3"/>
      <c r="LJC103" s="3"/>
      <c r="LJD103" s="3"/>
      <c r="LJE103" s="3"/>
      <c r="LJF103" s="3"/>
      <c r="LJG103" s="3"/>
      <c r="LJH103" s="3"/>
      <c r="LJI103" s="3"/>
      <c r="LJJ103" s="3"/>
      <c r="LJK103" s="3"/>
      <c r="LJL103" s="3"/>
      <c r="LJM103" s="3"/>
      <c r="LJN103" s="3"/>
      <c r="LJO103" s="3"/>
      <c r="LJP103" s="3"/>
      <c r="LJQ103" s="3"/>
      <c r="LJR103" s="3"/>
      <c r="LJS103" s="3"/>
      <c r="LJT103" s="3"/>
      <c r="LJU103" s="3"/>
      <c r="LJV103" s="3"/>
      <c r="LJW103" s="3"/>
      <c r="LJX103" s="3"/>
      <c r="LJY103" s="3"/>
      <c r="LJZ103" s="3"/>
      <c r="LKA103" s="3"/>
      <c r="LKB103" s="3"/>
      <c r="LKC103" s="3"/>
      <c r="LKD103" s="3"/>
      <c r="LKE103" s="3"/>
      <c r="LKF103" s="3"/>
      <c r="LKG103" s="3"/>
      <c r="LKH103" s="3"/>
      <c r="LKI103" s="3"/>
      <c r="LKJ103" s="3"/>
      <c r="LKK103" s="3"/>
      <c r="LKL103" s="3"/>
      <c r="LKM103" s="3"/>
      <c r="LKN103" s="3"/>
      <c r="LKO103" s="3"/>
      <c r="LKP103" s="3"/>
      <c r="LKQ103" s="3"/>
      <c r="LKR103" s="3"/>
      <c r="LKS103" s="3"/>
      <c r="LKT103" s="3"/>
      <c r="LKU103" s="3"/>
      <c r="LKV103" s="3"/>
      <c r="LKW103" s="3"/>
      <c r="LKX103" s="3"/>
      <c r="LKY103" s="3"/>
      <c r="LKZ103" s="3"/>
      <c r="LLA103" s="3"/>
      <c r="LLB103" s="3"/>
      <c r="LLC103" s="3"/>
      <c r="LLD103" s="3"/>
      <c r="LLE103" s="3"/>
      <c r="LLF103" s="3"/>
      <c r="LLG103" s="3"/>
      <c r="LLH103" s="3"/>
      <c r="LLI103" s="3"/>
      <c r="LLJ103" s="3"/>
      <c r="LLK103" s="3"/>
      <c r="LLL103" s="3"/>
      <c r="LLM103" s="3"/>
      <c r="LLN103" s="3"/>
      <c r="LLO103" s="3"/>
      <c r="LLP103" s="3"/>
      <c r="LLQ103" s="3"/>
      <c r="LLR103" s="3"/>
      <c r="LLS103" s="3"/>
      <c r="LLT103" s="3"/>
      <c r="LLU103" s="3"/>
      <c r="LLV103" s="3"/>
      <c r="LLW103" s="3"/>
      <c r="LLX103" s="3"/>
      <c r="LLY103" s="3"/>
      <c r="LLZ103" s="3"/>
      <c r="LMA103" s="3"/>
      <c r="LMB103" s="3"/>
      <c r="LMC103" s="3"/>
      <c r="LMD103" s="3"/>
      <c r="LME103" s="3"/>
      <c r="LMF103" s="3"/>
      <c r="LMG103" s="3"/>
      <c r="LMH103" s="3"/>
      <c r="LMI103" s="3"/>
      <c r="LMJ103" s="3"/>
      <c r="LMK103" s="3"/>
      <c r="LML103" s="3"/>
      <c r="LMM103" s="3"/>
      <c r="LMN103" s="3"/>
      <c r="LMO103" s="3"/>
      <c r="LMP103" s="3"/>
      <c r="LMQ103" s="3"/>
      <c r="LMR103" s="3"/>
      <c r="LMS103" s="3"/>
      <c r="LMT103" s="3"/>
      <c r="LMU103" s="3"/>
      <c r="LMV103" s="3"/>
      <c r="LMW103" s="3"/>
      <c r="LMX103" s="3"/>
      <c r="LMY103" s="3"/>
      <c r="LMZ103" s="3"/>
      <c r="LNA103" s="3"/>
      <c r="LNB103" s="3"/>
      <c r="LNC103" s="3"/>
      <c r="LND103" s="3"/>
      <c r="LNE103" s="3"/>
      <c r="LNF103" s="3"/>
      <c r="LNG103" s="3"/>
      <c r="LNH103" s="3"/>
      <c r="LNI103" s="3"/>
      <c r="LNJ103" s="3"/>
      <c r="LNK103" s="3"/>
      <c r="LNL103" s="3"/>
      <c r="LNM103" s="3"/>
      <c r="LNN103" s="3"/>
      <c r="LNO103" s="3"/>
      <c r="LNP103" s="3"/>
      <c r="LNQ103" s="3"/>
      <c r="LNR103" s="3"/>
      <c r="LNS103" s="3"/>
      <c r="LNT103" s="3"/>
      <c r="LNU103" s="3"/>
      <c r="LNV103" s="3"/>
      <c r="LNW103" s="3"/>
      <c r="LNX103" s="3"/>
      <c r="LNY103" s="3"/>
      <c r="LNZ103" s="3"/>
      <c r="LOA103" s="3"/>
      <c r="LOB103" s="3"/>
      <c r="LOC103" s="3"/>
      <c r="LOD103" s="3"/>
      <c r="LOE103" s="3"/>
      <c r="LOF103" s="3"/>
      <c r="LOG103" s="3"/>
      <c r="LOH103" s="3"/>
      <c r="LOI103" s="3"/>
      <c r="LOJ103" s="3"/>
      <c r="LOK103" s="3"/>
      <c r="LOL103" s="3"/>
      <c r="LOM103" s="3"/>
      <c r="LON103" s="3"/>
      <c r="LOO103" s="3"/>
      <c r="LOP103" s="3"/>
      <c r="LOQ103" s="3"/>
      <c r="LOR103" s="3"/>
      <c r="LOS103" s="3"/>
      <c r="LOT103" s="3"/>
      <c r="LOU103" s="3"/>
      <c r="LOV103" s="3"/>
      <c r="LOW103" s="3"/>
      <c r="LOX103" s="3"/>
      <c r="LOY103" s="3"/>
      <c r="LOZ103" s="3"/>
      <c r="LPA103" s="3"/>
      <c r="LPB103" s="3"/>
      <c r="LPC103" s="3"/>
      <c r="LPD103" s="3"/>
      <c r="LPE103" s="3"/>
      <c r="LPF103" s="3"/>
      <c r="LPG103" s="3"/>
      <c r="LPH103" s="3"/>
      <c r="LPI103" s="3"/>
      <c r="LPJ103" s="3"/>
      <c r="LPK103" s="3"/>
      <c r="LPL103" s="3"/>
      <c r="LPM103" s="3"/>
      <c r="LPN103" s="3"/>
      <c r="LPO103" s="3"/>
      <c r="LPP103" s="3"/>
      <c r="LPQ103" s="3"/>
      <c r="LPR103" s="3"/>
      <c r="LPS103" s="3"/>
      <c r="LPT103" s="3"/>
      <c r="LPU103" s="3"/>
      <c r="LPV103" s="3"/>
      <c r="LPW103" s="3"/>
      <c r="LPX103" s="3"/>
      <c r="LPY103" s="3"/>
      <c r="LPZ103" s="3"/>
      <c r="LQA103" s="3"/>
      <c r="LQB103" s="3"/>
      <c r="LQC103" s="3"/>
      <c r="LQD103" s="3"/>
      <c r="LQE103" s="3"/>
      <c r="LQF103" s="3"/>
      <c r="LQG103" s="3"/>
      <c r="LQH103" s="3"/>
      <c r="LQI103" s="3"/>
      <c r="LQJ103" s="3"/>
      <c r="LQK103" s="3"/>
      <c r="LQL103" s="3"/>
      <c r="LQM103" s="3"/>
      <c r="LQN103" s="3"/>
      <c r="LQO103" s="3"/>
      <c r="LQP103" s="3"/>
      <c r="LQQ103" s="3"/>
      <c r="LQR103" s="3"/>
      <c r="LQS103" s="3"/>
      <c r="LQT103" s="3"/>
      <c r="LQU103" s="3"/>
      <c r="LQV103" s="3"/>
      <c r="LQW103" s="3"/>
      <c r="LQX103" s="3"/>
      <c r="LQY103" s="3"/>
      <c r="LQZ103" s="3"/>
      <c r="LRA103" s="3"/>
      <c r="LRB103" s="3"/>
      <c r="LRC103" s="3"/>
      <c r="LRD103" s="3"/>
      <c r="LRE103" s="3"/>
      <c r="LRF103" s="3"/>
      <c r="LRG103" s="3"/>
      <c r="LRH103" s="3"/>
      <c r="LRI103" s="3"/>
      <c r="LRJ103" s="3"/>
      <c r="LRK103" s="3"/>
      <c r="LRL103" s="3"/>
      <c r="LRM103" s="3"/>
      <c r="LRN103" s="3"/>
      <c r="LRO103" s="3"/>
      <c r="LRP103" s="3"/>
      <c r="LRQ103" s="3"/>
      <c r="LRR103" s="3"/>
      <c r="LRS103" s="3"/>
      <c r="LRT103" s="3"/>
      <c r="LRU103" s="3"/>
      <c r="LRV103" s="3"/>
      <c r="LRW103" s="3"/>
      <c r="LRX103" s="3"/>
      <c r="LRY103" s="3"/>
      <c r="LRZ103" s="3"/>
      <c r="LSA103" s="3"/>
      <c r="LSB103" s="3"/>
      <c r="LSC103" s="3"/>
      <c r="LSD103" s="3"/>
      <c r="LSE103" s="3"/>
      <c r="LSF103" s="3"/>
      <c r="LSG103" s="3"/>
      <c r="LSH103" s="3"/>
      <c r="LSI103" s="3"/>
      <c r="LSJ103" s="3"/>
      <c r="LSK103" s="3"/>
      <c r="LSL103" s="3"/>
      <c r="LSM103" s="3"/>
      <c r="LSN103" s="3"/>
      <c r="LSO103" s="3"/>
      <c r="LSP103" s="3"/>
      <c r="LSQ103" s="3"/>
      <c r="LSR103" s="3"/>
      <c r="LSS103" s="3"/>
      <c r="LST103" s="3"/>
      <c r="LSU103" s="3"/>
      <c r="LSV103" s="3"/>
      <c r="LSW103" s="3"/>
      <c r="LSX103" s="3"/>
      <c r="LSY103" s="3"/>
      <c r="LSZ103" s="3"/>
      <c r="LTA103" s="3"/>
      <c r="LTB103" s="3"/>
      <c r="LTC103" s="3"/>
      <c r="LTD103" s="3"/>
      <c r="LTE103" s="3"/>
      <c r="LTF103" s="3"/>
      <c r="LTG103" s="3"/>
      <c r="LTH103" s="3"/>
      <c r="LTI103" s="3"/>
      <c r="LTJ103" s="3"/>
      <c r="LTK103" s="3"/>
      <c r="LTL103" s="3"/>
      <c r="LTM103" s="3"/>
      <c r="LTN103" s="3"/>
      <c r="LTO103" s="3"/>
      <c r="LTP103" s="3"/>
      <c r="LTQ103" s="3"/>
      <c r="LTR103" s="3"/>
      <c r="LTS103" s="3"/>
      <c r="LTT103" s="3"/>
      <c r="LTU103" s="3"/>
      <c r="LTV103" s="3"/>
      <c r="LTW103" s="3"/>
      <c r="LTX103" s="3"/>
      <c r="LTY103" s="3"/>
      <c r="LTZ103" s="3"/>
      <c r="LUA103" s="3"/>
      <c r="LUB103" s="3"/>
      <c r="LUC103" s="3"/>
      <c r="LUD103" s="3"/>
      <c r="LUE103" s="3"/>
      <c r="LUF103" s="3"/>
      <c r="LUG103" s="3"/>
      <c r="LUH103" s="3"/>
      <c r="LUI103" s="3"/>
      <c r="LUJ103" s="3"/>
      <c r="LUK103" s="3"/>
      <c r="LUL103" s="3"/>
      <c r="LUM103" s="3"/>
      <c r="LUN103" s="3"/>
      <c r="LUO103" s="3"/>
      <c r="LUP103" s="3"/>
      <c r="LUQ103" s="3"/>
      <c r="LUR103" s="3"/>
      <c r="LUS103" s="3"/>
      <c r="LUT103" s="3"/>
      <c r="LUU103" s="3"/>
      <c r="LUV103" s="3"/>
      <c r="LUW103" s="3"/>
      <c r="LUX103" s="3"/>
      <c r="LUY103" s="3"/>
      <c r="LUZ103" s="3"/>
      <c r="LVA103" s="3"/>
      <c r="LVB103" s="3"/>
      <c r="LVC103" s="3"/>
      <c r="LVD103" s="3"/>
      <c r="LVE103" s="3"/>
      <c r="LVF103" s="3"/>
      <c r="LVG103" s="3"/>
      <c r="LVH103" s="3"/>
      <c r="LVI103" s="3"/>
      <c r="LVJ103" s="3"/>
      <c r="LVK103" s="3"/>
      <c r="LVL103" s="3"/>
      <c r="LVM103" s="3"/>
      <c r="LVN103" s="3"/>
      <c r="LVO103" s="3"/>
      <c r="LVP103" s="3"/>
      <c r="LVQ103" s="3"/>
      <c r="LVR103" s="3"/>
      <c r="LVS103" s="3"/>
      <c r="LVT103" s="3"/>
      <c r="LVU103" s="3"/>
      <c r="LVV103" s="3"/>
      <c r="LVW103" s="3"/>
      <c r="LVX103" s="3"/>
      <c r="LVY103" s="3"/>
      <c r="LVZ103" s="3"/>
      <c r="LWA103" s="3"/>
      <c r="LWB103" s="3"/>
      <c r="LWC103" s="3"/>
      <c r="LWD103" s="3"/>
      <c r="LWE103" s="3"/>
      <c r="LWF103" s="3"/>
      <c r="LWG103" s="3"/>
      <c r="LWH103" s="3"/>
      <c r="LWI103" s="3"/>
      <c r="LWJ103" s="3"/>
      <c r="LWK103" s="3"/>
      <c r="LWL103" s="3"/>
      <c r="LWM103" s="3"/>
      <c r="LWN103" s="3"/>
      <c r="LWO103" s="3"/>
      <c r="LWP103" s="3"/>
      <c r="LWQ103" s="3"/>
      <c r="LWR103" s="3"/>
      <c r="LWS103" s="3"/>
      <c r="LWT103" s="3"/>
      <c r="LWU103" s="3"/>
      <c r="LWV103" s="3"/>
      <c r="LWW103" s="3"/>
      <c r="LWX103" s="3"/>
      <c r="LWY103" s="3"/>
      <c r="LWZ103" s="3"/>
      <c r="LXA103" s="3"/>
      <c r="LXB103" s="3"/>
      <c r="LXC103" s="3"/>
      <c r="LXD103" s="3"/>
      <c r="LXE103" s="3"/>
      <c r="LXF103" s="3"/>
      <c r="LXG103" s="3"/>
      <c r="LXH103" s="3"/>
      <c r="LXI103" s="3"/>
      <c r="LXJ103" s="3"/>
      <c r="LXK103" s="3"/>
      <c r="LXL103" s="3"/>
      <c r="LXM103" s="3"/>
      <c r="LXN103" s="3"/>
      <c r="LXO103" s="3"/>
      <c r="LXP103" s="3"/>
      <c r="LXQ103" s="3"/>
      <c r="LXR103" s="3"/>
      <c r="LXS103" s="3"/>
      <c r="LXT103" s="3"/>
      <c r="LXU103" s="3"/>
      <c r="LXV103" s="3"/>
      <c r="LXW103" s="3"/>
      <c r="LXX103" s="3"/>
      <c r="LXY103" s="3"/>
      <c r="LXZ103" s="3"/>
      <c r="LYA103" s="3"/>
      <c r="LYB103" s="3"/>
      <c r="LYC103" s="3"/>
      <c r="LYD103" s="3"/>
      <c r="LYE103" s="3"/>
      <c r="LYF103" s="3"/>
      <c r="LYG103" s="3"/>
      <c r="LYH103" s="3"/>
      <c r="LYI103" s="3"/>
      <c r="LYJ103" s="3"/>
      <c r="LYK103" s="3"/>
      <c r="LYL103" s="3"/>
      <c r="LYM103" s="3"/>
      <c r="LYN103" s="3"/>
      <c r="LYO103" s="3"/>
      <c r="LYP103" s="3"/>
      <c r="LYQ103" s="3"/>
      <c r="LYR103" s="3"/>
      <c r="LYS103" s="3"/>
      <c r="LYT103" s="3"/>
      <c r="LYU103" s="3"/>
      <c r="LYV103" s="3"/>
      <c r="LYW103" s="3"/>
      <c r="LYX103" s="3"/>
      <c r="LYY103" s="3"/>
      <c r="LYZ103" s="3"/>
      <c r="LZA103" s="3"/>
      <c r="LZB103" s="3"/>
      <c r="LZC103" s="3"/>
      <c r="LZD103" s="3"/>
      <c r="LZE103" s="3"/>
      <c r="LZF103" s="3"/>
      <c r="LZG103" s="3"/>
      <c r="LZH103" s="3"/>
      <c r="LZI103" s="3"/>
      <c r="LZJ103" s="3"/>
      <c r="LZK103" s="3"/>
      <c r="LZL103" s="3"/>
      <c r="LZM103" s="3"/>
      <c r="LZN103" s="3"/>
      <c r="LZO103" s="3"/>
      <c r="LZP103" s="3"/>
      <c r="LZQ103" s="3"/>
      <c r="LZR103" s="3"/>
      <c r="LZS103" s="3"/>
      <c r="LZT103" s="3"/>
      <c r="LZU103" s="3"/>
      <c r="LZV103" s="3"/>
      <c r="LZW103" s="3"/>
      <c r="LZX103" s="3"/>
      <c r="LZY103" s="3"/>
      <c r="LZZ103" s="3"/>
      <c r="MAA103" s="3"/>
      <c r="MAB103" s="3"/>
      <c r="MAC103" s="3"/>
      <c r="MAD103" s="3"/>
      <c r="MAE103" s="3"/>
      <c r="MAF103" s="3"/>
      <c r="MAG103" s="3"/>
      <c r="MAH103" s="3"/>
      <c r="MAI103" s="3"/>
      <c r="MAJ103" s="3"/>
      <c r="MAK103" s="3"/>
      <c r="MAL103" s="3"/>
      <c r="MAM103" s="3"/>
      <c r="MAN103" s="3"/>
      <c r="MAO103" s="3"/>
      <c r="MAP103" s="3"/>
      <c r="MAQ103" s="3"/>
      <c r="MAR103" s="3"/>
      <c r="MAS103" s="3"/>
      <c r="MAT103" s="3"/>
      <c r="MAU103" s="3"/>
      <c r="MAV103" s="3"/>
      <c r="MAW103" s="3"/>
      <c r="MAX103" s="3"/>
      <c r="MAY103" s="3"/>
      <c r="MAZ103" s="3"/>
      <c r="MBA103" s="3"/>
      <c r="MBB103" s="3"/>
      <c r="MBC103" s="3"/>
      <c r="MBD103" s="3"/>
      <c r="MBE103" s="3"/>
      <c r="MBF103" s="3"/>
      <c r="MBG103" s="3"/>
      <c r="MBH103" s="3"/>
      <c r="MBI103" s="3"/>
      <c r="MBJ103" s="3"/>
      <c r="MBK103" s="3"/>
      <c r="MBL103" s="3"/>
      <c r="MBM103" s="3"/>
      <c r="MBN103" s="3"/>
      <c r="MBO103" s="3"/>
      <c r="MBP103" s="3"/>
      <c r="MBQ103" s="3"/>
      <c r="MBR103" s="3"/>
      <c r="MBS103" s="3"/>
      <c r="MBT103" s="3"/>
      <c r="MBU103" s="3"/>
      <c r="MBV103" s="3"/>
      <c r="MBW103" s="3"/>
      <c r="MBX103" s="3"/>
      <c r="MBY103" s="3"/>
      <c r="MBZ103" s="3"/>
      <c r="MCA103" s="3"/>
      <c r="MCB103" s="3"/>
      <c r="MCC103" s="3"/>
      <c r="MCD103" s="3"/>
      <c r="MCE103" s="3"/>
      <c r="MCF103" s="3"/>
      <c r="MCG103" s="3"/>
      <c r="MCH103" s="3"/>
      <c r="MCI103" s="3"/>
      <c r="MCJ103" s="3"/>
      <c r="MCK103" s="3"/>
      <c r="MCL103" s="3"/>
      <c r="MCM103" s="3"/>
      <c r="MCN103" s="3"/>
      <c r="MCO103" s="3"/>
      <c r="MCP103" s="3"/>
      <c r="MCQ103" s="3"/>
      <c r="MCR103" s="3"/>
      <c r="MCS103" s="3"/>
      <c r="MCT103" s="3"/>
      <c r="MCU103" s="3"/>
      <c r="MCV103" s="3"/>
      <c r="MCW103" s="3"/>
      <c r="MCX103" s="3"/>
      <c r="MCY103" s="3"/>
      <c r="MCZ103" s="3"/>
      <c r="MDA103" s="3"/>
      <c r="MDB103" s="3"/>
      <c r="MDC103" s="3"/>
      <c r="MDD103" s="3"/>
      <c r="MDE103" s="3"/>
      <c r="MDF103" s="3"/>
      <c r="MDG103" s="3"/>
      <c r="MDH103" s="3"/>
      <c r="MDI103" s="3"/>
      <c r="MDJ103" s="3"/>
      <c r="MDK103" s="3"/>
      <c r="MDL103" s="3"/>
      <c r="MDM103" s="3"/>
      <c r="MDN103" s="3"/>
      <c r="MDO103" s="3"/>
      <c r="MDP103" s="3"/>
      <c r="MDQ103" s="3"/>
      <c r="MDR103" s="3"/>
      <c r="MDS103" s="3"/>
      <c r="MDT103" s="3"/>
      <c r="MDU103" s="3"/>
      <c r="MDV103" s="3"/>
      <c r="MDW103" s="3"/>
      <c r="MDX103" s="3"/>
      <c r="MDY103" s="3"/>
      <c r="MDZ103" s="3"/>
      <c r="MEA103" s="3"/>
      <c r="MEB103" s="3"/>
      <c r="MEC103" s="3"/>
      <c r="MED103" s="3"/>
      <c r="MEE103" s="3"/>
      <c r="MEF103" s="3"/>
      <c r="MEG103" s="3"/>
      <c r="MEH103" s="3"/>
      <c r="MEI103" s="3"/>
      <c r="MEJ103" s="3"/>
      <c r="MEK103" s="3"/>
      <c r="MEL103" s="3"/>
      <c r="MEM103" s="3"/>
      <c r="MEN103" s="3"/>
      <c r="MEO103" s="3"/>
      <c r="MEP103" s="3"/>
      <c r="MEQ103" s="3"/>
      <c r="MER103" s="3"/>
      <c r="MES103" s="3"/>
      <c r="MET103" s="3"/>
      <c r="MEU103" s="3"/>
      <c r="MEV103" s="3"/>
      <c r="MEW103" s="3"/>
      <c r="MEX103" s="3"/>
      <c r="MEY103" s="3"/>
      <c r="MEZ103" s="3"/>
      <c r="MFA103" s="3"/>
      <c r="MFB103" s="3"/>
      <c r="MFC103" s="3"/>
      <c r="MFD103" s="3"/>
      <c r="MFE103" s="3"/>
      <c r="MFF103" s="3"/>
      <c r="MFG103" s="3"/>
      <c r="MFH103" s="3"/>
      <c r="MFI103" s="3"/>
      <c r="MFJ103" s="3"/>
      <c r="MFK103" s="3"/>
      <c r="MFL103" s="3"/>
      <c r="MFM103" s="3"/>
      <c r="MFN103" s="3"/>
      <c r="MFO103" s="3"/>
      <c r="MFP103" s="3"/>
      <c r="MFQ103" s="3"/>
      <c r="MFR103" s="3"/>
      <c r="MFS103" s="3"/>
      <c r="MFT103" s="3"/>
      <c r="MFU103" s="3"/>
      <c r="MFV103" s="3"/>
      <c r="MFW103" s="3"/>
      <c r="MFX103" s="3"/>
      <c r="MFY103" s="3"/>
      <c r="MFZ103" s="3"/>
      <c r="MGA103" s="3"/>
      <c r="MGB103" s="3"/>
      <c r="MGC103" s="3"/>
      <c r="MGD103" s="3"/>
      <c r="MGE103" s="3"/>
      <c r="MGF103" s="3"/>
      <c r="MGG103" s="3"/>
      <c r="MGH103" s="3"/>
      <c r="MGI103" s="3"/>
      <c r="MGJ103" s="3"/>
      <c r="MGK103" s="3"/>
      <c r="MGL103" s="3"/>
      <c r="MGM103" s="3"/>
      <c r="MGN103" s="3"/>
      <c r="MGO103" s="3"/>
      <c r="MGP103" s="3"/>
      <c r="MGQ103" s="3"/>
      <c r="MGR103" s="3"/>
      <c r="MGS103" s="3"/>
      <c r="MGT103" s="3"/>
      <c r="MGU103" s="3"/>
      <c r="MGV103" s="3"/>
      <c r="MGW103" s="3"/>
      <c r="MGX103" s="3"/>
      <c r="MGY103" s="3"/>
      <c r="MGZ103" s="3"/>
      <c r="MHA103" s="3"/>
      <c r="MHB103" s="3"/>
      <c r="MHC103" s="3"/>
      <c r="MHD103" s="3"/>
      <c r="MHE103" s="3"/>
      <c r="MHF103" s="3"/>
      <c r="MHG103" s="3"/>
      <c r="MHH103" s="3"/>
      <c r="MHI103" s="3"/>
      <c r="MHJ103" s="3"/>
      <c r="MHK103" s="3"/>
      <c r="MHL103" s="3"/>
      <c r="MHM103" s="3"/>
      <c r="MHN103" s="3"/>
      <c r="MHO103" s="3"/>
      <c r="MHP103" s="3"/>
      <c r="MHQ103" s="3"/>
      <c r="MHR103" s="3"/>
      <c r="MHS103" s="3"/>
      <c r="MHT103" s="3"/>
      <c r="MHU103" s="3"/>
      <c r="MHV103" s="3"/>
      <c r="MHW103" s="3"/>
      <c r="MHX103" s="3"/>
      <c r="MHY103" s="3"/>
      <c r="MHZ103" s="3"/>
      <c r="MIA103" s="3"/>
      <c r="MIB103" s="3"/>
      <c r="MIC103" s="3"/>
      <c r="MID103" s="3"/>
      <c r="MIE103" s="3"/>
      <c r="MIF103" s="3"/>
      <c r="MIG103" s="3"/>
      <c r="MIH103" s="3"/>
      <c r="MII103" s="3"/>
      <c r="MIJ103" s="3"/>
      <c r="MIK103" s="3"/>
      <c r="MIL103" s="3"/>
      <c r="MIM103" s="3"/>
      <c r="MIN103" s="3"/>
      <c r="MIO103" s="3"/>
      <c r="MIP103" s="3"/>
      <c r="MIQ103" s="3"/>
      <c r="MIR103" s="3"/>
      <c r="MIS103" s="3"/>
      <c r="MIT103" s="3"/>
      <c r="MIU103" s="3"/>
      <c r="MIV103" s="3"/>
      <c r="MIW103" s="3"/>
      <c r="MIX103" s="3"/>
      <c r="MIY103" s="3"/>
      <c r="MIZ103" s="3"/>
      <c r="MJA103" s="3"/>
      <c r="MJB103" s="3"/>
      <c r="MJC103" s="3"/>
      <c r="MJD103" s="3"/>
      <c r="MJE103" s="3"/>
      <c r="MJF103" s="3"/>
      <c r="MJG103" s="3"/>
      <c r="MJH103" s="3"/>
      <c r="MJI103" s="3"/>
      <c r="MJJ103" s="3"/>
      <c r="MJK103" s="3"/>
      <c r="MJL103" s="3"/>
      <c r="MJM103" s="3"/>
      <c r="MJN103" s="3"/>
      <c r="MJO103" s="3"/>
      <c r="MJP103" s="3"/>
      <c r="MJQ103" s="3"/>
      <c r="MJR103" s="3"/>
      <c r="MJS103" s="3"/>
      <c r="MJT103" s="3"/>
      <c r="MJU103" s="3"/>
      <c r="MJV103" s="3"/>
      <c r="MJW103" s="3"/>
      <c r="MJX103" s="3"/>
      <c r="MJY103" s="3"/>
      <c r="MJZ103" s="3"/>
      <c r="MKA103" s="3"/>
      <c r="MKB103" s="3"/>
      <c r="MKC103" s="3"/>
      <c r="MKD103" s="3"/>
      <c r="MKE103" s="3"/>
      <c r="MKF103" s="3"/>
      <c r="MKG103" s="3"/>
      <c r="MKH103" s="3"/>
      <c r="MKI103" s="3"/>
      <c r="MKJ103" s="3"/>
      <c r="MKK103" s="3"/>
      <c r="MKL103" s="3"/>
      <c r="MKM103" s="3"/>
      <c r="MKN103" s="3"/>
      <c r="MKO103" s="3"/>
      <c r="MKP103" s="3"/>
      <c r="MKQ103" s="3"/>
      <c r="MKR103" s="3"/>
      <c r="MKS103" s="3"/>
      <c r="MKT103" s="3"/>
      <c r="MKU103" s="3"/>
      <c r="MKV103" s="3"/>
      <c r="MKW103" s="3"/>
      <c r="MKX103" s="3"/>
      <c r="MKY103" s="3"/>
      <c r="MKZ103" s="3"/>
      <c r="MLA103" s="3"/>
      <c r="MLB103" s="3"/>
      <c r="MLC103" s="3"/>
      <c r="MLD103" s="3"/>
      <c r="MLE103" s="3"/>
      <c r="MLF103" s="3"/>
      <c r="MLG103" s="3"/>
      <c r="MLH103" s="3"/>
      <c r="MLI103" s="3"/>
      <c r="MLJ103" s="3"/>
      <c r="MLK103" s="3"/>
      <c r="MLL103" s="3"/>
      <c r="MLM103" s="3"/>
      <c r="MLN103" s="3"/>
      <c r="MLO103" s="3"/>
      <c r="MLP103" s="3"/>
      <c r="MLQ103" s="3"/>
      <c r="MLR103" s="3"/>
      <c r="MLS103" s="3"/>
      <c r="MLT103" s="3"/>
      <c r="MLU103" s="3"/>
      <c r="MLV103" s="3"/>
      <c r="MLW103" s="3"/>
      <c r="MLX103" s="3"/>
      <c r="MLY103" s="3"/>
      <c r="MLZ103" s="3"/>
      <c r="MMA103" s="3"/>
      <c r="MMB103" s="3"/>
      <c r="MMC103" s="3"/>
      <c r="MMD103" s="3"/>
      <c r="MME103" s="3"/>
      <c r="MMF103" s="3"/>
      <c r="MMG103" s="3"/>
      <c r="MMH103" s="3"/>
      <c r="MMI103" s="3"/>
      <c r="MMJ103" s="3"/>
      <c r="MMK103" s="3"/>
      <c r="MML103" s="3"/>
      <c r="MMM103" s="3"/>
      <c r="MMN103" s="3"/>
      <c r="MMO103" s="3"/>
      <c r="MMP103" s="3"/>
      <c r="MMQ103" s="3"/>
      <c r="MMR103" s="3"/>
      <c r="MMS103" s="3"/>
      <c r="MMT103" s="3"/>
      <c r="MMU103" s="3"/>
      <c r="MMV103" s="3"/>
      <c r="MMW103" s="3"/>
      <c r="MMX103" s="3"/>
      <c r="MMY103" s="3"/>
      <c r="MMZ103" s="3"/>
      <c r="MNA103" s="3"/>
      <c r="MNB103" s="3"/>
      <c r="MNC103" s="3"/>
      <c r="MND103" s="3"/>
      <c r="MNE103" s="3"/>
      <c r="MNF103" s="3"/>
      <c r="MNG103" s="3"/>
      <c r="MNH103" s="3"/>
      <c r="MNI103" s="3"/>
      <c r="MNJ103" s="3"/>
      <c r="MNK103" s="3"/>
      <c r="MNL103" s="3"/>
      <c r="MNM103" s="3"/>
      <c r="MNN103" s="3"/>
      <c r="MNO103" s="3"/>
      <c r="MNP103" s="3"/>
      <c r="MNQ103" s="3"/>
      <c r="MNR103" s="3"/>
      <c r="MNS103" s="3"/>
      <c r="MNT103" s="3"/>
      <c r="MNU103" s="3"/>
      <c r="MNV103" s="3"/>
      <c r="MNW103" s="3"/>
      <c r="MNX103" s="3"/>
      <c r="MNY103" s="3"/>
      <c r="MNZ103" s="3"/>
      <c r="MOA103" s="3"/>
      <c r="MOB103" s="3"/>
      <c r="MOC103" s="3"/>
      <c r="MOD103" s="3"/>
      <c r="MOE103" s="3"/>
      <c r="MOF103" s="3"/>
      <c r="MOG103" s="3"/>
      <c r="MOH103" s="3"/>
      <c r="MOI103" s="3"/>
      <c r="MOJ103" s="3"/>
      <c r="MOK103" s="3"/>
      <c r="MOL103" s="3"/>
      <c r="MOM103" s="3"/>
      <c r="MON103" s="3"/>
      <c r="MOO103" s="3"/>
      <c r="MOP103" s="3"/>
      <c r="MOQ103" s="3"/>
      <c r="MOR103" s="3"/>
      <c r="MOS103" s="3"/>
      <c r="MOT103" s="3"/>
      <c r="MOU103" s="3"/>
      <c r="MOV103" s="3"/>
      <c r="MOW103" s="3"/>
      <c r="MOX103" s="3"/>
      <c r="MOY103" s="3"/>
      <c r="MOZ103" s="3"/>
      <c r="MPA103" s="3"/>
      <c r="MPB103" s="3"/>
      <c r="MPC103" s="3"/>
      <c r="MPD103" s="3"/>
      <c r="MPE103" s="3"/>
      <c r="MPF103" s="3"/>
      <c r="MPG103" s="3"/>
      <c r="MPH103" s="3"/>
      <c r="MPI103" s="3"/>
      <c r="MPJ103" s="3"/>
      <c r="MPK103" s="3"/>
      <c r="MPL103" s="3"/>
      <c r="MPM103" s="3"/>
      <c r="MPN103" s="3"/>
      <c r="MPO103" s="3"/>
      <c r="MPP103" s="3"/>
      <c r="MPQ103" s="3"/>
      <c r="MPR103" s="3"/>
      <c r="MPS103" s="3"/>
      <c r="MPT103" s="3"/>
      <c r="MPU103" s="3"/>
      <c r="MPV103" s="3"/>
      <c r="MPW103" s="3"/>
      <c r="MPX103" s="3"/>
      <c r="MPY103" s="3"/>
      <c r="MPZ103" s="3"/>
      <c r="MQA103" s="3"/>
      <c r="MQB103" s="3"/>
      <c r="MQC103" s="3"/>
      <c r="MQD103" s="3"/>
      <c r="MQE103" s="3"/>
      <c r="MQF103" s="3"/>
      <c r="MQG103" s="3"/>
      <c r="MQH103" s="3"/>
      <c r="MQI103" s="3"/>
      <c r="MQJ103" s="3"/>
      <c r="MQK103" s="3"/>
      <c r="MQL103" s="3"/>
      <c r="MQM103" s="3"/>
      <c r="MQN103" s="3"/>
      <c r="MQO103" s="3"/>
      <c r="MQP103" s="3"/>
      <c r="MQQ103" s="3"/>
      <c r="MQR103" s="3"/>
      <c r="MQS103" s="3"/>
      <c r="MQT103" s="3"/>
      <c r="MQU103" s="3"/>
      <c r="MQV103" s="3"/>
      <c r="MQW103" s="3"/>
      <c r="MQX103" s="3"/>
      <c r="MQY103" s="3"/>
      <c r="MQZ103" s="3"/>
      <c r="MRA103" s="3"/>
      <c r="MRB103" s="3"/>
      <c r="MRC103" s="3"/>
      <c r="MRD103" s="3"/>
      <c r="MRE103" s="3"/>
      <c r="MRF103" s="3"/>
      <c r="MRG103" s="3"/>
      <c r="MRH103" s="3"/>
      <c r="MRI103" s="3"/>
      <c r="MRJ103" s="3"/>
      <c r="MRK103" s="3"/>
      <c r="MRL103" s="3"/>
      <c r="MRM103" s="3"/>
      <c r="MRN103" s="3"/>
      <c r="MRO103" s="3"/>
      <c r="MRP103" s="3"/>
      <c r="MRQ103" s="3"/>
      <c r="MRR103" s="3"/>
      <c r="MRS103" s="3"/>
      <c r="MRT103" s="3"/>
      <c r="MRU103" s="3"/>
      <c r="MRV103" s="3"/>
      <c r="MRW103" s="3"/>
      <c r="MRX103" s="3"/>
      <c r="MRY103" s="3"/>
      <c r="MRZ103" s="3"/>
      <c r="MSA103" s="3"/>
      <c r="MSB103" s="3"/>
      <c r="MSC103" s="3"/>
      <c r="MSD103" s="3"/>
      <c r="MSE103" s="3"/>
      <c r="MSF103" s="3"/>
      <c r="MSG103" s="3"/>
      <c r="MSH103" s="3"/>
      <c r="MSI103" s="3"/>
      <c r="MSJ103" s="3"/>
      <c r="MSK103" s="3"/>
      <c r="MSL103" s="3"/>
      <c r="MSM103" s="3"/>
      <c r="MSN103" s="3"/>
      <c r="MSO103" s="3"/>
      <c r="MSP103" s="3"/>
      <c r="MSQ103" s="3"/>
      <c r="MSR103" s="3"/>
      <c r="MSS103" s="3"/>
      <c r="MST103" s="3"/>
      <c r="MSU103" s="3"/>
      <c r="MSV103" s="3"/>
      <c r="MSW103" s="3"/>
      <c r="MSX103" s="3"/>
      <c r="MSY103" s="3"/>
      <c r="MSZ103" s="3"/>
      <c r="MTA103" s="3"/>
      <c r="MTB103" s="3"/>
      <c r="MTC103" s="3"/>
      <c r="MTD103" s="3"/>
      <c r="MTE103" s="3"/>
      <c r="MTF103" s="3"/>
      <c r="MTG103" s="3"/>
      <c r="MTH103" s="3"/>
      <c r="MTI103" s="3"/>
      <c r="MTJ103" s="3"/>
      <c r="MTK103" s="3"/>
      <c r="MTL103" s="3"/>
      <c r="MTM103" s="3"/>
      <c r="MTN103" s="3"/>
      <c r="MTO103" s="3"/>
      <c r="MTP103" s="3"/>
      <c r="MTQ103" s="3"/>
      <c r="MTR103" s="3"/>
      <c r="MTS103" s="3"/>
      <c r="MTT103" s="3"/>
      <c r="MTU103" s="3"/>
      <c r="MTV103" s="3"/>
      <c r="MTW103" s="3"/>
      <c r="MTX103" s="3"/>
      <c r="MTY103" s="3"/>
      <c r="MTZ103" s="3"/>
      <c r="MUA103" s="3"/>
      <c r="MUB103" s="3"/>
      <c r="MUC103" s="3"/>
      <c r="MUD103" s="3"/>
      <c r="MUE103" s="3"/>
      <c r="MUF103" s="3"/>
      <c r="MUG103" s="3"/>
      <c r="MUH103" s="3"/>
      <c r="MUI103" s="3"/>
      <c r="MUJ103" s="3"/>
      <c r="MUK103" s="3"/>
      <c r="MUL103" s="3"/>
      <c r="MUM103" s="3"/>
      <c r="MUN103" s="3"/>
      <c r="MUO103" s="3"/>
      <c r="MUP103" s="3"/>
      <c r="MUQ103" s="3"/>
      <c r="MUR103" s="3"/>
      <c r="MUS103" s="3"/>
      <c r="MUT103" s="3"/>
      <c r="MUU103" s="3"/>
      <c r="MUV103" s="3"/>
      <c r="MUW103" s="3"/>
      <c r="MUX103" s="3"/>
      <c r="MUY103" s="3"/>
      <c r="MUZ103" s="3"/>
      <c r="MVA103" s="3"/>
      <c r="MVB103" s="3"/>
      <c r="MVC103" s="3"/>
      <c r="MVD103" s="3"/>
      <c r="MVE103" s="3"/>
      <c r="MVF103" s="3"/>
      <c r="MVG103" s="3"/>
      <c r="MVH103" s="3"/>
      <c r="MVI103" s="3"/>
      <c r="MVJ103" s="3"/>
      <c r="MVK103" s="3"/>
      <c r="MVL103" s="3"/>
      <c r="MVM103" s="3"/>
      <c r="MVN103" s="3"/>
      <c r="MVO103" s="3"/>
      <c r="MVP103" s="3"/>
      <c r="MVQ103" s="3"/>
      <c r="MVR103" s="3"/>
      <c r="MVS103" s="3"/>
      <c r="MVT103" s="3"/>
      <c r="MVU103" s="3"/>
      <c r="MVV103" s="3"/>
      <c r="MVW103" s="3"/>
      <c r="MVX103" s="3"/>
      <c r="MVY103" s="3"/>
      <c r="MVZ103" s="3"/>
      <c r="MWA103" s="3"/>
      <c r="MWB103" s="3"/>
      <c r="MWC103" s="3"/>
      <c r="MWD103" s="3"/>
      <c r="MWE103" s="3"/>
      <c r="MWF103" s="3"/>
      <c r="MWG103" s="3"/>
      <c r="MWH103" s="3"/>
      <c r="MWI103" s="3"/>
      <c r="MWJ103" s="3"/>
      <c r="MWK103" s="3"/>
      <c r="MWL103" s="3"/>
      <c r="MWM103" s="3"/>
      <c r="MWN103" s="3"/>
      <c r="MWO103" s="3"/>
      <c r="MWP103" s="3"/>
      <c r="MWQ103" s="3"/>
      <c r="MWR103" s="3"/>
      <c r="MWS103" s="3"/>
      <c r="MWT103" s="3"/>
      <c r="MWU103" s="3"/>
      <c r="MWV103" s="3"/>
      <c r="MWW103" s="3"/>
      <c r="MWX103" s="3"/>
      <c r="MWY103" s="3"/>
      <c r="MWZ103" s="3"/>
      <c r="MXA103" s="3"/>
      <c r="MXB103" s="3"/>
      <c r="MXC103" s="3"/>
      <c r="MXD103" s="3"/>
      <c r="MXE103" s="3"/>
      <c r="MXF103" s="3"/>
      <c r="MXG103" s="3"/>
      <c r="MXH103" s="3"/>
      <c r="MXI103" s="3"/>
      <c r="MXJ103" s="3"/>
      <c r="MXK103" s="3"/>
      <c r="MXL103" s="3"/>
      <c r="MXM103" s="3"/>
      <c r="MXN103" s="3"/>
      <c r="MXO103" s="3"/>
      <c r="MXP103" s="3"/>
      <c r="MXQ103" s="3"/>
      <c r="MXR103" s="3"/>
      <c r="MXS103" s="3"/>
      <c r="MXT103" s="3"/>
      <c r="MXU103" s="3"/>
      <c r="MXV103" s="3"/>
      <c r="MXW103" s="3"/>
      <c r="MXX103" s="3"/>
      <c r="MXY103" s="3"/>
      <c r="MXZ103" s="3"/>
      <c r="MYA103" s="3"/>
      <c r="MYB103" s="3"/>
      <c r="MYC103" s="3"/>
      <c r="MYD103" s="3"/>
      <c r="MYE103" s="3"/>
      <c r="MYF103" s="3"/>
      <c r="MYG103" s="3"/>
      <c r="MYH103" s="3"/>
      <c r="MYI103" s="3"/>
      <c r="MYJ103" s="3"/>
      <c r="MYK103" s="3"/>
      <c r="MYL103" s="3"/>
      <c r="MYM103" s="3"/>
      <c r="MYN103" s="3"/>
      <c r="MYO103" s="3"/>
      <c r="MYP103" s="3"/>
      <c r="MYQ103" s="3"/>
      <c r="MYR103" s="3"/>
      <c r="MYS103" s="3"/>
      <c r="MYT103" s="3"/>
      <c r="MYU103" s="3"/>
      <c r="MYV103" s="3"/>
      <c r="MYW103" s="3"/>
      <c r="MYX103" s="3"/>
      <c r="MYY103" s="3"/>
      <c r="MYZ103" s="3"/>
      <c r="MZA103" s="3"/>
      <c r="MZB103" s="3"/>
      <c r="MZC103" s="3"/>
      <c r="MZD103" s="3"/>
      <c r="MZE103" s="3"/>
      <c r="MZF103" s="3"/>
      <c r="MZG103" s="3"/>
      <c r="MZH103" s="3"/>
      <c r="MZI103" s="3"/>
      <c r="MZJ103" s="3"/>
      <c r="MZK103" s="3"/>
      <c r="MZL103" s="3"/>
      <c r="MZM103" s="3"/>
      <c r="MZN103" s="3"/>
      <c r="MZO103" s="3"/>
      <c r="MZP103" s="3"/>
      <c r="MZQ103" s="3"/>
      <c r="MZR103" s="3"/>
      <c r="MZS103" s="3"/>
      <c r="MZT103" s="3"/>
      <c r="MZU103" s="3"/>
      <c r="MZV103" s="3"/>
      <c r="MZW103" s="3"/>
      <c r="MZX103" s="3"/>
      <c r="MZY103" s="3"/>
      <c r="MZZ103" s="3"/>
      <c r="NAA103" s="3"/>
      <c r="NAB103" s="3"/>
      <c r="NAC103" s="3"/>
      <c r="NAD103" s="3"/>
      <c r="NAE103" s="3"/>
      <c r="NAF103" s="3"/>
      <c r="NAG103" s="3"/>
      <c r="NAH103" s="3"/>
      <c r="NAI103" s="3"/>
      <c r="NAJ103" s="3"/>
      <c r="NAK103" s="3"/>
      <c r="NAL103" s="3"/>
      <c r="NAM103" s="3"/>
      <c r="NAN103" s="3"/>
      <c r="NAO103" s="3"/>
      <c r="NAP103" s="3"/>
      <c r="NAQ103" s="3"/>
      <c r="NAR103" s="3"/>
      <c r="NAS103" s="3"/>
      <c r="NAT103" s="3"/>
      <c r="NAU103" s="3"/>
      <c r="NAV103" s="3"/>
      <c r="NAW103" s="3"/>
      <c r="NAX103" s="3"/>
      <c r="NAY103" s="3"/>
      <c r="NAZ103" s="3"/>
      <c r="NBA103" s="3"/>
      <c r="NBB103" s="3"/>
      <c r="NBC103" s="3"/>
      <c r="NBD103" s="3"/>
      <c r="NBE103" s="3"/>
      <c r="NBF103" s="3"/>
      <c r="NBG103" s="3"/>
      <c r="NBH103" s="3"/>
      <c r="NBI103" s="3"/>
      <c r="NBJ103" s="3"/>
      <c r="NBK103" s="3"/>
      <c r="NBL103" s="3"/>
      <c r="NBM103" s="3"/>
      <c r="NBN103" s="3"/>
      <c r="NBO103" s="3"/>
      <c r="NBP103" s="3"/>
      <c r="NBQ103" s="3"/>
      <c r="NBR103" s="3"/>
      <c r="NBS103" s="3"/>
      <c r="NBT103" s="3"/>
      <c r="NBU103" s="3"/>
      <c r="NBV103" s="3"/>
      <c r="NBW103" s="3"/>
      <c r="NBX103" s="3"/>
      <c r="NBY103" s="3"/>
      <c r="NBZ103" s="3"/>
      <c r="NCA103" s="3"/>
      <c r="NCB103" s="3"/>
      <c r="NCC103" s="3"/>
      <c r="NCD103" s="3"/>
      <c r="NCE103" s="3"/>
      <c r="NCF103" s="3"/>
      <c r="NCG103" s="3"/>
      <c r="NCH103" s="3"/>
      <c r="NCI103" s="3"/>
      <c r="NCJ103" s="3"/>
      <c r="NCK103" s="3"/>
      <c r="NCL103" s="3"/>
      <c r="NCM103" s="3"/>
      <c r="NCN103" s="3"/>
      <c r="NCO103" s="3"/>
      <c r="NCP103" s="3"/>
      <c r="NCQ103" s="3"/>
      <c r="NCR103" s="3"/>
      <c r="NCS103" s="3"/>
      <c r="NCT103" s="3"/>
      <c r="NCU103" s="3"/>
      <c r="NCV103" s="3"/>
      <c r="NCW103" s="3"/>
      <c r="NCX103" s="3"/>
      <c r="NCY103" s="3"/>
      <c r="NCZ103" s="3"/>
      <c r="NDA103" s="3"/>
      <c r="NDB103" s="3"/>
      <c r="NDC103" s="3"/>
      <c r="NDD103" s="3"/>
      <c r="NDE103" s="3"/>
      <c r="NDF103" s="3"/>
      <c r="NDG103" s="3"/>
      <c r="NDH103" s="3"/>
      <c r="NDI103" s="3"/>
      <c r="NDJ103" s="3"/>
      <c r="NDK103" s="3"/>
      <c r="NDL103" s="3"/>
      <c r="NDM103" s="3"/>
      <c r="NDN103" s="3"/>
      <c r="NDO103" s="3"/>
      <c r="NDP103" s="3"/>
      <c r="NDQ103" s="3"/>
      <c r="NDR103" s="3"/>
      <c r="NDS103" s="3"/>
      <c r="NDT103" s="3"/>
      <c r="NDU103" s="3"/>
      <c r="NDV103" s="3"/>
      <c r="NDW103" s="3"/>
      <c r="NDX103" s="3"/>
      <c r="NDY103" s="3"/>
      <c r="NDZ103" s="3"/>
      <c r="NEA103" s="3"/>
      <c r="NEB103" s="3"/>
      <c r="NEC103" s="3"/>
      <c r="NED103" s="3"/>
      <c r="NEE103" s="3"/>
      <c r="NEF103" s="3"/>
      <c r="NEG103" s="3"/>
      <c r="NEH103" s="3"/>
      <c r="NEI103" s="3"/>
      <c r="NEJ103" s="3"/>
      <c r="NEK103" s="3"/>
      <c r="NEL103" s="3"/>
      <c r="NEM103" s="3"/>
      <c r="NEN103" s="3"/>
      <c r="NEO103" s="3"/>
      <c r="NEP103" s="3"/>
      <c r="NEQ103" s="3"/>
      <c r="NER103" s="3"/>
      <c r="NES103" s="3"/>
      <c r="NET103" s="3"/>
      <c r="NEU103" s="3"/>
      <c r="NEV103" s="3"/>
      <c r="NEW103" s="3"/>
      <c r="NEX103" s="3"/>
      <c r="NEY103" s="3"/>
      <c r="NEZ103" s="3"/>
      <c r="NFA103" s="3"/>
      <c r="NFB103" s="3"/>
      <c r="NFC103" s="3"/>
      <c r="NFD103" s="3"/>
      <c r="NFE103" s="3"/>
      <c r="NFF103" s="3"/>
      <c r="NFG103" s="3"/>
      <c r="NFH103" s="3"/>
      <c r="NFI103" s="3"/>
      <c r="NFJ103" s="3"/>
      <c r="NFK103" s="3"/>
      <c r="NFL103" s="3"/>
      <c r="NFM103" s="3"/>
      <c r="NFN103" s="3"/>
      <c r="NFO103" s="3"/>
      <c r="NFP103" s="3"/>
      <c r="NFQ103" s="3"/>
      <c r="NFR103" s="3"/>
      <c r="NFS103" s="3"/>
      <c r="NFT103" s="3"/>
      <c r="NFU103" s="3"/>
      <c r="NFV103" s="3"/>
      <c r="NFW103" s="3"/>
      <c r="NFX103" s="3"/>
      <c r="NFY103" s="3"/>
      <c r="NFZ103" s="3"/>
      <c r="NGA103" s="3"/>
      <c r="NGB103" s="3"/>
      <c r="NGC103" s="3"/>
      <c r="NGD103" s="3"/>
      <c r="NGE103" s="3"/>
      <c r="NGF103" s="3"/>
      <c r="NGG103" s="3"/>
      <c r="NGH103" s="3"/>
      <c r="NGI103" s="3"/>
      <c r="NGJ103" s="3"/>
      <c r="NGK103" s="3"/>
      <c r="NGL103" s="3"/>
      <c r="NGM103" s="3"/>
      <c r="NGN103" s="3"/>
      <c r="NGO103" s="3"/>
      <c r="NGP103" s="3"/>
      <c r="NGQ103" s="3"/>
      <c r="NGR103" s="3"/>
      <c r="NGS103" s="3"/>
      <c r="NGT103" s="3"/>
      <c r="NGU103" s="3"/>
      <c r="NGV103" s="3"/>
      <c r="NGW103" s="3"/>
      <c r="NGX103" s="3"/>
      <c r="NGY103" s="3"/>
      <c r="NGZ103" s="3"/>
      <c r="NHA103" s="3"/>
      <c r="NHB103" s="3"/>
      <c r="NHC103" s="3"/>
      <c r="NHD103" s="3"/>
      <c r="NHE103" s="3"/>
      <c r="NHF103" s="3"/>
      <c r="NHG103" s="3"/>
      <c r="NHH103" s="3"/>
      <c r="NHI103" s="3"/>
      <c r="NHJ103" s="3"/>
      <c r="NHK103" s="3"/>
      <c r="NHL103" s="3"/>
      <c r="NHM103" s="3"/>
      <c r="NHN103" s="3"/>
      <c r="NHO103" s="3"/>
      <c r="NHP103" s="3"/>
      <c r="NHQ103" s="3"/>
      <c r="NHR103" s="3"/>
      <c r="NHS103" s="3"/>
      <c r="NHT103" s="3"/>
      <c r="NHU103" s="3"/>
      <c r="NHV103" s="3"/>
      <c r="NHW103" s="3"/>
      <c r="NHX103" s="3"/>
      <c r="NHY103" s="3"/>
      <c r="NHZ103" s="3"/>
      <c r="NIA103" s="3"/>
      <c r="NIB103" s="3"/>
      <c r="NIC103" s="3"/>
      <c r="NID103" s="3"/>
      <c r="NIE103" s="3"/>
      <c r="NIF103" s="3"/>
      <c r="NIG103" s="3"/>
      <c r="NIH103" s="3"/>
      <c r="NII103" s="3"/>
      <c r="NIJ103" s="3"/>
      <c r="NIK103" s="3"/>
      <c r="NIL103" s="3"/>
      <c r="NIM103" s="3"/>
      <c r="NIN103" s="3"/>
      <c r="NIO103" s="3"/>
      <c r="NIP103" s="3"/>
      <c r="NIQ103" s="3"/>
      <c r="NIR103" s="3"/>
      <c r="NIS103" s="3"/>
      <c r="NIT103" s="3"/>
      <c r="NIU103" s="3"/>
      <c r="NIV103" s="3"/>
      <c r="NIW103" s="3"/>
      <c r="NIX103" s="3"/>
      <c r="NIY103" s="3"/>
      <c r="NIZ103" s="3"/>
      <c r="NJA103" s="3"/>
      <c r="NJB103" s="3"/>
      <c r="NJC103" s="3"/>
      <c r="NJD103" s="3"/>
      <c r="NJE103" s="3"/>
      <c r="NJF103" s="3"/>
      <c r="NJG103" s="3"/>
      <c r="NJH103" s="3"/>
      <c r="NJI103" s="3"/>
      <c r="NJJ103" s="3"/>
      <c r="NJK103" s="3"/>
      <c r="NJL103" s="3"/>
      <c r="NJM103" s="3"/>
      <c r="NJN103" s="3"/>
      <c r="NJO103" s="3"/>
      <c r="NJP103" s="3"/>
      <c r="NJQ103" s="3"/>
      <c r="NJR103" s="3"/>
      <c r="NJS103" s="3"/>
      <c r="NJT103" s="3"/>
      <c r="NJU103" s="3"/>
      <c r="NJV103" s="3"/>
      <c r="NJW103" s="3"/>
      <c r="NJX103" s="3"/>
      <c r="NJY103" s="3"/>
      <c r="NJZ103" s="3"/>
      <c r="NKA103" s="3"/>
      <c r="NKB103" s="3"/>
      <c r="NKC103" s="3"/>
      <c r="NKD103" s="3"/>
      <c r="NKE103" s="3"/>
      <c r="NKF103" s="3"/>
      <c r="NKG103" s="3"/>
      <c r="NKH103" s="3"/>
      <c r="NKI103" s="3"/>
      <c r="NKJ103" s="3"/>
      <c r="NKK103" s="3"/>
      <c r="NKL103" s="3"/>
      <c r="NKM103" s="3"/>
      <c r="NKN103" s="3"/>
      <c r="NKO103" s="3"/>
      <c r="NKP103" s="3"/>
      <c r="NKQ103" s="3"/>
      <c r="NKR103" s="3"/>
      <c r="NKS103" s="3"/>
      <c r="NKT103" s="3"/>
      <c r="NKU103" s="3"/>
      <c r="NKV103" s="3"/>
      <c r="NKW103" s="3"/>
      <c r="NKX103" s="3"/>
      <c r="NKY103" s="3"/>
      <c r="NKZ103" s="3"/>
      <c r="NLA103" s="3"/>
      <c r="NLB103" s="3"/>
      <c r="NLC103" s="3"/>
      <c r="NLD103" s="3"/>
      <c r="NLE103" s="3"/>
      <c r="NLF103" s="3"/>
      <c r="NLG103" s="3"/>
      <c r="NLH103" s="3"/>
      <c r="NLI103" s="3"/>
      <c r="NLJ103" s="3"/>
      <c r="NLK103" s="3"/>
      <c r="NLL103" s="3"/>
      <c r="NLM103" s="3"/>
      <c r="NLN103" s="3"/>
      <c r="NLO103" s="3"/>
      <c r="NLP103" s="3"/>
      <c r="NLQ103" s="3"/>
      <c r="NLR103" s="3"/>
      <c r="NLS103" s="3"/>
      <c r="NLT103" s="3"/>
      <c r="NLU103" s="3"/>
      <c r="NLV103" s="3"/>
      <c r="NLW103" s="3"/>
      <c r="NLX103" s="3"/>
      <c r="NLY103" s="3"/>
      <c r="NLZ103" s="3"/>
      <c r="NMA103" s="3"/>
      <c r="NMB103" s="3"/>
      <c r="NMC103" s="3"/>
      <c r="NMD103" s="3"/>
      <c r="NME103" s="3"/>
      <c r="NMF103" s="3"/>
      <c r="NMG103" s="3"/>
      <c r="NMH103" s="3"/>
      <c r="NMI103" s="3"/>
      <c r="NMJ103" s="3"/>
      <c r="NMK103" s="3"/>
      <c r="NML103" s="3"/>
      <c r="NMM103" s="3"/>
      <c r="NMN103" s="3"/>
      <c r="NMO103" s="3"/>
      <c r="NMP103" s="3"/>
      <c r="NMQ103" s="3"/>
      <c r="NMR103" s="3"/>
      <c r="NMS103" s="3"/>
      <c r="NMT103" s="3"/>
      <c r="NMU103" s="3"/>
      <c r="NMV103" s="3"/>
      <c r="NMW103" s="3"/>
      <c r="NMX103" s="3"/>
      <c r="NMY103" s="3"/>
      <c r="NMZ103" s="3"/>
      <c r="NNA103" s="3"/>
      <c r="NNB103" s="3"/>
      <c r="NNC103" s="3"/>
      <c r="NND103" s="3"/>
      <c r="NNE103" s="3"/>
      <c r="NNF103" s="3"/>
      <c r="NNG103" s="3"/>
      <c r="NNH103" s="3"/>
      <c r="NNI103" s="3"/>
      <c r="NNJ103" s="3"/>
      <c r="NNK103" s="3"/>
      <c r="NNL103" s="3"/>
      <c r="NNM103" s="3"/>
      <c r="NNN103" s="3"/>
      <c r="NNO103" s="3"/>
      <c r="NNP103" s="3"/>
      <c r="NNQ103" s="3"/>
      <c r="NNR103" s="3"/>
      <c r="NNS103" s="3"/>
      <c r="NNT103" s="3"/>
      <c r="NNU103" s="3"/>
      <c r="NNV103" s="3"/>
      <c r="NNW103" s="3"/>
      <c r="NNX103" s="3"/>
      <c r="NNY103" s="3"/>
      <c r="NNZ103" s="3"/>
      <c r="NOA103" s="3"/>
      <c r="NOB103" s="3"/>
      <c r="NOC103" s="3"/>
      <c r="NOD103" s="3"/>
      <c r="NOE103" s="3"/>
      <c r="NOF103" s="3"/>
      <c r="NOG103" s="3"/>
      <c r="NOH103" s="3"/>
      <c r="NOI103" s="3"/>
      <c r="NOJ103" s="3"/>
      <c r="NOK103" s="3"/>
      <c r="NOL103" s="3"/>
      <c r="NOM103" s="3"/>
      <c r="NON103" s="3"/>
      <c r="NOO103" s="3"/>
      <c r="NOP103" s="3"/>
      <c r="NOQ103" s="3"/>
      <c r="NOR103" s="3"/>
      <c r="NOS103" s="3"/>
      <c r="NOT103" s="3"/>
      <c r="NOU103" s="3"/>
      <c r="NOV103" s="3"/>
      <c r="NOW103" s="3"/>
      <c r="NOX103" s="3"/>
      <c r="NOY103" s="3"/>
      <c r="NOZ103" s="3"/>
      <c r="NPA103" s="3"/>
      <c r="NPB103" s="3"/>
      <c r="NPC103" s="3"/>
      <c r="NPD103" s="3"/>
      <c r="NPE103" s="3"/>
      <c r="NPF103" s="3"/>
      <c r="NPG103" s="3"/>
      <c r="NPH103" s="3"/>
      <c r="NPI103" s="3"/>
      <c r="NPJ103" s="3"/>
      <c r="NPK103" s="3"/>
      <c r="NPL103" s="3"/>
      <c r="NPM103" s="3"/>
      <c r="NPN103" s="3"/>
      <c r="NPO103" s="3"/>
      <c r="NPP103" s="3"/>
      <c r="NPQ103" s="3"/>
      <c r="NPR103" s="3"/>
      <c r="NPS103" s="3"/>
      <c r="NPT103" s="3"/>
      <c r="NPU103" s="3"/>
      <c r="NPV103" s="3"/>
      <c r="NPW103" s="3"/>
      <c r="NPX103" s="3"/>
      <c r="NPY103" s="3"/>
      <c r="NPZ103" s="3"/>
      <c r="NQA103" s="3"/>
      <c r="NQB103" s="3"/>
      <c r="NQC103" s="3"/>
      <c r="NQD103" s="3"/>
      <c r="NQE103" s="3"/>
      <c r="NQF103" s="3"/>
      <c r="NQG103" s="3"/>
      <c r="NQH103" s="3"/>
      <c r="NQI103" s="3"/>
      <c r="NQJ103" s="3"/>
      <c r="NQK103" s="3"/>
      <c r="NQL103" s="3"/>
      <c r="NQM103" s="3"/>
      <c r="NQN103" s="3"/>
      <c r="NQO103" s="3"/>
      <c r="NQP103" s="3"/>
      <c r="NQQ103" s="3"/>
      <c r="NQR103" s="3"/>
      <c r="NQS103" s="3"/>
      <c r="NQT103" s="3"/>
      <c r="NQU103" s="3"/>
      <c r="NQV103" s="3"/>
      <c r="NQW103" s="3"/>
      <c r="NQX103" s="3"/>
      <c r="NQY103" s="3"/>
      <c r="NQZ103" s="3"/>
      <c r="NRA103" s="3"/>
      <c r="NRB103" s="3"/>
      <c r="NRC103" s="3"/>
      <c r="NRD103" s="3"/>
      <c r="NRE103" s="3"/>
      <c r="NRF103" s="3"/>
      <c r="NRG103" s="3"/>
      <c r="NRH103" s="3"/>
      <c r="NRI103" s="3"/>
      <c r="NRJ103" s="3"/>
      <c r="NRK103" s="3"/>
      <c r="NRL103" s="3"/>
      <c r="NRM103" s="3"/>
      <c r="NRN103" s="3"/>
      <c r="NRO103" s="3"/>
      <c r="NRP103" s="3"/>
      <c r="NRQ103" s="3"/>
      <c r="NRR103" s="3"/>
      <c r="NRS103" s="3"/>
      <c r="NRT103" s="3"/>
      <c r="NRU103" s="3"/>
      <c r="NRV103" s="3"/>
      <c r="NRW103" s="3"/>
      <c r="NRX103" s="3"/>
      <c r="NRY103" s="3"/>
      <c r="NRZ103" s="3"/>
      <c r="NSA103" s="3"/>
      <c r="NSB103" s="3"/>
      <c r="NSC103" s="3"/>
      <c r="NSD103" s="3"/>
      <c r="NSE103" s="3"/>
      <c r="NSF103" s="3"/>
      <c r="NSG103" s="3"/>
      <c r="NSH103" s="3"/>
      <c r="NSI103" s="3"/>
      <c r="NSJ103" s="3"/>
      <c r="NSK103" s="3"/>
      <c r="NSL103" s="3"/>
      <c r="NSM103" s="3"/>
      <c r="NSN103" s="3"/>
      <c r="NSO103" s="3"/>
      <c r="NSP103" s="3"/>
      <c r="NSQ103" s="3"/>
      <c r="NSR103" s="3"/>
      <c r="NSS103" s="3"/>
      <c r="NST103" s="3"/>
      <c r="NSU103" s="3"/>
      <c r="NSV103" s="3"/>
      <c r="NSW103" s="3"/>
      <c r="NSX103" s="3"/>
      <c r="NSY103" s="3"/>
      <c r="NSZ103" s="3"/>
      <c r="NTA103" s="3"/>
      <c r="NTB103" s="3"/>
      <c r="NTC103" s="3"/>
      <c r="NTD103" s="3"/>
      <c r="NTE103" s="3"/>
      <c r="NTF103" s="3"/>
      <c r="NTG103" s="3"/>
      <c r="NTH103" s="3"/>
      <c r="NTI103" s="3"/>
      <c r="NTJ103" s="3"/>
      <c r="NTK103" s="3"/>
      <c r="NTL103" s="3"/>
      <c r="NTM103" s="3"/>
      <c r="NTN103" s="3"/>
      <c r="NTO103" s="3"/>
      <c r="NTP103" s="3"/>
      <c r="NTQ103" s="3"/>
      <c r="NTR103" s="3"/>
      <c r="NTS103" s="3"/>
      <c r="NTT103" s="3"/>
      <c r="NTU103" s="3"/>
      <c r="NTV103" s="3"/>
      <c r="NTW103" s="3"/>
      <c r="NTX103" s="3"/>
      <c r="NTY103" s="3"/>
      <c r="NTZ103" s="3"/>
      <c r="NUA103" s="3"/>
      <c r="NUB103" s="3"/>
      <c r="NUC103" s="3"/>
      <c r="NUD103" s="3"/>
      <c r="NUE103" s="3"/>
      <c r="NUF103" s="3"/>
      <c r="NUG103" s="3"/>
      <c r="NUH103" s="3"/>
      <c r="NUI103" s="3"/>
      <c r="NUJ103" s="3"/>
      <c r="NUK103" s="3"/>
      <c r="NUL103" s="3"/>
      <c r="NUM103" s="3"/>
      <c r="NUN103" s="3"/>
      <c r="NUO103" s="3"/>
      <c r="NUP103" s="3"/>
      <c r="NUQ103" s="3"/>
      <c r="NUR103" s="3"/>
      <c r="NUS103" s="3"/>
      <c r="NUT103" s="3"/>
      <c r="NUU103" s="3"/>
      <c r="NUV103" s="3"/>
      <c r="NUW103" s="3"/>
      <c r="NUX103" s="3"/>
      <c r="NUY103" s="3"/>
      <c r="NUZ103" s="3"/>
      <c r="NVA103" s="3"/>
      <c r="NVB103" s="3"/>
      <c r="NVC103" s="3"/>
      <c r="NVD103" s="3"/>
      <c r="NVE103" s="3"/>
      <c r="NVF103" s="3"/>
      <c r="NVG103" s="3"/>
      <c r="NVH103" s="3"/>
      <c r="NVI103" s="3"/>
      <c r="NVJ103" s="3"/>
      <c r="NVK103" s="3"/>
      <c r="NVL103" s="3"/>
      <c r="NVM103" s="3"/>
      <c r="NVN103" s="3"/>
      <c r="NVO103" s="3"/>
      <c r="NVP103" s="3"/>
      <c r="NVQ103" s="3"/>
      <c r="NVR103" s="3"/>
      <c r="NVS103" s="3"/>
      <c r="NVT103" s="3"/>
      <c r="NVU103" s="3"/>
      <c r="NVV103" s="3"/>
      <c r="NVW103" s="3"/>
      <c r="NVX103" s="3"/>
      <c r="NVY103" s="3"/>
      <c r="NVZ103" s="3"/>
      <c r="NWA103" s="3"/>
      <c r="NWB103" s="3"/>
      <c r="NWC103" s="3"/>
      <c r="NWD103" s="3"/>
      <c r="NWE103" s="3"/>
      <c r="NWF103" s="3"/>
      <c r="NWG103" s="3"/>
      <c r="NWH103" s="3"/>
      <c r="NWI103" s="3"/>
      <c r="NWJ103" s="3"/>
      <c r="NWK103" s="3"/>
      <c r="NWL103" s="3"/>
      <c r="NWM103" s="3"/>
      <c r="NWN103" s="3"/>
      <c r="NWO103" s="3"/>
      <c r="NWP103" s="3"/>
      <c r="NWQ103" s="3"/>
      <c r="NWR103" s="3"/>
      <c r="NWS103" s="3"/>
      <c r="NWT103" s="3"/>
      <c r="NWU103" s="3"/>
      <c r="NWV103" s="3"/>
      <c r="NWW103" s="3"/>
      <c r="NWX103" s="3"/>
      <c r="NWY103" s="3"/>
      <c r="NWZ103" s="3"/>
      <c r="NXA103" s="3"/>
      <c r="NXB103" s="3"/>
      <c r="NXC103" s="3"/>
      <c r="NXD103" s="3"/>
      <c r="NXE103" s="3"/>
      <c r="NXF103" s="3"/>
      <c r="NXG103" s="3"/>
      <c r="NXH103" s="3"/>
      <c r="NXI103" s="3"/>
      <c r="NXJ103" s="3"/>
      <c r="NXK103" s="3"/>
      <c r="NXL103" s="3"/>
      <c r="NXM103" s="3"/>
      <c r="NXN103" s="3"/>
      <c r="NXO103" s="3"/>
      <c r="NXP103" s="3"/>
      <c r="NXQ103" s="3"/>
      <c r="NXR103" s="3"/>
      <c r="NXS103" s="3"/>
      <c r="NXT103" s="3"/>
      <c r="NXU103" s="3"/>
      <c r="NXV103" s="3"/>
      <c r="NXW103" s="3"/>
      <c r="NXX103" s="3"/>
      <c r="NXY103" s="3"/>
      <c r="NXZ103" s="3"/>
      <c r="NYA103" s="3"/>
      <c r="NYB103" s="3"/>
      <c r="NYC103" s="3"/>
      <c r="NYD103" s="3"/>
      <c r="NYE103" s="3"/>
      <c r="NYF103" s="3"/>
      <c r="NYG103" s="3"/>
      <c r="NYH103" s="3"/>
      <c r="NYI103" s="3"/>
      <c r="NYJ103" s="3"/>
      <c r="NYK103" s="3"/>
      <c r="NYL103" s="3"/>
      <c r="NYM103" s="3"/>
      <c r="NYN103" s="3"/>
      <c r="NYO103" s="3"/>
      <c r="NYP103" s="3"/>
      <c r="NYQ103" s="3"/>
      <c r="NYR103" s="3"/>
      <c r="NYS103" s="3"/>
      <c r="NYT103" s="3"/>
      <c r="NYU103" s="3"/>
      <c r="NYV103" s="3"/>
      <c r="NYW103" s="3"/>
      <c r="NYX103" s="3"/>
      <c r="NYY103" s="3"/>
      <c r="NYZ103" s="3"/>
      <c r="NZA103" s="3"/>
      <c r="NZB103" s="3"/>
      <c r="NZC103" s="3"/>
      <c r="NZD103" s="3"/>
      <c r="NZE103" s="3"/>
      <c r="NZF103" s="3"/>
      <c r="NZG103" s="3"/>
      <c r="NZH103" s="3"/>
      <c r="NZI103" s="3"/>
      <c r="NZJ103" s="3"/>
      <c r="NZK103" s="3"/>
      <c r="NZL103" s="3"/>
      <c r="NZM103" s="3"/>
      <c r="NZN103" s="3"/>
      <c r="NZO103" s="3"/>
      <c r="NZP103" s="3"/>
      <c r="NZQ103" s="3"/>
      <c r="NZR103" s="3"/>
      <c r="NZS103" s="3"/>
      <c r="NZT103" s="3"/>
      <c r="NZU103" s="3"/>
      <c r="NZV103" s="3"/>
      <c r="NZW103" s="3"/>
      <c r="NZX103" s="3"/>
      <c r="NZY103" s="3"/>
      <c r="NZZ103" s="3"/>
      <c r="OAA103" s="3"/>
      <c r="OAB103" s="3"/>
      <c r="OAC103" s="3"/>
      <c r="OAD103" s="3"/>
      <c r="OAE103" s="3"/>
      <c r="OAF103" s="3"/>
      <c r="OAG103" s="3"/>
      <c r="OAH103" s="3"/>
      <c r="OAI103" s="3"/>
      <c r="OAJ103" s="3"/>
      <c r="OAK103" s="3"/>
      <c r="OAL103" s="3"/>
      <c r="OAM103" s="3"/>
      <c r="OAN103" s="3"/>
      <c r="OAO103" s="3"/>
      <c r="OAP103" s="3"/>
      <c r="OAQ103" s="3"/>
      <c r="OAR103" s="3"/>
      <c r="OAS103" s="3"/>
      <c r="OAT103" s="3"/>
      <c r="OAU103" s="3"/>
      <c r="OAV103" s="3"/>
      <c r="OAW103" s="3"/>
      <c r="OAX103" s="3"/>
      <c r="OAY103" s="3"/>
      <c r="OAZ103" s="3"/>
      <c r="OBA103" s="3"/>
      <c r="OBB103" s="3"/>
      <c r="OBC103" s="3"/>
      <c r="OBD103" s="3"/>
      <c r="OBE103" s="3"/>
      <c r="OBF103" s="3"/>
      <c r="OBG103" s="3"/>
      <c r="OBH103" s="3"/>
      <c r="OBI103" s="3"/>
      <c r="OBJ103" s="3"/>
      <c r="OBK103" s="3"/>
      <c r="OBL103" s="3"/>
      <c r="OBM103" s="3"/>
      <c r="OBN103" s="3"/>
      <c r="OBO103" s="3"/>
      <c r="OBP103" s="3"/>
      <c r="OBQ103" s="3"/>
      <c r="OBR103" s="3"/>
      <c r="OBS103" s="3"/>
      <c r="OBT103" s="3"/>
      <c r="OBU103" s="3"/>
      <c r="OBV103" s="3"/>
      <c r="OBW103" s="3"/>
      <c r="OBX103" s="3"/>
      <c r="OBY103" s="3"/>
      <c r="OBZ103" s="3"/>
      <c r="OCA103" s="3"/>
      <c r="OCB103" s="3"/>
      <c r="OCC103" s="3"/>
      <c r="OCD103" s="3"/>
      <c r="OCE103" s="3"/>
      <c r="OCF103" s="3"/>
      <c r="OCG103" s="3"/>
      <c r="OCH103" s="3"/>
      <c r="OCI103" s="3"/>
      <c r="OCJ103" s="3"/>
      <c r="OCK103" s="3"/>
      <c r="OCL103" s="3"/>
      <c r="OCM103" s="3"/>
      <c r="OCN103" s="3"/>
      <c r="OCO103" s="3"/>
      <c r="OCP103" s="3"/>
      <c r="OCQ103" s="3"/>
      <c r="OCR103" s="3"/>
      <c r="OCS103" s="3"/>
      <c r="OCT103" s="3"/>
      <c r="OCU103" s="3"/>
      <c r="OCV103" s="3"/>
      <c r="OCW103" s="3"/>
      <c r="OCX103" s="3"/>
      <c r="OCY103" s="3"/>
      <c r="OCZ103" s="3"/>
      <c r="ODA103" s="3"/>
      <c r="ODB103" s="3"/>
      <c r="ODC103" s="3"/>
      <c r="ODD103" s="3"/>
      <c r="ODE103" s="3"/>
      <c r="ODF103" s="3"/>
      <c r="ODG103" s="3"/>
      <c r="ODH103" s="3"/>
      <c r="ODI103" s="3"/>
      <c r="ODJ103" s="3"/>
      <c r="ODK103" s="3"/>
      <c r="ODL103" s="3"/>
      <c r="ODM103" s="3"/>
      <c r="ODN103" s="3"/>
      <c r="ODO103" s="3"/>
      <c r="ODP103" s="3"/>
      <c r="ODQ103" s="3"/>
      <c r="ODR103" s="3"/>
      <c r="ODS103" s="3"/>
      <c r="ODT103" s="3"/>
      <c r="ODU103" s="3"/>
      <c r="ODV103" s="3"/>
      <c r="ODW103" s="3"/>
      <c r="ODX103" s="3"/>
      <c r="ODY103" s="3"/>
      <c r="ODZ103" s="3"/>
      <c r="OEA103" s="3"/>
      <c r="OEB103" s="3"/>
      <c r="OEC103" s="3"/>
      <c r="OED103" s="3"/>
      <c r="OEE103" s="3"/>
      <c r="OEF103" s="3"/>
      <c r="OEG103" s="3"/>
      <c r="OEH103" s="3"/>
      <c r="OEI103" s="3"/>
      <c r="OEJ103" s="3"/>
      <c r="OEK103" s="3"/>
      <c r="OEL103" s="3"/>
      <c r="OEM103" s="3"/>
      <c r="OEN103" s="3"/>
      <c r="OEO103" s="3"/>
      <c r="OEP103" s="3"/>
      <c r="OEQ103" s="3"/>
      <c r="OER103" s="3"/>
      <c r="OES103" s="3"/>
      <c r="OET103" s="3"/>
      <c r="OEU103" s="3"/>
      <c r="OEV103" s="3"/>
      <c r="OEW103" s="3"/>
      <c r="OEX103" s="3"/>
      <c r="OEY103" s="3"/>
      <c r="OEZ103" s="3"/>
      <c r="OFA103" s="3"/>
      <c r="OFB103" s="3"/>
      <c r="OFC103" s="3"/>
      <c r="OFD103" s="3"/>
      <c r="OFE103" s="3"/>
      <c r="OFF103" s="3"/>
      <c r="OFG103" s="3"/>
      <c r="OFH103" s="3"/>
      <c r="OFI103" s="3"/>
      <c r="OFJ103" s="3"/>
      <c r="OFK103" s="3"/>
      <c r="OFL103" s="3"/>
      <c r="OFM103" s="3"/>
      <c r="OFN103" s="3"/>
      <c r="OFO103" s="3"/>
      <c r="OFP103" s="3"/>
      <c r="OFQ103" s="3"/>
      <c r="OFR103" s="3"/>
      <c r="OFS103" s="3"/>
      <c r="OFT103" s="3"/>
      <c r="OFU103" s="3"/>
      <c r="OFV103" s="3"/>
      <c r="OFW103" s="3"/>
      <c r="OFX103" s="3"/>
      <c r="OFY103" s="3"/>
      <c r="OFZ103" s="3"/>
      <c r="OGA103" s="3"/>
      <c r="OGB103" s="3"/>
      <c r="OGC103" s="3"/>
      <c r="OGD103" s="3"/>
      <c r="OGE103" s="3"/>
      <c r="OGF103" s="3"/>
      <c r="OGG103" s="3"/>
      <c r="OGH103" s="3"/>
      <c r="OGI103" s="3"/>
      <c r="OGJ103" s="3"/>
      <c r="OGK103" s="3"/>
      <c r="OGL103" s="3"/>
      <c r="OGM103" s="3"/>
      <c r="OGN103" s="3"/>
      <c r="OGO103" s="3"/>
      <c r="OGP103" s="3"/>
      <c r="OGQ103" s="3"/>
      <c r="OGR103" s="3"/>
      <c r="OGS103" s="3"/>
      <c r="OGT103" s="3"/>
      <c r="OGU103" s="3"/>
      <c r="OGV103" s="3"/>
      <c r="OGW103" s="3"/>
      <c r="OGX103" s="3"/>
      <c r="OGY103" s="3"/>
      <c r="OGZ103" s="3"/>
      <c r="OHA103" s="3"/>
      <c r="OHB103" s="3"/>
      <c r="OHC103" s="3"/>
      <c r="OHD103" s="3"/>
      <c r="OHE103" s="3"/>
      <c r="OHF103" s="3"/>
      <c r="OHG103" s="3"/>
      <c r="OHH103" s="3"/>
      <c r="OHI103" s="3"/>
      <c r="OHJ103" s="3"/>
      <c r="OHK103" s="3"/>
      <c r="OHL103" s="3"/>
      <c r="OHM103" s="3"/>
      <c r="OHN103" s="3"/>
      <c r="OHO103" s="3"/>
      <c r="OHP103" s="3"/>
      <c r="OHQ103" s="3"/>
      <c r="OHR103" s="3"/>
      <c r="OHS103" s="3"/>
      <c r="OHT103" s="3"/>
      <c r="OHU103" s="3"/>
      <c r="OHV103" s="3"/>
      <c r="OHW103" s="3"/>
      <c r="OHX103" s="3"/>
      <c r="OHY103" s="3"/>
      <c r="OHZ103" s="3"/>
      <c r="OIA103" s="3"/>
      <c r="OIB103" s="3"/>
      <c r="OIC103" s="3"/>
      <c r="OID103" s="3"/>
      <c r="OIE103" s="3"/>
      <c r="OIF103" s="3"/>
      <c r="OIG103" s="3"/>
      <c r="OIH103" s="3"/>
      <c r="OII103" s="3"/>
      <c r="OIJ103" s="3"/>
      <c r="OIK103" s="3"/>
      <c r="OIL103" s="3"/>
      <c r="OIM103" s="3"/>
      <c r="OIN103" s="3"/>
      <c r="OIO103" s="3"/>
      <c r="OIP103" s="3"/>
      <c r="OIQ103" s="3"/>
      <c r="OIR103" s="3"/>
      <c r="OIS103" s="3"/>
      <c r="OIT103" s="3"/>
      <c r="OIU103" s="3"/>
      <c r="OIV103" s="3"/>
      <c r="OIW103" s="3"/>
      <c r="OIX103" s="3"/>
      <c r="OIY103" s="3"/>
      <c r="OIZ103" s="3"/>
      <c r="OJA103" s="3"/>
      <c r="OJB103" s="3"/>
      <c r="OJC103" s="3"/>
      <c r="OJD103" s="3"/>
      <c r="OJE103" s="3"/>
      <c r="OJF103" s="3"/>
      <c r="OJG103" s="3"/>
      <c r="OJH103" s="3"/>
      <c r="OJI103" s="3"/>
      <c r="OJJ103" s="3"/>
      <c r="OJK103" s="3"/>
      <c r="OJL103" s="3"/>
      <c r="OJM103" s="3"/>
      <c r="OJN103" s="3"/>
      <c r="OJO103" s="3"/>
      <c r="OJP103" s="3"/>
      <c r="OJQ103" s="3"/>
      <c r="OJR103" s="3"/>
      <c r="OJS103" s="3"/>
      <c r="OJT103" s="3"/>
      <c r="OJU103" s="3"/>
      <c r="OJV103" s="3"/>
      <c r="OJW103" s="3"/>
      <c r="OJX103" s="3"/>
      <c r="OJY103" s="3"/>
      <c r="OJZ103" s="3"/>
      <c r="OKA103" s="3"/>
      <c r="OKB103" s="3"/>
      <c r="OKC103" s="3"/>
      <c r="OKD103" s="3"/>
      <c r="OKE103" s="3"/>
      <c r="OKF103" s="3"/>
      <c r="OKG103" s="3"/>
      <c r="OKH103" s="3"/>
      <c r="OKI103" s="3"/>
      <c r="OKJ103" s="3"/>
      <c r="OKK103" s="3"/>
      <c r="OKL103" s="3"/>
      <c r="OKM103" s="3"/>
      <c r="OKN103" s="3"/>
      <c r="OKO103" s="3"/>
      <c r="OKP103" s="3"/>
      <c r="OKQ103" s="3"/>
      <c r="OKR103" s="3"/>
      <c r="OKS103" s="3"/>
      <c r="OKT103" s="3"/>
      <c r="OKU103" s="3"/>
      <c r="OKV103" s="3"/>
      <c r="OKW103" s="3"/>
      <c r="OKX103" s="3"/>
      <c r="OKY103" s="3"/>
      <c r="OKZ103" s="3"/>
      <c r="OLA103" s="3"/>
      <c r="OLB103" s="3"/>
      <c r="OLC103" s="3"/>
      <c r="OLD103" s="3"/>
      <c r="OLE103" s="3"/>
      <c r="OLF103" s="3"/>
      <c r="OLG103" s="3"/>
      <c r="OLH103" s="3"/>
      <c r="OLI103" s="3"/>
      <c r="OLJ103" s="3"/>
      <c r="OLK103" s="3"/>
      <c r="OLL103" s="3"/>
      <c r="OLM103" s="3"/>
      <c r="OLN103" s="3"/>
      <c r="OLO103" s="3"/>
      <c r="OLP103" s="3"/>
      <c r="OLQ103" s="3"/>
      <c r="OLR103" s="3"/>
      <c r="OLS103" s="3"/>
      <c r="OLT103" s="3"/>
      <c r="OLU103" s="3"/>
      <c r="OLV103" s="3"/>
      <c r="OLW103" s="3"/>
      <c r="OLX103" s="3"/>
      <c r="OLY103" s="3"/>
      <c r="OLZ103" s="3"/>
      <c r="OMA103" s="3"/>
      <c r="OMB103" s="3"/>
      <c r="OMC103" s="3"/>
      <c r="OMD103" s="3"/>
      <c r="OME103" s="3"/>
      <c r="OMF103" s="3"/>
      <c r="OMG103" s="3"/>
      <c r="OMH103" s="3"/>
      <c r="OMI103" s="3"/>
      <c r="OMJ103" s="3"/>
      <c r="OMK103" s="3"/>
      <c r="OML103" s="3"/>
      <c r="OMM103" s="3"/>
      <c r="OMN103" s="3"/>
      <c r="OMO103" s="3"/>
      <c r="OMP103" s="3"/>
      <c r="OMQ103" s="3"/>
      <c r="OMR103" s="3"/>
      <c r="OMS103" s="3"/>
      <c r="OMT103" s="3"/>
      <c r="OMU103" s="3"/>
      <c r="OMV103" s="3"/>
      <c r="OMW103" s="3"/>
      <c r="OMX103" s="3"/>
      <c r="OMY103" s="3"/>
      <c r="OMZ103" s="3"/>
      <c r="ONA103" s="3"/>
      <c r="ONB103" s="3"/>
      <c r="ONC103" s="3"/>
      <c r="OND103" s="3"/>
      <c r="ONE103" s="3"/>
      <c r="ONF103" s="3"/>
      <c r="ONG103" s="3"/>
      <c r="ONH103" s="3"/>
      <c r="ONI103" s="3"/>
      <c r="ONJ103" s="3"/>
      <c r="ONK103" s="3"/>
      <c r="ONL103" s="3"/>
      <c r="ONM103" s="3"/>
      <c r="ONN103" s="3"/>
      <c r="ONO103" s="3"/>
      <c r="ONP103" s="3"/>
      <c r="ONQ103" s="3"/>
      <c r="ONR103" s="3"/>
      <c r="ONS103" s="3"/>
      <c r="ONT103" s="3"/>
      <c r="ONU103" s="3"/>
      <c r="ONV103" s="3"/>
      <c r="ONW103" s="3"/>
      <c r="ONX103" s="3"/>
      <c r="ONY103" s="3"/>
      <c r="ONZ103" s="3"/>
      <c r="OOA103" s="3"/>
      <c r="OOB103" s="3"/>
      <c r="OOC103" s="3"/>
      <c r="OOD103" s="3"/>
      <c r="OOE103" s="3"/>
      <c r="OOF103" s="3"/>
      <c r="OOG103" s="3"/>
      <c r="OOH103" s="3"/>
      <c r="OOI103" s="3"/>
      <c r="OOJ103" s="3"/>
      <c r="OOK103" s="3"/>
      <c r="OOL103" s="3"/>
      <c r="OOM103" s="3"/>
      <c r="OON103" s="3"/>
      <c r="OOO103" s="3"/>
      <c r="OOP103" s="3"/>
      <c r="OOQ103" s="3"/>
      <c r="OOR103" s="3"/>
      <c r="OOS103" s="3"/>
      <c r="OOT103" s="3"/>
      <c r="OOU103" s="3"/>
      <c r="OOV103" s="3"/>
      <c r="OOW103" s="3"/>
      <c r="OOX103" s="3"/>
      <c r="OOY103" s="3"/>
      <c r="OOZ103" s="3"/>
      <c r="OPA103" s="3"/>
      <c r="OPB103" s="3"/>
      <c r="OPC103" s="3"/>
      <c r="OPD103" s="3"/>
      <c r="OPE103" s="3"/>
      <c r="OPF103" s="3"/>
      <c r="OPG103" s="3"/>
      <c r="OPH103" s="3"/>
      <c r="OPI103" s="3"/>
      <c r="OPJ103" s="3"/>
      <c r="OPK103" s="3"/>
      <c r="OPL103" s="3"/>
      <c r="OPM103" s="3"/>
      <c r="OPN103" s="3"/>
      <c r="OPO103" s="3"/>
      <c r="OPP103" s="3"/>
      <c r="OPQ103" s="3"/>
      <c r="OPR103" s="3"/>
      <c r="OPS103" s="3"/>
      <c r="OPT103" s="3"/>
      <c r="OPU103" s="3"/>
      <c r="OPV103" s="3"/>
      <c r="OPW103" s="3"/>
      <c r="OPX103" s="3"/>
      <c r="OPY103" s="3"/>
      <c r="OPZ103" s="3"/>
      <c r="OQA103" s="3"/>
      <c r="OQB103" s="3"/>
      <c r="OQC103" s="3"/>
      <c r="OQD103" s="3"/>
      <c r="OQE103" s="3"/>
      <c r="OQF103" s="3"/>
      <c r="OQG103" s="3"/>
      <c r="OQH103" s="3"/>
      <c r="OQI103" s="3"/>
      <c r="OQJ103" s="3"/>
      <c r="OQK103" s="3"/>
      <c r="OQL103" s="3"/>
      <c r="OQM103" s="3"/>
      <c r="OQN103" s="3"/>
      <c r="OQO103" s="3"/>
      <c r="OQP103" s="3"/>
      <c r="OQQ103" s="3"/>
      <c r="OQR103" s="3"/>
      <c r="OQS103" s="3"/>
      <c r="OQT103" s="3"/>
      <c r="OQU103" s="3"/>
      <c r="OQV103" s="3"/>
      <c r="OQW103" s="3"/>
      <c r="OQX103" s="3"/>
      <c r="OQY103" s="3"/>
      <c r="OQZ103" s="3"/>
      <c r="ORA103" s="3"/>
      <c r="ORB103" s="3"/>
      <c r="ORC103" s="3"/>
      <c r="ORD103" s="3"/>
      <c r="ORE103" s="3"/>
      <c r="ORF103" s="3"/>
      <c r="ORG103" s="3"/>
      <c r="ORH103" s="3"/>
      <c r="ORI103" s="3"/>
      <c r="ORJ103" s="3"/>
      <c r="ORK103" s="3"/>
      <c r="ORL103" s="3"/>
      <c r="ORM103" s="3"/>
      <c r="ORN103" s="3"/>
      <c r="ORO103" s="3"/>
      <c r="ORP103" s="3"/>
      <c r="ORQ103" s="3"/>
      <c r="ORR103" s="3"/>
      <c r="ORS103" s="3"/>
      <c r="ORT103" s="3"/>
      <c r="ORU103" s="3"/>
      <c r="ORV103" s="3"/>
      <c r="ORW103" s="3"/>
      <c r="ORX103" s="3"/>
      <c r="ORY103" s="3"/>
      <c r="ORZ103" s="3"/>
      <c r="OSA103" s="3"/>
      <c r="OSB103" s="3"/>
      <c r="OSC103" s="3"/>
      <c r="OSD103" s="3"/>
      <c r="OSE103" s="3"/>
      <c r="OSF103" s="3"/>
      <c r="OSG103" s="3"/>
      <c r="OSH103" s="3"/>
      <c r="OSI103" s="3"/>
      <c r="OSJ103" s="3"/>
      <c r="OSK103" s="3"/>
      <c r="OSL103" s="3"/>
      <c r="OSM103" s="3"/>
      <c r="OSN103" s="3"/>
      <c r="OSO103" s="3"/>
      <c r="OSP103" s="3"/>
      <c r="OSQ103" s="3"/>
      <c r="OSR103" s="3"/>
      <c r="OSS103" s="3"/>
      <c r="OST103" s="3"/>
      <c r="OSU103" s="3"/>
      <c r="OSV103" s="3"/>
      <c r="OSW103" s="3"/>
      <c r="OSX103" s="3"/>
      <c r="OSY103" s="3"/>
      <c r="OSZ103" s="3"/>
      <c r="OTA103" s="3"/>
      <c r="OTB103" s="3"/>
      <c r="OTC103" s="3"/>
      <c r="OTD103" s="3"/>
      <c r="OTE103" s="3"/>
      <c r="OTF103" s="3"/>
      <c r="OTG103" s="3"/>
      <c r="OTH103" s="3"/>
      <c r="OTI103" s="3"/>
      <c r="OTJ103" s="3"/>
      <c r="OTK103" s="3"/>
      <c r="OTL103" s="3"/>
      <c r="OTM103" s="3"/>
      <c r="OTN103" s="3"/>
      <c r="OTO103" s="3"/>
      <c r="OTP103" s="3"/>
      <c r="OTQ103" s="3"/>
      <c r="OTR103" s="3"/>
      <c r="OTS103" s="3"/>
      <c r="OTT103" s="3"/>
      <c r="OTU103" s="3"/>
      <c r="OTV103" s="3"/>
      <c r="OTW103" s="3"/>
      <c r="OTX103" s="3"/>
      <c r="OTY103" s="3"/>
      <c r="OTZ103" s="3"/>
      <c r="OUA103" s="3"/>
      <c r="OUB103" s="3"/>
      <c r="OUC103" s="3"/>
      <c r="OUD103" s="3"/>
      <c r="OUE103" s="3"/>
      <c r="OUF103" s="3"/>
      <c r="OUG103" s="3"/>
      <c r="OUH103" s="3"/>
      <c r="OUI103" s="3"/>
      <c r="OUJ103" s="3"/>
      <c r="OUK103" s="3"/>
      <c r="OUL103" s="3"/>
      <c r="OUM103" s="3"/>
      <c r="OUN103" s="3"/>
      <c r="OUO103" s="3"/>
      <c r="OUP103" s="3"/>
      <c r="OUQ103" s="3"/>
      <c r="OUR103" s="3"/>
      <c r="OUS103" s="3"/>
      <c r="OUT103" s="3"/>
      <c r="OUU103" s="3"/>
      <c r="OUV103" s="3"/>
      <c r="OUW103" s="3"/>
      <c r="OUX103" s="3"/>
      <c r="OUY103" s="3"/>
      <c r="OUZ103" s="3"/>
      <c r="OVA103" s="3"/>
      <c r="OVB103" s="3"/>
      <c r="OVC103" s="3"/>
      <c r="OVD103" s="3"/>
      <c r="OVE103" s="3"/>
      <c r="OVF103" s="3"/>
      <c r="OVG103" s="3"/>
      <c r="OVH103" s="3"/>
      <c r="OVI103" s="3"/>
      <c r="OVJ103" s="3"/>
      <c r="OVK103" s="3"/>
      <c r="OVL103" s="3"/>
      <c r="OVM103" s="3"/>
      <c r="OVN103" s="3"/>
      <c r="OVO103" s="3"/>
      <c r="OVP103" s="3"/>
      <c r="OVQ103" s="3"/>
      <c r="OVR103" s="3"/>
      <c r="OVS103" s="3"/>
      <c r="OVT103" s="3"/>
      <c r="OVU103" s="3"/>
      <c r="OVV103" s="3"/>
      <c r="OVW103" s="3"/>
      <c r="OVX103" s="3"/>
      <c r="OVY103" s="3"/>
      <c r="OVZ103" s="3"/>
      <c r="OWA103" s="3"/>
      <c r="OWB103" s="3"/>
      <c r="OWC103" s="3"/>
      <c r="OWD103" s="3"/>
      <c r="OWE103" s="3"/>
      <c r="OWF103" s="3"/>
      <c r="OWG103" s="3"/>
      <c r="OWH103" s="3"/>
      <c r="OWI103" s="3"/>
      <c r="OWJ103" s="3"/>
      <c r="OWK103" s="3"/>
      <c r="OWL103" s="3"/>
      <c r="OWM103" s="3"/>
      <c r="OWN103" s="3"/>
      <c r="OWO103" s="3"/>
      <c r="OWP103" s="3"/>
      <c r="OWQ103" s="3"/>
      <c r="OWR103" s="3"/>
      <c r="OWS103" s="3"/>
      <c r="OWT103" s="3"/>
      <c r="OWU103" s="3"/>
      <c r="OWV103" s="3"/>
      <c r="OWW103" s="3"/>
      <c r="OWX103" s="3"/>
      <c r="OWY103" s="3"/>
      <c r="OWZ103" s="3"/>
      <c r="OXA103" s="3"/>
      <c r="OXB103" s="3"/>
      <c r="OXC103" s="3"/>
      <c r="OXD103" s="3"/>
      <c r="OXE103" s="3"/>
      <c r="OXF103" s="3"/>
      <c r="OXG103" s="3"/>
      <c r="OXH103" s="3"/>
      <c r="OXI103" s="3"/>
      <c r="OXJ103" s="3"/>
      <c r="OXK103" s="3"/>
      <c r="OXL103" s="3"/>
      <c r="OXM103" s="3"/>
      <c r="OXN103" s="3"/>
      <c r="OXO103" s="3"/>
      <c r="OXP103" s="3"/>
      <c r="OXQ103" s="3"/>
      <c r="OXR103" s="3"/>
      <c r="OXS103" s="3"/>
      <c r="OXT103" s="3"/>
      <c r="OXU103" s="3"/>
      <c r="OXV103" s="3"/>
      <c r="OXW103" s="3"/>
      <c r="OXX103" s="3"/>
      <c r="OXY103" s="3"/>
      <c r="OXZ103" s="3"/>
      <c r="OYA103" s="3"/>
      <c r="OYB103" s="3"/>
      <c r="OYC103" s="3"/>
      <c r="OYD103" s="3"/>
      <c r="OYE103" s="3"/>
      <c r="OYF103" s="3"/>
      <c r="OYG103" s="3"/>
      <c r="OYH103" s="3"/>
      <c r="OYI103" s="3"/>
      <c r="OYJ103" s="3"/>
      <c r="OYK103" s="3"/>
      <c r="OYL103" s="3"/>
      <c r="OYM103" s="3"/>
      <c r="OYN103" s="3"/>
      <c r="OYO103" s="3"/>
      <c r="OYP103" s="3"/>
      <c r="OYQ103" s="3"/>
      <c r="OYR103" s="3"/>
      <c r="OYS103" s="3"/>
      <c r="OYT103" s="3"/>
      <c r="OYU103" s="3"/>
      <c r="OYV103" s="3"/>
      <c r="OYW103" s="3"/>
      <c r="OYX103" s="3"/>
      <c r="OYY103" s="3"/>
      <c r="OYZ103" s="3"/>
      <c r="OZA103" s="3"/>
      <c r="OZB103" s="3"/>
      <c r="OZC103" s="3"/>
      <c r="OZD103" s="3"/>
      <c r="OZE103" s="3"/>
      <c r="OZF103" s="3"/>
      <c r="OZG103" s="3"/>
      <c r="OZH103" s="3"/>
      <c r="OZI103" s="3"/>
      <c r="OZJ103" s="3"/>
      <c r="OZK103" s="3"/>
      <c r="OZL103" s="3"/>
      <c r="OZM103" s="3"/>
      <c r="OZN103" s="3"/>
      <c r="OZO103" s="3"/>
      <c r="OZP103" s="3"/>
      <c r="OZQ103" s="3"/>
      <c r="OZR103" s="3"/>
      <c r="OZS103" s="3"/>
      <c r="OZT103" s="3"/>
      <c r="OZU103" s="3"/>
      <c r="OZV103" s="3"/>
      <c r="OZW103" s="3"/>
      <c r="OZX103" s="3"/>
      <c r="OZY103" s="3"/>
      <c r="OZZ103" s="3"/>
      <c r="PAA103" s="3"/>
      <c r="PAB103" s="3"/>
      <c r="PAC103" s="3"/>
      <c r="PAD103" s="3"/>
      <c r="PAE103" s="3"/>
      <c r="PAF103" s="3"/>
      <c r="PAG103" s="3"/>
      <c r="PAH103" s="3"/>
      <c r="PAI103" s="3"/>
      <c r="PAJ103" s="3"/>
      <c r="PAK103" s="3"/>
      <c r="PAL103" s="3"/>
      <c r="PAM103" s="3"/>
      <c r="PAN103" s="3"/>
      <c r="PAO103" s="3"/>
      <c r="PAP103" s="3"/>
      <c r="PAQ103" s="3"/>
      <c r="PAR103" s="3"/>
      <c r="PAS103" s="3"/>
      <c r="PAT103" s="3"/>
      <c r="PAU103" s="3"/>
      <c r="PAV103" s="3"/>
      <c r="PAW103" s="3"/>
      <c r="PAX103" s="3"/>
      <c r="PAY103" s="3"/>
      <c r="PAZ103" s="3"/>
      <c r="PBA103" s="3"/>
      <c r="PBB103" s="3"/>
      <c r="PBC103" s="3"/>
      <c r="PBD103" s="3"/>
      <c r="PBE103" s="3"/>
      <c r="PBF103" s="3"/>
      <c r="PBG103" s="3"/>
      <c r="PBH103" s="3"/>
      <c r="PBI103" s="3"/>
      <c r="PBJ103" s="3"/>
      <c r="PBK103" s="3"/>
      <c r="PBL103" s="3"/>
      <c r="PBM103" s="3"/>
      <c r="PBN103" s="3"/>
      <c r="PBO103" s="3"/>
      <c r="PBP103" s="3"/>
      <c r="PBQ103" s="3"/>
      <c r="PBR103" s="3"/>
      <c r="PBS103" s="3"/>
      <c r="PBT103" s="3"/>
      <c r="PBU103" s="3"/>
      <c r="PBV103" s="3"/>
      <c r="PBW103" s="3"/>
      <c r="PBX103" s="3"/>
      <c r="PBY103" s="3"/>
      <c r="PBZ103" s="3"/>
      <c r="PCA103" s="3"/>
      <c r="PCB103" s="3"/>
      <c r="PCC103" s="3"/>
      <c r="PCD103" s="3"/>
      <c r="PCE103" s="3"/>
      <c r="PCF103" s="3"/>
      <c r="PCG103" s="3"/>
      <c r="PCH103" s="3"/>
      <c r="PCI103" s="3"/>
      <c r="PCJ103" s="3"/>
      <c r="PCK103" s="3"/>
      <c r="PCL103" s="3"/>
      <c r="PCM103" s="3"/>
      <c r="PCN103" s="3"/>
      <c r="PCO103" s="3"/>
      <c r="PCP103" s="3"/>
      <c r="PCQ103" s="3"/>
      <c r="PCR103" s="3"/>
      <c r="PCS103" s="3"/>
      <c r="PCT103" s="3"/>
      <c r="PCU103" s="3"/>
      <c r="PCV103" s="3"/>
      <c r="PCW103" s="3"/>
      <c r="PCX103" s="3"/>
      <c r="PCY103" s="3"/>
      <c r="PCZ103" s="3"/>
      <c r="PDA103" s="3"/>
      <c r="PDB103" s="3"/>
      <c r="PDC103" s="3"/>
      <c r="PDD103" s="3"/>
      <c r="PDE103" s="3"/>
      <c r="PDF103" s="3"/>
      <c r="PDG103" s="3"/>
      <c r="PDH103" s="3"/>
      <c r="PDI103" s="3"/>
      <c r="PDJ103" s="3"/>
      <c r="PDK103" s="3"/>
      <c r="PDL103" s="3"/>
      <c r="PDM103" s="3"/>
      <c r="PDN103" s="3"/>
      <c r="PDO103" s="3"/>
      <c r="PDP103" s="3"/>
      <c r="PDQ103" s="3"/>
      <c r="PDR103" s="3"/>
      <c r="PDS103" s="3"/>
      <c r="PDT103" s="3"/>
      <c r="PDU103" s="3"/>
      <c r="PDV103" s="3"/>
      <c r="PDW103" s="3"/>
      <c r="PDX103" s="3"/>
      <c r="PDY103" s="3"/>
      <c r="PDZ103" s="3"/>
      <c r="PEA103" s="3"/>
      <c r="PEB103" s="3"/>
      <c r="PEC103" s="3"/>
      <c r="PED103" s="3"/>
      <c r="PEE103" s="3"/>
      <c r="PEF103" s="3"/>
      <c r="PEG103" s="3"/>
      <c r="PEH103" s="3"/>
      <c r="PEI103" s="3"/>
      <c r="PEJ103" s="3"/>
      <c r="PEK103" s="3"/>
      <c r="PEL103" s="3"/>
      <c r="PEM103" s="3"/>
      <c r="PEN103" s="3"/>
      <c r="PEO103" s="3"/>
      <c r="PEP103" s="3"/>
      <c r="PEQ103" s="3"/>
      <c r="PER103" s="3"/>
      <c r="PES103" s="3"/>
      <c r="PET103" s="3"/>
      <c r="PEU103" s="3"/>
      <c r="PEV103" s="3"/>
      <c r="PEW103" s="3"/>
      <c r="PEX103" s="3"/>
      <c r="PEY103" s="3"/>
      <c r="PEZ103" s="3"/>
      <c r="PFA103" s="3"/>
      <c r="PFB103" s="3"/>
      <c r="PFC103" s="3"/>
      <c r="PFD103" s="3"/>
      <c r="PFE103" s="3"/>
      <c r="PFF103" s="3"/>
      <c r="PFG103" s="3"/>
      <c r="PFH103" s="3"/>
      <c r="PFI103" s="3"/>
      <c r="PFJ103" s="3"/>
      <c r="PFK103" s="3"/>
      <c r="PFL103" s="3"/>
      <c r="PFM103" s="3"/>
      <c r="PFN103" s="3"/>
      <c r="PFO103" s="3"/>
      <c r="PFP103" s="3"/>
      <c r="PFQ103" s="3"/>
      <c r="PFR103" s="3"/>
      <c r="PFS103" s="3"/>
      <c r="PFT103" s="3"/>
      <c r="PFU103" s="3"/>
      <c r="PFV103" s="3"/>
      <c r="PFW103" s="3"/>
      <c r="PFX103" s="3"/>
      <c r="PFY103" s="3"/>
      <c r="PFZ103" s="3"/>
      <c r="PGA103" s="3"/>
      <c r="PGB103" s="3"/>
      <c r="PGC103" s="3"/>
      <c r="PGD103" s="3"/>
      <c r="PGE103" s="3"/>
      <c r="PGF103" s="3"/>
      <c r="PGG103" s="3"/>
      <c r="PGH103" s="3"/>
      <c r="PGI103" s="3"/>
      <c r="PGJ103" s="3"/>
      <c r="PGK103" s="3"/>
      <c r="PGL103" s="3"/>
      <c r="PGM103" s="3"/>
      <c r="PGN103" s="3"/>
      <c r="PGO103" s="3"/>
      <c r="PGP103" s="3"/>
      <c r="PGQ103" s="3"/>
      <c r="PGR103" s="3"/>
      <c r="PGS103" s="3"/>
      <c r="PGT103" s="3"/>
      <c r="PGU103" s="3"/>
      <c r="PGV103" s="3"/>
      <c r="PGW103" s="3"/>
      <c r="PGX103" s="3"/>
      <c r="PGY103" s="3"/>
      <c r="PGZ103" s="3"/>
      <c r="PHA103" s="3"/>
      <c r="PHB103" s="3"/>
      <c r="PHC103" s="3"/>
      <c r="PHD103" s="3"/>
      <c r="PHE103" s="3"/>
      <c r="PHF103" s="3"/>
      <c r="PHG103" s="3"/>
      <c r="PHH103" s="3"/>
      <c r="PHI103" s="3"/>
      <c r="PHJ103" s="3"/>
      <c r="PHK103" s="3"/>
      <c r="PHL103" s="3"/>
      <c r="PHM103" s="3"/>
      <c r="PHN103" s="3"/>
      <c r="PHO103" s="3"/>
      <c r="PHP103" s="3"/>
      <c r="PHQ103" s="3"/>
      <c r="PHR103" s="3"/>
      <c r="PHS103" s="3"/>
      <c r="PHT103" s="3"/>
      <c r="PHU103" s="3"/>
      <c r="PHV103" s="3"/>
      <c r="PHW103" s="3"/>
      <c r="PHX103" s="3"/>
      <c r="PHY103" s="3"/>
      <c r="PHZ103" s="3"/>
      <c r="PIA103" s="3"/>
      <c r="PIB103" s="3"/>
      <c r="PIC103" s="3"/>
      <c r="PID103" s="3"/>
      <c r="PIE103" s="3"/>
      <c r="PIF103" s="3"/>
      <c r="PIG103" s="3"/>
      <c r="PIH103" s="3"/>
      <c r="PII103" s="3"/>
      <c r="PIJ103" s="3"/>
      <c r="PIK103" s="3"/>
      <c r="PIL103" s="3"/>
      <c r="PIM103" s="3"/>
      <c r="PIN103" s="3"/>
      <c r="PIO103" s="3"/>
      <c r="PIP103" s="3"/>
      <c r="PIQ103" s="3"/>
      <c r="PIR103" s="3"/>
      <c r="PIS103" s="3"/>
      <c r="PIT103" s="3"/>
      <c r="PIU103" s="3"/>
      <c r="PIV103" s="3"/>
      <c r="PIW103" s="3"/>
      <c r="PIX103" s="3"/>
      <c r="PIY103" s="3"/>
      <c r="PIZ103" s="3"/>
      <c r="PJA103" s="3"/>
      <c r="PJB103" s="3"/>
      <c r="PJC103" s="3"/>
      <c r="PJD103" s="3"/>
      <c r="PJE103" s="3"/>
      <c r="PJF103" s="3"/>
      <c r="PJG103" s="3"/>
      <c r="PJH103" s="3"/>
      <c r="PJI103" s="3"/>
      <c r="PJJ103" s="3"/>
      <c r="PJK103" s="3"/>
      <c r="PJL103" s="3"/>
      <c r="PJM103" s="3"/>
      <c r="PJN103" s="3"/>
      <c r="PJO103" s="3"/>
      <c r="PJP103" s="3"/>
      <c r="PJQ103" s="3"/>
      <c r="PJR103" s="3"/>
      <c r="PJS103" s="3"/>
      <c r="PJT103" s="3"/>
      <c r="PJU103" s="3"/>
      <c r="PJV103" s="3"/>
      <c r="PJW103" s="3"/>
      <c r="PJX103" s="3"/>
      <c r="PJY103" s="3"/>
      <c r="PJZ103" s="3"/>
      <c r="PKA103" s="3"/>
      <c r="PKB103" s="3"/>
      <c r="PKC103" s="3"/>
      <c r="PKD103" s="3"/>
      <c r="PKE103" s="3"/>
      <c r="PKF103" s="3"/>
      <c r="PKG103" s="3"/>
      <c r="PKH103" s="3"/>
      <c r="PKI103" s="3"/>
      <c r="PKJ103" s="3"/>
      <c r="PKK103" s="3"/>
      <c r="PKL103" s="3"/>
      <c r="PKM103" s="3"/>
      <c r="PKN103" s="3"/>
      <c r="PKO103" s="3"/>
      <c r="PKP103" s="3"/>
      <c r="PKQ103" s="3"/>
      <c r="PKR103" s="3"/>
      <c r="PKS103" s="3"/>
      <c r="PKT103" s="3"/>
      <c r="PKU103" s="3"/>
      <c r="PKV103" s="3"/>
      <c r="PKW103" s="3"/>
      <c r="PKX103" s="3"/>
      <c r="PKY103" s="3"/>
      <c r="PKZ103" s="3"/>
      <c r="PLA103" s="3"/>
      <c r="PLB103" s="3"/>
      <c r="PLC103" s="3"/>
      <c r="PLD103" s="3"/>
      <c r="PLE103" s="3"/>
      <c r="PLF103" s="3"/>
      <c r="PLG103" s="3"/>
      <c r="PLH103" s="3"/>
      <c r="PLI103" s="3"/>
      <c r="PLJ103" s="3"/>
      <c r="PLK103" s="3"/>
      <c r="PLL103" s="3"/>
      <c r="PLM103" s="3"/>
      <c r="PLN103" s="3"/>
      <c r="PLO103" s="3"/>
      <c r="PLP103" s="3"/>
      <c r="PLQ103" s="3"/>
      <c r="PLR103" s="3"/>
      <c r="PLS103" s="3"/>
      <c r="PLT103" s="3"/>
      <c r="PLU103" s="3"/>
      <c r="PLV103" s="3"/>
      <c r="PLW103" s="3"/>
      <c r="PLX103" s="3"/>
      <c r="PLY103" s="3"/>
      <c r="PLZ103" s="3"/>
      <c r="PMA103" s="3"/>
      <c r="PMB103" s="3"/>
      <c r="PMC103" s="3"/>
      <c r="PMD103" s="3"/>
      <c r="PME103" s="3"/>
      <c r="PMF103" s="3"/>
      <c r="PMG103" s="3"/>
      <c r="PMH103" s="3"/>
      <c r="PMI103" s="3"/>
      <c r="PMJ103" s="3"/>
      <c r="PMK103" s="3"/>
      <c r="PML103" s="3"/>
      <c r="PMM103" s="3"/>
      <c r="PMN103" s="3"/>
      <c r="PMO103" s="3"/>
      <c r="PMP103" s="3"/>
      <c r="PMQ103" s="3"/>
      <c r="PMR103" s="3"/>
      <c r="PMS103" s="3"/>
      <c r="PMT103" s="3"/>
      <c r="PMU103" s="3"/>
      <c r="PMV103" s="3"/>
      <c r="PMW103" s="3"/>
      <c r="PMX103" s="3"/>
      <c r="PMY103" s="3"/>
      <c r="PMZ103" s="3"/>
      <c r="PNA103" s="3"/>
      <c r="PNB103" s="3"/>
      <c r="PNC103" s="3"/>
      <c r="PND103" s="3"/>
      <c r="PNE103" s="3"/>
      <c r="PNF103" s="3"/>
      <c r="PNG103" s="3"/>
      <c r="PNH103" s="3"/>
      <c r="PNI103" s="3"/>
      <c r="PNJ103" s="3"/>
      <c r="PNK103" s="3"/>
      <c r="PNL103" s="3"/>
      <c r="PNM103" s="3"/>
      <c r="PNN103" s="3"/>
      <c r="PNO103" s="3"/>
      <c r="PNP103" s="3"/>
      <c r="PNQ103" s="3"/>
      <c r="PNR103" s="3"/>
      <c r="PNS103" s="3"/>
      <c r="PNT103" s="3"/>
      <c r="PNU103" s="3"/>
      <c r="PNV103" s="3"/>
      <c r="PNW103" s="3"/>
      <c r="PNX103" s="3"/>
      <c r="PNY103" s="3"/>
      <c r="PNZ103" s="3"/>
      <c r="POA103" s="3"/>
      <c r="POB103" s="3"/>
      <c r="POC103" s="3"/>
      <c r="POD103" s="3"/>
      <c r="POE103" s="3"/>
      <c r="POF103" s="3"/>
      <c r="POG103" s="3"/>
      <c r="POH103" s="3"/>
      <c r="POI103" s="3"/>
      <c r="POJ103" s="3"/>
      <c r="POK103" s="3"/>
      <c r="POL103" s="3"/>
      <c r="POM103" s="3"/>
      <c r="PON103" s="3"/>
      <c r="POO103" s="3"/>
      <c r="POP103" s="3"/>
      <c r="POQ103" s="3"/>
      <c r="POR103" s="3"/>
      <c r="POS103" s="3"/>
      <c r="POT103" s="3"/>
      <c r="POU103" s="3"/>
      <c r="POV103" s="3"/>
      <c r="POW103" s="3"/>
      <c r="POX103" s="3"/>
      <c r="POY103" s="3"/>
      <c r="POZ103" s="3"/>
      <c r="PPA103" s="3"/>
      <c r="PPB103" s="3"/>
      <c r="PPC103" s="3"/>
      <c r="PPD103" s="3"/>
      <c r="PPE103" s="3"/>
      <c r="PPF103" s="3"/>
      <c r="PPG103" s="3"/>
      <c r="PPH103" s="3"/>
      <c r="PPI103" s="3"/>
      <c r="PPJ103" s="3"/>
      <c r="PPK103" s="3"/>
      <c r="PPL103" s="3"/>
      <c r="PPM103" s="3"/>
      <c r="PPN103" s="3"/>
      <c r="PPO103" s="3"/>
      <c r="PPP103" s="3"/>
      <c r="PPQ103" s="3"/>
      <c r="PPR103" s="3"/>
      <c r="PPS103" s="3"/>
      <c r="PPT103" s="3"/>
      <c r="PPU103" s="3"/>
      <c r="PPV103" s="3"/>
      <c r="PPW103" s="3"/>
      <c r="PPX103" s="3"/>
      <c r="PPY103" s="3"/>
      <c r="PPZ103" s="3"/>
      <c r="PQA103" s="3"/>
      <c r="PQB103" s="3"/>
      <c r="PQC103" s="3"/>
      <c r="PQD103" s="3"/>
      <c r="PQE103" s="3"/>
      <c r="PQF103" s="3"/>
      <c r="PQG103" s="3"/>
      <c r="PQH103" s="3"/>
      <c r="PQI103" s="3"/>
      <c r="PQJ103" s="3"/>
      <c r="PQK103" s="3"/>
      <c r="PQL103" s="3"/>
      <c r="PQM103" s="3"/>
      <c r="PQN103" s="3"/>
      <c r="PQO103" s="3"/>
      <c r="PQP103" s="3"/>
      <c r="PQQ103" s="3"/>
      <c r="PQR103" s="3"/>
      <c r="PQS103" s="3"/>
      <c r="PQT103" s="3"/>
      <c r="PQU103" s="3"/>
      <c r="PQV103" s="3"/>
      <c r="PQW103" s="3"/>
      <c r="PQX103" s="3"/>
      <c r="PQY103" s="3"/>
      <c r="PQZ103" s="3"/>
      <c r="PRA103" s="3"/>
      <c r="PRB103" s="3"/>
      <c r="PRC103" s="3"/>
      <c r="PRD103" s="3"/>
      <c r="PRE103" s="3"/>
      <c r="PRF103" s="3"/>
      <c r="PRG103" s="3"/>
      <c r="PRH103" s="3"/>
      <c r="PRI103" s="3"/>
      <c r="PRJ103" s="3"/>
      <c r="PRK103" s="3"/>
      <c r="PRL103" s="3"/>
      <c r="PRM103" s="3"/>
      <c r="PRN103" s="3"/>
      <c r="PRO103" s="3"/>
      <c r="PRP103" s="3"/>
      <c r="PRQ103" s="3"/>
      <c r="PRR103" s="3"/>
      <c r="PRS103" s="3"/>
      <c r="PRT103" s="3"/>
      <c r="PRU103" s="3"/>
      <c r="PRV103" s="3"/>
      <c r="PRW103" s="3"/>
      <c r="PRX103" s="3"/>
      <c r="PRY103" s="3"/>
      <c r="PRZ103" s="3"/>
      <c r="PSA103" s="3"/>
      <c r="PSB103" s="3"/>
      <c r="PSC103" s="3"/>
      <c r="PSD103" s="3"/>
      <c r="PSE103" s="3"/>
      <c r="PSF103" s="3"/>
      <c r="PSG103" s="3"/>
      <c r="PSH103" s="3"/>
      <c r="PSI103" s="3"/>
      <c r="PSJ103" s="3"/>
      <c r="PSK103" s="3"/>
      <c r="PSL103" s="3"/>
      <c r="PSM103" s="3"/>
      <c r="PSN103" s="3"/>
      <c r="PSO103" s="3"/>
      <c r="PSP103" s="3"/>
      <c r="PSQ103" s="3"/>
      <c r="PSR103" s="3"/>
      <c r="PSS103" s="3"/>
      <c r="PST103" s="3"/>
      <c r="PSU103" s="3"/>
      <c r="PSV103" s="3"/>
      <c r="PSW103" s="3"/>
      <c r="PSX103" s="3"/>
      <c r="PSY103" s="3"/>
      <c r="PSZ103" s="3"/>
      <c r="PTA103" s="3"/>
      <c r="PTB103" s="3"/>
      <c r="PTC103" s="3"/>
      <c r="PTD103" s="3"/>
      <c r="PTE103" s="3"/>
      <c r="PTF103" s="3"/>
      <c r="PTG103" s="3"/>
      <c r="PTH103" s="3"/>
      <c r="PTI103" s="3"/>
      <c r="PTJ103" s="3"/>
      <c r="PTK103" s="3"/>
      <c r="PTL103" s="3"/>
      <c r="PTM103" s="3"/>
      <c r="PTN103" s="3"/>
      <c r="PTO103" s="3"/>
      <c r="PTP103" s="3"/>
      <c r="PTQ103" s="3"/>
      <c r="PTR103" s="3"/>
      <c r="PTS103" s="3"/>
      <c r="PTT103" s="3"/>
      <c r="PTU103" s="3"/>
      <c r="PTV103" s="3"/>
      <c r="PTW103" s="3"/>
      <c r="PTX103" s="3"/>
      <c r="PTY103" s="3"/>
      <c r="PTZ103" s="3"/>
      <c r="PUA103" s="3"/>
      <c r="PUB103" s="3"/>
      <c r="PUC103" s="3"/>
      <c r="PUD103" s="3"/>
      <c r="PUE103" s="3"/>
      <c r="PUF103" s="3"/>
      <c r="PUG103" s="3"/>
      <c r="PUH103" s="3"/>
      <c r="PUI103" s="3"/>
      <c r="PUJ103" s="3"/>
      <c r="PUK103" s="3"/>
      <c r="PUL103" s="3"/>
      <c r="PUM103" s="3"/>
      <c r="PUN103" s="3"/>
      <c r="PUO103" s="3"/>
      <c r="PUP103" s="3"/>
      <c r="PUQ103" s="3"/>
      <c r="PUR103" s="3"/>
      <c r="PUS103" s="3"/>
      <c r="PUT103" s="3"/>
      <c r="PUU103" s="3"/>
      <c r="PUV103" s="3"/>
      <c r="PUW103" s="3"/>
      <c r="PUX103" s="3"/>
      <c r="PUY103" s="3"/>
      <c r="PUZ103" s="3"/>
      <c r="PVA103" s="3"/>
      <c r="PVB103" s="3"/>
      <c r="PVC103" s="3"/>
      <c r="PVD103" s="3"/>
      <c r="PVE103" s="3"/>
      <c r="PVF103" s="3"/>
      <c r="PVG103" s="3"/>
      <c r="PVH103" s="3"/>
      <c r="PVI103" s="3"/>
      <c r="PVJ103" s="3"/>
      <c r="PVK103" s="3"/>
      <c r="PVL103" s="3"/>
      <c r="PVM103" s="3"/>
      <c r="PVN103" s="3"/>
      <c r="PVO103" s="3"/>
      <c r="PVP103" s="3"/>
      <c r="PVQ103" s="3"/>
      <c r="PVR103" s="3"/>
      <c r="PVS103" s="3"/>
      <c r="PVT103" s="3"/>
      <c r="PVU103" s="3"/>
      <c r="PVV103" s="3"/>
      <c r="PVW103" s="3"/>
      <c r="PVX103" s="3"/>
      <c r="PVY103" s="3"/>
      <c r="PVZ103" s="3"/>
      <c r="PWA103" s="3"/>
      <c r="PWB103" s="3"/>
      <c r="PWC103" s="3"/>
      <c r="PWD103" s="3"/>
      <c r="PWE103" s="3"/>
      <c r="PWF103" s="3"/>
      <c r="PWG103" s="3"/>
      <c r="PWH103" s="3"/>
      <c r="PWI103" s="3"/>
      <c r="PWJ103" s="3"/>
      <c r="PWK103" s="3"/>
      <c r="PWL103" s="3"/>
      <c r="PWM103" s="3"/>
      <c r="PWN103" s="3"/>
      <c r="PWO103" s="3"/>
      <c r="PWP103" s="3"/>
      <c r="PWQ103" s="3"/>
      <c r="PWR103" s="3"/>
      <c r="PWS103" s="3"/>
      <c r="PWT103" s="3"/>
      <c r="PWU103" s="3"/>
      <c r="PWV103" s="3"/>
      <c r="PWW103" s="3"/>
      <c r="PWX103" s="3"/>
      <c r="PWY103" s="3"/>
      <c r="PWZ103" s="3"/>
      <c r="PXA103" s="3"/>
      <c r="PXB103" s="3"/>
      <c r="PXC103" s="3"/>
      <c r="PXD103" s="3"/>
      <c r="PXE103" s="3"/>
      <c r="PXF103" s="3"/>
      <c r="PXG103" s="3"/>
      <c r="PXH103" s="3"/>
      <c r="PXI103" s="3"/>
      <c r="PXJ103" s="3"/>
      <c r="PXK103" s="3"/>
      <c r="PXL103" s="3"/>
      <c r="PXM103" s="3"/>
      <c r="PXN103" s="3"/>
      <c r="PXO103" s="3"/>
      <c r="PXP103" s="3"/>
      <c r="PXQ103" s="3"/>
      <c r="PXR103" s="3"/>
      <c r="PXS103" s="3"/>
      <c r="PXT103" s="3"/>
      <c r="PXU103" s="3"/>
      <c r="PXV103" s="3"/>
      <c r="PXW103" s="3"/>
      <c r="PXX103" s="3"/>
      <c r="PXY103" s="3"/>
      <c r="PXZ103" s="3"/>
      <c r="PYA103" s="3"/>
      <c r="PYB103" s="3"/>
      <c r="PYC103" s="3"/>
      <c r="PYD103" s="3"/>
      <c r="PYE103" s="3"/>
      <c r="PYF103" s="3"/>
      <c r="PYG103" s="3"/>
      <c r="PYH103" s="3"/>
      <c r="PYI103" s="3"/>
      <c r="PYJ103" s="3"/>
      <c r="PYK103" s="3"/>
      <c r="PYL103" s="3"/>
      <c r="PYM103" s="3"/>
      <c r="PYN103" s="3"/>
      <c r="PYO103" s="3"/>
      <c r="PYP103" s="3"/>
      <c r="PYQ103" s="3"/>
      <c r="PYR103" s="3"/>
      <c r="PYS103" s="3"/>
      <c r="PYT103" s="3"/>
      <c r="PYU103" s="3"/>
      <c r="PYV103" s="3"/>
      <c r="PYW103" s="3"/>
      <c r="PYX103" s="3"/>
      <c r="PYY103" s="3"/>
      <c r="PYZ103" s="3"/>
      <c r="PZA103" s="3"/>
      <c r="PZB103" s="3"/>
      <c r="PZC103" s="3"/>
      <c r="PZD103" s="3"/>
      <c r="PZE103" s="3"/>
      <c r="PZF103" s="3"/>
      <c r="PZG103" s="3"/>
      <c r="PZH103" s="3"/>
      <c r="PZI103" s="3"/>
      <c r="PZJ103" s="3"/>
      <c r="PZK103" s="3"/>
      <c r="PZL103" s="3"/>
      <c r="PZM103" s="3"/>
      <c r="PZN103" s="3"/>
      <c r="PZO103" s="3"/>
      <c r="PZP103" s="3"/>
      <c r="PZQ103" s="3"/>
      <c r="PZR103" s="3"/>
      <c r="PZS103" s="3"/>
      <c r="PZT103" s="3"/>
      <c r="PZU103" s="3"/>
      <c r="PZV103" s="3"/>
      <c r="PZW103" s="3"/>
      <c r="PZX103" s="3"/>
      <c r="PZY103" s="3"/>
      <c r="PZZ103" s="3"/>
      <c r="QAA103" s="3"/>
      <c r="QAB103" s="3"/>
      <c r="QAC103" s="3"/>
      <c r="QAD103" s="3"/>
      <c r="QAE103" s="3"/>
      <c r="QAF103" s="3"/>
      <c r="QAG103" s="3"/>
      <c r="QAH103" s="3"/>
      <c r="QAI103" s="3"/>
      <c r="QAJ103" s="3"/>
      <c r="QAK103" s="3"/>
      <c r="QAL103" s="3"/>
      <c r="QAM103" s="3"/>
      <c r="QAN103" s="3"/>
      <c r="QAO103" s="3"/>
      <c r="QAP103" s="3"/>
      <c r="QAQ103" s="3"/>
      <c r="QAR103" s="3"/>
      <c r="QAS103" s="3"/>
      <c r="QAT103" s="3"/>
      <c r="QAU103" s="3"/>
      <c r="QAV103" s="3"/>
      <c r="QAW103" s="3"/>
      <c r="QAX103" s="3"/>
      <c r="QAY103" s="3"/>
      <c r="QAZ103" s="3"/>
      <c r="QBA103" s="3"/>
      <c r="QBB103" s="3"/>
      <c r="QBC103" s="3"/>
      <c r="QBD103" s="3"/>
      <c r="QBE103" s="3"/>
      <c r="QBF103" s="3"/>
      <c r="QBG103" s="3"/>
      <c r="QBH103" s="3"/>
      <c r="QBI103" s="3"/>
      <c r="QBJ103" s="3"/>
      <c r="QBK103" s="3"/>
      <c r="QBL103" s="3"/>
      <c r="QBM103" s="3"/>
      <c r="QBN103" s="3"/>
      <c r="QBO103" s="3"/>
      <c r="QBP103" s="3"/>
      <c r="QBQ103" s="3"/>
      <c r="QBR103" s="3"/>
      <c r="QBS103" s="3"/>
      <c r="QBT103" s="3"/>
      <c r="QBU103" s="3"/>
      <c r="QBV103" s="3"/>
      <c r="QBW103" s="3"/>
      <c r="QBX103" s="3"/>
      <c r="QBY103" s="3"/>
      <c r="QBZ103" s="3"/>
      <c r="QCA103" s="3"/>
      <c r="QCB103" s="3"/>
      <c r="QCC103" s="3"/>
      <c r="QCD103" s="3"/>
      <c r="QCE103" s="3"/>
      <c r="QCF103" s="3"/>
      <c r="QCG103" s="3"/>
      <c r="QCH103" s="3"/>
      <c r="QCI103" s="3"/>
      <c r="QCJ103" s="3"/>
      <c r="QCK103" s="3"/>
      <c r="QCL103" s="3"/>
      <c r="QCM103" s="3"/>
      <c r="QCN103" s="3"/>
      <c r="QCO103" s="3"/>
      <c r="QCP103" s="3"/>
      <c r="QCQ103" s="3"/>
      <c r="QCR103" s="3"/>
      <c r="QCS103" s="3"/>
      <c r="QCT103" s="3"/>
      <c r="QCU103" s="3"/>
      <c r="QCV103" s="3"/>
      <c r="QCW103" s="3"/>
      <c r="QCX103" s="3"/>
      <c r="QCY103" s="3"/>
      <c r="QCZ103" s="3"/>
      <c r="QDA103" s="3"/>
      <c r="QDB103" s="3"/>
      <c r="QDC103" s="3"/>
      <c r="QDD103" s="3"/>
      <c r="QDE103" s="3"/>
      <c r="QDF103" s="3"/>
      <c r="QDG103" s="3"/>
      <c r="QDH103" s="3"/>
      <c r="QDI103" s="3"/>
      <c r="QDJ103" s="3"/>
      <c r="QDK103" s="3"/>
      <c r="QDL103" s="3"/>
      <c r="QDM103" s="3"/>
      <c r="QDN103" s="3"/>
      <c r="QDO103" s="3"/>
      <c r="QDP103" s="3"/>
      <c r="QDQ103" s="3"/>
      <c r="QDR103" s="3"/>
      <c r="QDS103" s="3"/>
      <c r="QDT103" s="3"/>
      <c r="QDU103" s="3"/>
      <c r="QDV103" s="3"/>
      <c r="QDW103" s="3"/>
      <c r="QDX103" s="3"/>
      <c r="QDY103" s="3"/>
      <c r="QDZ103" s="3"/>
      <c r="QEA103" s="3"/>
      <c r="QEB103" s="3"/>
      <c r="QEC103" s="3"/>
      <c r="QED103" s="3"/>
      <c r="QEE103" s="3"/>
      <c r="QEF103" s="3"/>
      <c r="QEG103" s="3"/>
      <c r="QEH103" s="3"/>
      <c r="QEI103" s="3"/>
      <c r="QEJ103" s="3"/>
      <c r="QEK103" s="3"/>
      <c r="QEL103" s="3"/>
      <c r="QEM103" s="3"/>
      <c r="QEN103" s="3"/>
      <c r="QEO103" s="3"/>
      <c r="QEP103" s="3"/>
      <c r="QEQ103" s="3"/>
      <c r="QER103" s="3"/>
      <c r="QES103" s="3"/>
      <c r="QET103" s="3"/>
      <c r="QEU103" s="3"/>
      <c r="QEV103" s="3"/>
      <c r="QEW103" s="3"/>
      <c r="QEX103" s="3"/>
      <c r="QEY103" s="3"/>
      <c r="QEZ103" s="3"/>
      <c r="QFA103" s="3"/>
      <c r="QFB103" s="3"/>
      <c r="QFC103" s="3"/>
      <c r="QFD103" s="3"/>
      <c r="QFE103" s="3"/>
      <c r="QFF103" s="3"/>
      <c r="QFG103" s="3"/>
      <c r="QFH103" s="3"/>
      <c r="QFI103" s="3"/>
      <c r="QFJ103" s="3"/>
      <c r="QFK103" s="3"/>
      <c r="QFL103" s="3"/>
      <c r="QFM103" s="3"/>
      <c r="QFN103" s="3"/>
      <c r="QFO103" s="3"/>
      <c r="QFP103" s="3"/>
      <c r="QFQ103" s="3"/>
      <c r="QFR103" s="3"/>
      <c r="QFS103" s="3"/>
      <c r="QFT103" s="3"/>
      <c r="QFU103" s="3"/>
      <c r="QFV103" s="3"/>
      <c r="QFW103" s="3"/>
      <c r="QFX103" s="3"/>
      <c r="QFY103" s="3"/>
      <c r="QFZ103" s="3"/>
      <c r="QGA103" s="3"/>
      <c r="QGB103" s="3"/>
      <c r="QGC103" s="3"/>
      <c r="QGD103" s="3"/>
      <c r="QGE103" s="3"/>
      <c r="QGF103" s="3"/>
      <c r="QGG103" s="3"/>
      <c r="QGH103" s="3"/>
      <c r="QGI103" s="3"/>
      <c r="QGJ103" s="3"/>
      <c r="QGK103" s="3"/>
      <c r="QGL103" s="3"/>
      <c r="QGM103" s="3"/>
      <c r="QGN103" s="3"/>
      <c r="QGO103" s="3"/>
      <c r="QGP103" s="3"/>
      <c r="QGQ103" s="3"/>
      <c r="QGR103" s="3"/>
      <c r="QGS103" s="3"/>
      <c r="QGT103" s="3"/>
      <c r="QGU103" s="3"/>
      <c r="QGV103" s="3"/>
      <c r="QGW103" s="3"/>
      <c r="QGX103" s="3"/>
      <c r="QGY103" s="3"/>
      <c r="QGZ103" s="3"/>
      <c r="QHA103" s="3"/>
      <c r="QHB103" s="3"/>
      <c r="QHC103" s="3"/>
      <c r="QHD103" s="3"/>
      <c r="QHE103" s="3"/>
      <c r="QHF103" s="3"/>
      <c r="QHG103" s="3"/>
      <c r="QHH103" s="3"/>
      <c r="QHI103" s="3"/>
      <c r="QHJ103" s="3"/>
      <c r="QHK103" s="3"/>
      <c r="QHL103" s="3"/>
      <c r="QHM103" s="3"/>
      <c r="QHN103" s="3"/>
      <c r="QHO103" s="3"/>
      <c r="QHP103" s="3"/>
      <c r="QHQ103" s="3"/>
      <c r="QHR103" s="3"/>
      <c r="QHS103" s="3"/>
      <c r="QHT103" s="3"/>
      <c r="QHU103" s="3"/>
      <c r="QHV103" s="3"/>
      <c r="QHW103" s="3"/>
      <c r="QHX103" s="3"/>
      <c r="QHY103" s="3"/>
      <c r="QHZ103" s="3"/>
      <c r="QIA103" s="3"/>
      <c r="QIB103" s="3"/>
      <c r="QIC103" s="3"/>
      <c r="QID103" s="3"/>
      <c r="QIE103" s="3"/>
      <c r="QIF103" s="3"/>
      <c r="QIG103" s="3"/>
      <c r="QIH103" s="3"/>
      <c r="QII103" s="3"/>
      <c r="QIJ103" s="3"/>
      <c r="QIK103" s="3"/>
      <c r="QIL103" s="3"/>
      <c r="QIM103" s="3"/>
      <c r="QIN103" s="3"/>
      <c r="QIO103" s="3"/>
      <c r="QIP103" s="3"/>
      <c r="QIQ103" s="3"/>
      <c r="QIR103" s="3"/>
      <c r="QIS103" s="3"/>
      <c r="QIT103" s="3"/>
      <c r="QIU103" s="3"/>
      <c r="QIV103" s="3"/>
      <c r="QIW103" s="3"/>
      <c r="QIX103" s="3"/>
      <c r="QIY103" s="3"/>
      <c r="QIZ103" s="3"/>
      <c r="QJA103" s="3"/>
      <c r="QJB103" s="3"/>
      <c r="QJC103" s="3"/>
      <c r="QJD103" s="3"/>
      <c r="QJE103" s="3"/>
      <c r="QJF103" s="3"/>
      <c r="QJG103" s="3"/>
      <c r="QJH103" s="3"/>
      <c r="QJI103" s="3"/>
      <c r="QJJ103" s="3"/>
      <c r="QJK103" s="3"/>
      <c r="QJL103" s="3"/>
      <c r="QJM103" s="3"/>
      <c r="QJN103" s="3"/>
      <c r="QJO103" s="3"/>
      <c r="QJP103" s="3"/>
      <c r="QJQ103" s="3"/>
      <c r="QJR103" s="3"/>
      <c r="QJS103" s="3"/>
      <c r="QJT103" s="3"/>
      <c r="QJU103" s="3"/>
      <c r="QJV103" s="3"/>
      <c r="QJW103" s="3"/>
      <c r="QJX103" s="3"/>
      <c r="QJY103" s="3"/>
      <c r="QJZ103" s="3"/>
      <c r="QKA103" s="3"/>
      <c r="QKB103" s="3"/>
      <c r="QKC103" s="3"/>
      <c r="QKD103" s="3"/>
      <c r="QKE103" s="3"/>
      <c r="QKF103" s="3"/>
      <c r="QKG103" s="3"/>
      <c r="QKH103" s="3"/>
      <c r="QKI103" s="3"/>
      <c r="QKJ103" s="3"/>
      <c r="QKK103" s="3"/>
      <c r="QKL103" s="3"/>
      <c r="QKM103" s="3"/>
      <c r="QKN103" s="3"/>
      <c r="QKO103" s="3"/>
      <c r="QKP103" s="3"/>
      <c r="QKQ103" s="3"/>
      <c r="QKR103" s="3"/>
      <c r="QKS103" s="3"/>
      <c r="QKT103" s="3"/>
      <c r="QKU103" s="3"/>
      <c r="QKV103" s="3"/>
      <c r="QKW103" s="3"/>
      <c r="QKX103" s="3"/>
      <c r="QKY103" s="3"/>
      <c r="QKZ103" s="3"/>
      <c r="QLA103" s="3"/>
      <c r="QLB103" s="3"/>
      <c r="QLC103" s="3"/>
      <c r="QLD103" s="3"/>
      <c r="QLE103" s="3"/>
      <c r="QLF103" s="3"/>
      <c r="QLG103" s="3"/>
      <c r="QLH103" s="3"/>
      <c r="QLI103" s="3"/>
      <c r="QLJ103" s="3"/>
      <c r="QLK103" s="3"/>
      <c r="QLL103" s="3"/>
      <c r="QLM103" s="3"/>
      <c r="QLN103" s="3"/>
      <c r="QLO103" s="3"/>
      <c r="QLP103" s="3"/>
      <c r="QLQ103" s="3"/>
      <c r="QLR103" s="3"/>
      <c r="QLS103" s="3"/>
      <c r="QLT103" s="3"/>
      <c r="QLU103" s="3"/>
      <c r="QLV103" s="3"/>
      <c r="QLW103" s="3"/>
      <c r="QLX103" s="3"/>
      <c r="QLY103" s="3"/>
      <c r="QLZ103" s="3"/>
      <c r="QMA103" s="3"/>
      <c r="QMB103" s="3"/>
      <c r="QMC103" s="3"/>
      <c r="QMD103" s="3"/>
      <c r="QME103" s="3"/>
      <c r="QMF103" s="3"/>
      <c r="QMG103" s="3"/>
      <c r="QMH103" s="3"/>
      <c r="QMI103" s="3"/>
      <c r="QMJ103" s="3"/>
      <c r="QMK103" s="3"/>
      <c r="QML103" s="3"/>
      <c r="QMM103" s="3"/>
      <c r="QMN103" s="3"/>
      <c r="QMO103" s="3"/>
      <c r="QMP103" s="3"/>
      <c r="QMQ103" s="3"/>
      <c r="QMR103" s="3"/>
      <c r="QMS103" s="3"/>
      <c r="QMT103" s="3"/>
      <c r="QMU103" s="3"/>
      <c r="QMV103" s="3"/>
      <c r="QMW103" s="3"/>
      <c r="QMX103" s="3"/>
      <c r="QMY103" s="3"/>
      <c r="QMZ103" s="3"/>
      <c r="QNA103" s="3"/>
      <c r="QNB103" s="3"/>
      <c r="QNC103" s="3"/>
      <c r="QND103" s="3"/>
      <c r="QNE103" s="3"/>
      <c r="QNF103" s="3"/>
      <c r="QNG103" s="3"/>
      <c r="QNH103" s="3"/>
      <c r="QNI103" s="3"/>
      <c r="QNJ103" s="3"/>
      <c r="QNK103" s="3"/>
      <c r="QNL103" s="3"/>
      <c r="QNM103" s="3"/>
      <c r="QNN103" s="3"/>
      <c r="QNO103" s="3"/>
      <c r="QNP103" s="3"/>
      <c r="QNQ103" s="3"/>
      <c r="QNR103" s="3"/>
      <c r="QNS103" s="3"/>
      <c r="QNT103" s="3"/>
      <c r="QNU103" s="3"/>
      <c r="QNV103" s="3"/>
      <c r="QNW103" s="3"/>
      <c r="QNX103" s="3"/>
      <c r="QNY103" s="3"/>
      <c r="QNZ103" s="3"/>
      <c r="QOA103" s="3"/>
      <c r="QOB103" s="3"/>
      <c r="QOC103" s="3"/>
      <c r="QOD103" s="3"/>
      <c r="QOE103" s="3"/>
      <c r="QOF103" s="3"/>
      <c r="QOG103" s="3"/>
      <c r="QOH103" s="3"/>
      <c r="QOI103" s="3"/>
      <c r="QOJ103" s="3"/>
      <c r="QOK103" s="3"/>
      <c r="QOL103" s="3"/>
      <c r="QOM103" s="3"/>
      <c r="QON103" s="3"/>
      <c r="QOO103" s="3"/>
      <c r="QOP103" s="3"/>
      <c r="QOQ103" s="3"/>
      <c r="QOR103" s="3"/>
      <c r="QOS103" s="3"/>
      <c r="QOT103" s="3"/>
      <c r="QOU103" s="3"/>
      <c r="QOV103" s="3"/>
      <c r="QOW103" s="3"/>
      <c r="QOX103" s="3"/>
      <c r="QOY103" s="3"/>
      <c r="QOZ103" s="3"/>
      <c r="QPA103" s="3"/>
      <c r="QPB103" s="3"/>
      <c r="QPC103" s="3"/>
      <c r="QPD103" s="3"/>
      <c r="QPE103" s="3"/>
      <c r="QPF103" s="3"/>
      <c r="QPG103" s="3"/>
      <c r="QPH103" s="3"/>
      <c r="QPI103" s="3"/>
      <c r="QPJ103" s="3"/>
      <c r="QPK103" s="3"/>
      <c r="QPL103" s="3"/>
      <c r="QPM103" s="3"/>
      <c r="QPN103" s="3"/>
      <c r="QPO103" s="3"/>
      <c r="QPP103" s="3"/>
      <c r="QPQ103" s="3"/>
      <c r="QPR103" s="3"/>
      <c r="QPS103" s="3"/>
      <c r="QPT103" s="3"/>
      <c r="QPU103" s="3"/>
      <c r="QPV103" s="3"/>
      <c r="QPW103" s="3"/>
      <c r="QPX103" s="3"/>
      <c r="QPY103" s="3"/>
      <c r="QPZ103" s="3"/>
      <c r="QQA103" s="3"/>
      <c r="QQB103" s="3"/>
      <c r="QQC103" s="3"/>
      <c r="QQD103" s="3"/>
      <c r="QQE103" s="3"/>
      <c r="QQF103" s="3"/>
      <c r="QQG103" s="3"/>
      <c r="QQH103" s="3"/>
      <c r="QQI103" s="3"/>
      <c r="QQJ103" s="3"/>
      <c r="QQK103" s="3"/>
      <c r="QQL103" s="3"/>
      <c r="QQM103" s="3"/>
      <c r="QQN103" s="3"/>
      <c r="QQO103" s="3"/>
      <c r="QQP103" s="3"/>
      <c r="QQQ103" s="3"/>
      <c r="QQR103" s="3"/>
      <c r="QQS103" s="3"/>
      <c r="QQT103" s="3"/>
      <c r="QQU103" s="3"/>
      <c r="QQV103" s="3"/>
      <c r="QQW103" s="3"/>
      <c r="QQX103" s="3"/>
      <c r="QQY103" s="3"/>
      <c r="QQZ103" s="3"/>
      <c r="QRA103" s="3"/>
      <c r="QRB103" s="3"/>
      <c r="QRC103" s="3"/>
      <c r="QRD103" s="3"/>
      <c r="QRE103" s="3"/>
      <c r="QRF103" s="3"/>
      <c r="QRG103" s="3"/>
      <c r="QRH103" s="3"/>
      <c r="QRI103" s="3"/>
      <c r="QRJ103" s="3"/>
      <c r="QRK103" s="3"/>
      <c r="QRL103" s="3"/>
      <c r="QRM103" s="3"/>
      <c r="QRN103" s="3"/>
      <c r="QRO103" s="3"/>
      <c r="QRP103" s="3"/>
      <c r="QRQ103" s="3"/>
      <c r="QRR103" s="3"/>
      <c r="QRS103" s="3"/>
      <c r="QRT103" s="3"/>
      <c r="QRU103" s="3"/>
      <c r="QRV103" s="3"/>
      <c r="QRW103" s="3"/>
      <c r="QRX103" s="3"/>
      <c r="QRY103" s="3"/>
      <c r="QRZ103" s="3"/>
      <c r="QSA103" s="3"/>
      <c r="QSB103" s="3"/>
      <c r="QSC103" s="3"/>
      <c r="QSD103" s="3"/>
      <c r="QSE103" s="3"/>
      <c r="QSF103" s="3"/>
      <c r="QSG103" s="3"/>
      <c r="QSH103" s="3"/>
      <c r="QSI103" s="3"/>
      <c r="QSJ103" s="3"/>
      <c r="QSK103" s="3"/>
      <c r="QSL103" s="3"/>
      <c r="QSM103" s="3"/>
      <c r="QSN103" s="3"/>
      <c r="QSO103" s="3"/>
      <c r="QSP103" s="3"/>
      <c r="QSQ103" s="3"/>
      <c r="QSR103" s="3"/>
      <c r="QSS103" s="3"/>
      <c r="QST103" s="3"/>
      <c r="QSU103" s="3"/>
      <c r="QSV103" s="3"/>
      <c r="QSW103" s="3"/>
      <c r="QSX103" s="3"/>
      <c r="QSY103" s="3"/>
      <c r="QSZ103" s="3"/>
      <c r="QTA103" s="3"/>
      <c r="QTB103" s="3"/>
      <c r="QTC103" s="3"/>
      <c r="QTD103" s="3"/>
      <c r="QTE103" s="3"/>
      <c r="QTF103" s="3"/>
      <c r="QTG103" s="3"/>
      <c r="QTH103" s="3"/>
      <c r="QTI103" s="3"/>
      <c r="QTJ103" s="3"/>
      <c r="QTK103" s="3"/>
      <c r="QTL103" s="3"/>
      <c r="QTM103" s="3"/>
      <c r="QTN103" s="3"/>
      <c r="QTO103" s="3"/>
      <c r="QTP103" s="3"/>
      <c r="QTQ103" s="3"/>
      <c r="QTR103" s="3"/>
      <c r="QTS103" s="3"/>
      <c r="QTT103" s="3"/>
      <c r="QTU103" s="3"/>
      <c r="QTV103" s="3"/>
      <c r="QTW103" s="3"/>
      <c r="QTX103" s="3"/>
      <c r="QTY103" s="3"/>
      <c r="QTZ103" s="3"/>
      <c r="QUA103" s="3"/>
      <c r="QUB103" s="3"/>
      <c r="QUC103" s="3"/>
      <c r="QUD103" s="3"/>
      <c r="QUE103" s="3"/>
      <c r="QUF103" s="3"/>
      <c r="QUG103" s="3"/>
      <c r="QUH103" s="3"/>
      <c r="QUI103" s="3"/>
      <c r="QUJ103" s="3"/>
      <c r="QUK103" s="3"/>
      <c r="QUL103" s="3"/>
      <c r="QUM103" s="3"/>
      <c r="QUN103" s="3"/>
      <c r="QUO103" s="3"/>
      <c r="QUP103" s="3"/>
      <c r="QUQ103" s="3"/>
      <c r="QUR103" s="3"/>
      <c r="QUS103" s="3"/>
      <c r="QUT103" s="3"/>
      <c r="QUU103" s="3"/>
      <c r="QUV103" s="3"/>
      <c r="QUW103" s="3"/>
      <c r="QUX103" s="3"/>
      <c r="QUY103" s="3"/>
      <c r="QUZ103" s="3"/>
      <c r="QVA103" s="3"/>
      <c r="QVB103" s="3"/>
      <c r="QVC103" s="3"/>
      <c r="QVD103" s="3"/>
      <c r="QVE103" s="3"/>
      <c r="QVF103" s="3"/>
      <c r="QVG103" s="3"/>
      <c r="QVH103" s="3"/>
      <c r="QVI103" s="3"/>
      <c r="QVJ103" s="3"/>
      <c r="QVK103" s="3"/>
      <c r="QVL103" s="3"/>
      <c r="QVM103" s="3"/>
      <c r="QVN103" s="3"/>
      <c r="QVO103" s="3"/>
      <c r="QVP103" s="3"/>
      <c r="QVQ103" s="3"/>
      <c r="QVR103" s="3"/>
      <c r="QVS103" s="3"/>
      <c r="QVT103" s="3"/>
      <c r="QVU103" s="3"/>
      <c r="QVV103" s="3"/>
      <c r="QVW103" s="3"/>
      <c r="QVX103" s="3"/>
      <c r="QVY103" s="3"/>
      <c r="QVZ103" s="3"/>
      <c r="QWA103" s="3"/>
      <c r="QWB103" s="3"/>
      <c r="QWC103" s="3"/>
      <c r="QWD103" s="3"/>
      <c r="QWE103" s="3"/>
      <c r="QWF103" s="3"/>
      <c r="QWG103" s="3"/>
      <c r="QWH103" s="3"/>
      <c r="QWI103" s="3"/>
      <c r="QWJ103" s="3"/>
      <c r="QWK103" s="3"/>
      <c r="QWL103" s="3"/>
      <c r="QWM103" s="3"/>
      <c r="QWN103" s="3"/>
      <c r="QWO103" s="3"/>
      <c r="QWP103" s="3"/>
      <c r="QWQ103" s="3"/>
      <c r="QWR103" s="3"/>
      <c r="QWS103" s="3"/>
      <c r="QWT103" s="3"/>
      <c r="QWU103" s="3"/>
      <c r="QWV103" s="3"/>
      <c r="QWW103" s="3"/>
      <c r="QWX103" s="3"/>
      <c r="QWY103" s="3"/>
      <c r="QWZ103" s="3"/>
      <c r="QXA103" s="3"/>
      <c r="QXB103" s="3"/>
      <c r="QXC103" s="3"/>
      <c r="QXD103" s="3"/>
      <c r="QXE103" s="3"/>
      <c r="QXF103" s="3"/>
      <c r="QXG103" s="3"/>
      <c r="QXH103" s="3"/>
      <c r="QXI103" s="3"/>
      <c r="QXJ103" s="3"/>
      <c r="QXK103" s="3"/>
      <c r="QXL103" s="3"/>
      <c r="QXM103" s="3"/>
      <c r="QXN103" s="3"/>
      <c r="QXO103" s="3"/>
      <c r="QXP103" s="3"/>
      <c r="QXQ103" s="3"/>
      <c r="QXR103" s="3"/>
      <c r="QXS103" s="3"/>
      <c r="QXT103" s="3"/>
      <c r="QXU103" s="3"/>
      <c r="QXV103" s="3"/>
      <c r="QXW103" s="3"/>
      <c r="QXX103" s="3"/>
      <c r="QXY103" s="3"/>
      <c r="QXZ103" s="3"/>
      <c r="QYA103" s="3"/>
      <c r="QYB103" s="3"/>
      <c r="QYC103" s="3"/>
      <c r="QYD103" s="3"/>
      <c r="QYE103" s="3"/>
      <c r="QYF103" s="3"/>
      <c r="QYG103" s="3"/>
      <c r="QYH103" s="3"/>
      <c r="QYI103" s="3"/>
      <c r="QYJ103" s="3"/>
      <c r="QYK103" s="3"/>
      <c r="QYL103" s="3"/>
      <c r="QYM103" s="3"/>
      <c r="QYN103" s="3"/>
      <c r="QYO103" s="3"/>
      <c r="QYP103" s="3"/>
      <c r="QYQ103" s="3"/>
      <c r="QYR103" s="3"/>
      <c r="QYS103" s="3"/>
      <c r="QYT103" s="3"/>
      <c r="QYU103" s="3"/>
      <c r="QYV103" s="3"/>
      <c r="QYW103" s="3"/>
      <c r="QYX103" s="3"/>
      <c r="QYY103" s="3"/>
      <c r="QYZ103" s="3"/>
      <c r="QZA103" s="3"/>
      <c r="QZB103" s="3"/>
      <c r="QZC103" s="3"/>
      <c r="QZD103" s="3"/>
      <c r="QZE103" s="3"/>
      <c r="QZF103" s="3"/>
      <c r="QZG103" s="3"/>
      <c r="QZH103" s="3"/>
      <c r="QZI103" s="3"/>
      <c r="QZJ103" s="3"/>
      <c r="QZK103" s="3"/>
      <c r="QZL103" s="3"/>
      <c r="QZM103" s="3"/>
      <c r="QZN103" s="3"/>
      <c r="QZO103" s="3"/>
      <c r="QZP103" s="3"/>
      <c r="QZQ103" s="3"/>
      <c r="QZR103" s="3"/>
      <c r="QZS103" s="3"/>
      <c r="QZT103" s="3"/>
      <c r="QZU103" s="3"/>
      <c r="QZV103" s="3"/>
      <c r="QZW103" s="3"/>
      <c r="QZX103" s="3"/>
      <c r="QZY103" s="3"/>
      <c r="QZZ103" s="3"/>
      <c r="RAA103" s="3"/>
      <c r="RAB103" s="3"/>
      <c r="RAC103" s="3"/>
      <c r="RAD103" s="3"/>
      <c r="RAE103" s="3"/>
      <c r="RAF103" s="3"/>
      <c r="RAG103" s="3"/>
      <c r="RAH103" s="3"/>
      <c r="RAI103" s="3"/>
      <c r="RAJ103" s="3"/>
      <c r="RAK103" s="3"/>
      <c r="RAL103" s="3"/>
      <c r="RAM103" s="3"/>
      <c r="RAN103" s="3"/>
      <c r="RAO103" s="3"/>
      <c r="RAP103" s="3"/>
      <c r="RAQ103" s="3"/>
      <c r="RAR103" s="3"/>
      <c r="RAS103" s="3"/>
      <c r="RAT103" s="3"/>
      <c r="RAU103" s="3"/>
      <c r="RAV103" s="3"/>
      <c r="RAW103" s="3"/>
      <c r="RAX103" s="3"/>
      <c r="RAY103" s="3"/>
      <c r="RAZ103" s="3"/>
      <c r="RBA103" s="3"/>
      <c r="RBB103" s="3"/>
      <c r="RBC103" s="3"/>
      <c r="RBD103" s="3"/>
      <c r="RBE103" s="3"/>
      <c r="RBF103" s="3"/>
      <c r="RBG103" s="3"/>
      <c r="RBH103" s="3"/>
      <c r="RBI103" s="3"/>
      <c r="RBJ103" s="3"/>
      <c r="RBK103" s="3"/>
      <c r="RBL103" s="3"/>
      <c r="RBM103" s="3"/>
      <c r="RBN103" s="3"/>
      <c r="RBO103" s="3"/>
      <c r="RBP103" s="3"/>
      <c r="RBQ103" s="3"/>
      <c r="RBR103" s="3"/>
      <c r="RBS103" s="3"/>
      <c r="RBT103" s="3"/>
      <c r="RBU103" s="3"/>
      <c r="RBV103" s="3"/>
      <c r="RBW103" s="3"/>
      <c r="RBX103" s="3"/>
      <c r="RBY103" s="3"/>
      <c r="RBZ103" s="3"/>
      <c r="RCA103" s="3"/>
      <c r="RCB103" s="3"/>
      <c r="RCC103" s="3"/>
      <c r="RCD103" s="3"/>
      <c r="RCE103" s="3"/>
      <c r="RCF103" s="3"/>
      <c r="RCG103" s="3"/>
      <c r="RCH103" s="3"/>
      <c r="RCI103" s="3"/>
      <c r="RCJ103" s="3"/>
      <c r="RCK103" s="3"/>
      <c r="RCL103" s="3"/>
      <c r="RCM103" s="3"/>
      <c r="RCN103" s="3"/>
      <c r="RCO103" s="3"/>
      <c r="RCP103" s="3"/>
      <c r="RCQ103" s="3"/>
      <c r="RCR103" s="3"/>
      <c r="RCS103" s="3"/>
      <c r="RCT103" s="3"/>
      <c r="RCU103" s="3"/>
      <c r="RCV103" s="3"/>
      <c r="RCW103" s="3"/>
      <c r="RCX103" s="3"/>
      <c r="RCY103" s="3"/>
      <c r="RCZ103" s="3"/>
      <c r="RDA103" s="3"/>
      <c r="RDB103" s="3"/>
      <c r="RDC103" s="3"/>
      <c r="RDD103" s="3"/>
      <c r="RDE103" s="3"/>
      <c r="RDF103" s="3"/>
      <c r="RDG103" s="3"/>
      <c r="RDH103" s="3"/>
      <c r="RDI103" s="3"/>
      <c r="RDJ103" s="3"/>
      <c r="RDK103" s="3"/>
      <c r="RDL103" s="3"/>
      <c r="RDM103" s="3"/>
      <c r="RDN103" s="3"/>
      <c r="RDO103" s="3"/>
      <c r="RDP103" s="3"/>
      <c r="RDQ103" s="3"/>
      <c r="RDR103" s="3"/>
      <c r="RDS103" s="3"/>
      <c r="RDT103" s="3"/>
      <c r="RDU103" s="3"/>
      <c r="RDV103" s="3"/>
      <c r="RDW103" s="3"/>
      <c r="RDX103" s="3"/>
      <c r="RDY103" s="3"/>
      <c r="RDZ103" s="3"/>
      <c r="REA103" s="3"/>
      <c r="REB103" s="3"/>
      <c r="REC103" s="3"/>
      <c r="RED103" s="3"/>
      <c r="REE103" s="3"/>
      <c r="REF103" s="3"/>
      <c r="REG103" s="3"/>
      <c r="REH103" s="3"/>
      <c r="REI103" s="3"/>
      <c r="REJ103" s="3"/>
      <c r="REK103" s="3"/>
      <c r="REL103" s="3"/>
      <c r="REM103" s="3"/>
      <c r="REN103" s="3"/>
      <c r="REO103" s="3"/>
      <c r="REP103" s="3"/>
      <c r="REQ103" s="3"/>
      <c r="RER103" s="3"/>
      <c r="RES103" s="3"/>
      <c r="RET103" s="3"/>
      <c r="REU103" s="3"/>
      <c r="REV103" s="3"/>
      <c r="REW103" s="3"/>
      <c r="REX103" s="3"/>
      <c r="REY103" s="3"/>
      <c r="REZ103" s="3"/>
      <c r="RFA103" s="3"/>
      <c r="RFB103" s="3"/>
      <c r="RFC103" s="3"/>
      <c r="RFD103" s="3"/>
      <c r="RFE103" s="3"/>
      <c r="RFF103" s="3"/>
      <c r="RFG103" s="3"/>
      <c r="RFH103" s="3"/>
      <c r="RFI103" s="3"/>
      <c r="RFJ103" s="3"/>
      <c r="RFK103" s="3"/>
      <c r="RFL103" s="3"/>
      <c r="RFM103" s="3"/>
      <c r="RFN103" s="3"/>
      <c r="RFO103" s="3"/>
      <c r="RFP103" s="3"/>
      <c r="RFQ103" s="3"/>
      <c r="RFR103" s="3"/>
      <c r="RFS103" s="3"/>
      <c r="RFT103" s="3"/>
      <c r="RFU103" s="3"/>
      <c r="RFV103" s="3"/>
      <c r="RFW103" s="3"/>
      <c r="RFX103" s="3"/>
      <c r="RFY103" s="3"/>
      <c r="RFZ103" s="3"/>
      <c r="RGA103" s="3"/>
      <c r="RGB103" s="3"/>
      <c r="RGC103" s="3"/>
      <c r="RGD103" s="3"/>
      <c r="RGE103" s="3"/>
      <c r="RGF103" s="3"/>
      <c r="RGG103" s="3"/>
      <c r="RGH103" s="3"/>
      <c r="RGI103" s="3"/>
      <c r="RGJ103" s="3"/>
      <c r="RGK103" s="3"/>
      <c r="RGL103" s="3"/>
      <c r="RGM103" s="3"/>
      <c r="RGN103" s="3"/>
      <c r="RGO103" s="3"/>
      <c r="RGP103" s="3"/>
      <c r="RGQ103" s="3"/>
      <c r="RGR103" s="3"/>
      <c r="RGS103" s="3"/>
      <c r="RGT103" s="3"/>
      <c r="RGU103" s="3"/>
      <c r="RGV103" s="3"/>
      <c r="RGW103" s="3"/>
      <c r="RGX103" s="3"/>
      <c r="RGY103" s="3"/>
      <c r="RGZ103" s="3"/>
      <c r="RHA103" s="3"/>
      <c r="RHB103" s="3"/>
      <c r="RHC103" s="3"/>
      <c r="RHD103" s="3"/>
      <c r="RHE103" s="3"/>
      <c r="RHF103" s="3"/>
      <c r="RHG103" s="3"/>
      <c r="RHH103" s="3"/>
      <c r="RHI103" s="3"/>
      <c r="RHJ103" s="3"/>
      <c r="RHK103" s="3"/>
      <c r="RHL103" s="3"/>
      <c r="RHM103" s="3"/>
      <c r="RHN103" s="3"/>
      <c r="RHO103" s="3"/>
      <c r="RHP103" s="3"/>
      <c r="RHQ103" s="3"/>
      <c r="RHR103" s="3"/>
      <c r="RHS103" s="3"/>
      <c r="RHT103" s="3"/>
      <c r="RHU103" s="3"/>
      <c r="RHV103" s="3"/>
      <c r="RHW103" s="3"/>
      <c r="RHX103" s="3"/>
      <c r="RHY103" s="3"/>
      <c r="RHZ103" s="3"/>
      <c r="RIA103" s="3"/>
      <c r="RIB103" s="3"/>
      <c r="RIC103" s="3"/>
      <c r="RID103" s="3"/>
      <c r="RIE103" s="3"/>
      <c r="RIF103" s="3"/>
      <c r="RIG103" s="3"/>
      <c r="RIH103" s="3"/>
      <c r="RII103" s="3"/>
      <c r="RIJ103" s="3"/>
      <c r="RIK103" s="3"/>
      <c r="RIL103" s="3"/>
      <c r="RIM103" s="3"/>
      <c r="RIN103" s="3"/>
      <c r="RIO103" s="3"/>
      <c r="RIP103" s="3"/>
      <c r="RIQ103" s="3"/>
      <c r="RIR103" s="3"/>
      <c r="RIS103" s="3"/>
      <c r="RIT103" s="3"/>
      <c r="RIU103" s="3"/>
      <c r="RIV103" s="3"/>
      <c r="RIW103" s="3"/>
      <c r="RIX103" s="3"/>
      <c r="RIY103" s="3"/>
      <c r="RIZ103" s="3"/>
      <c r="RJA103" s="3"/>
      <c r="RJB103" s="3"/>
      <c r="RJC103" s="3"/>
      <c r="RJD103" s="3"/>
      <c r="RJE103" s="3"/>
      <c r="RJF103" s="3"/>
      <c r="RJG103" s="3"/>
      <c r="RJH103" s="3"/>
      <c r="RJI103" s="3"/>
      <c r="RJJ103" s="3"/>
      <c r="RJK103" s="3"/>
      <c r="RJL103" s="3"/>
      <c r="RJM103" s="3"/>
      <c r="RJN103" s="3"/>
      <c r="RJO103" s="3"/>
      <c r="RJP103" s="3"/>
      <c r="RJQ103" s="3"/>
      <c r="RJR103" s="3"/>
      <c r="RJS103" s="3"/>
      <c r="RJT103" s="3"/>
      <c r="RJU103" s="3"/>
      <c r="RJV103" s="3"/>
      <c r="RJW103" s="3"/>
      <c r="RJX103" s="3"/>
      <c r="RJY103" s="3"/>
      <c r="RJZ103" s="3"/>
      <c r="RKA103" s="3"/>
      <c r="RKB103" s="3"/>
      <c r="RKC103" s="3"/>
      <c r="RKD103" s="3"/>
      <c r="RKE103" s="3"/>
      <c r="RKF103" s="3"/>
      <c r="RKG103" s="3"/>
      <c r="RKH103" s="3"/>
      <c r="RKI103" s="3"/>
      <c r="RKJ103" s="3"/>
      <c r="RKK103" s="3"/>
      <c r="RKL103" s="3"/>
      <c r="RKM103" s="3"/>
      <c r="RKN103" s="3"/>
      <c r="RKO103" s="3"/>
      <c r="RKP103" s="3"/>
      <c r="RKQ103" s="3"/>
      <c r="RKR103" s="3"/>
      <c r="RKS103" s="3"/>
      <c r="RKT103" s="3"/>
      <c r="RKU103" s="3"/>
      <c r="RKV103" s="3"/>
      <c r="RKW103" s="3"/>
      <c r="RKX103" s="3"/>
      <c r="RKY103" s="3"/>
      <c r="RKZ103" s="3"/>
      <c r="RLA103" s="3"/>
      <c r="RLB103" s="3"/>
      <c r="RLC103" s="3"/>
      <c r="RLD103" s="3"/>
      <c r="RLE103" s="3"/>
      <c r="RLF103" s="3"/>
      <c r="RLG103" s="3"/>
      <c r="RLH103" s="3"/>
      <c r="RLI103" s="3"/>
      <c r="RLJ103" s="3"/>
      <c r="RLK103" s="3"/>
      <c r="RLL103" s="3"/>
      <c r="RLM103" s="3"/>
      <c r="RLN103" s="3"/>
      <c r="RLO103" s="3"/>
      <c r="RLP103" s="3"/>
      <c r="RLQ103" s="3"/>
      <c r="RLR103" s="3"/>
      <c r="RLS103" s="3"/>
      <c r="RLT103" s="3"/>
      <c r="RLU103" s="3"/>
      <c r="RLV103" s="3"/>
      <c r="RLW103" s="3"/>
      <c r="RLX103" s="3"/>
      <c r="RLY103" s="3"/>
      <c r="RLZ103" s="3"/>
      <c r="RMA103" s="3"/>
      <c r="RMB103" s="3"/>
      <c r="RMC103" s="3"/>
      <c r="RMD103" s="3"/>
      <c r="RME103" s="3"/>
      <c r="RMF103" s="3"/>
      <c r="RMG103" s="3"/>
      <c r="RMH103" s="3"/>
      <c r="RMI103" s="3"/>
      <c r="RMJ103" s="3"/>
      <c r="RMK103" s="3"/>
      <c r="RML103" s="3"/>
      <c r="RMM103" s="3"/>
      <c r="RMN103" s="3"/>
      <c r="RMO103" s="3"/>
      <c r="RMP103" s="3"/>
      <c r="RMQ103" s="3"/>
      <c r="RMR103" s="3"/>
      <c r="RMS103" s="3"/>
      <c r="RMT103" s="3"/>
      <c r="RMU103" s="3"/>
      <c r="RMV103" s="3"/>
      <c r="RMW103" s="3"/>
      <c r="RMX103" s="3"/>
      <c r="RMY103" s="3"/>
      <c r="RMZ103" s="3"/>
      <c r="RNA103" s="3"/>
      <c r="RNB103" s="3"/>
      <c r="RNC103" s="3"/>
      <c r="RND103" s="3"/>
      <c r="RNE103" s="3"/>
      <c r="RNF103" s="3"/>
      <c r="RNG103" s="3"/>
      <c r="RNH103" s="3"/>
      <c r="RNI103" s="3"/>
      <c r="RNJ103" s="3"/>
      <c r="RNK103" s="3"/>
      <c r="RNL103" s="3"/>
      <c r="RNM103" s="3"/>
      <c r="RNN103" s="3"/>
      <c r="RNO103" s="3"/>
      <c r="RNP103" s="3"/>
      <c r="RNQ103" s="3"/>
      <c r="RNR103" s="3"/>
      <c r="RNS103" s="3"/>
      <c r="RNT103" s="3"/>
      <c r="RNU103" s="3"/>
      <c r="RNV103" s="3"/>
      <c r="RNW103" s="3"/>
      <c r="RNX103" s="3"/>
      <c r="RNY103" s="3"/>
      <c r="RNZ103" s="3"/>
      <c r="ROA103" s="3"/>
      <c r="ROB103" s="3"/>
      <c r="ROC103" s="3"/>
      <c r="ROD103" s="3"/>
      <c r="ROE103" s="3"/>
      <c r="ROF103" s="3"/>
      <c r="ROG103" s="3"/>
      <c r="ROH103" s="3"/>
      <c r="ROI103" s="3"/>
      <c r="ROJ103" s="3"/>
      <c r="ROK103" s="3"/>
      <c r="ROL103" s="3"/>
      <c r="ROM103" s="3"/>
      <c r="RON103" s="3"/>
      <c r="ROO103" s="3"/>
      <c r="ROP103" s="3"/>
      <c r="ROQ103" s="3"/>
      <c r="ROR103" s="3"/>
      <c r="ROS103" s="3"/>
      <c r="ROT103" s="3"/>
      <c r="ROU103" s="3"/>
      <c r="ROV103" s="3"/>
      <c r="ROW103" s="3"/>
      <c r="ROX103" s="3"/>
      <c r="ROY103" s="3"/>
      <c r="ROZ103" s="3"/>
      <c r="RPA103" s="3"/>
      <c r="RPB103" s="3"/>
      <c r="RPC103" s="3"/>
      <c r="RPD103" s="3"/>
      <c r="RPE103" s="3"/>
      <c r="RPF103" s="3"/>
      <c r="RPG103" s="3"/>
      <c r="RPH103" s="3"/>
      <c r="RPI103" s="3"/>
      <c r="RPJ103" s="3"/>
      <c r="RPK103" s="3"/>
      <c r="RPL103" s="3"/>
      <c r="RPM103" s="3"/>
      <c r="RPN103" s="3"/>
      <c r="RPO103" s="3"/>
      <c r="RPP103" s="3"/>
      <c r="RPQ103" s="3"/>
      <c r="RPR103" s="3"/>
      <c r="RPS103" s="3"/>
      <c r="RPT103" s="3"/>
      <c r="RPU103" s="3"/>
      <c r="RPV103" s="3"/>
      <c r="RPW103" s="3"/>
      <c r="RPX103" s="3"/>
      <c r="RPY103" s="3"/>
      <c r="RPZ103" s="3"/>
      <c r="RQA103" s="3"/>
      <c r="RQB103" s="3"/>
      <c r="RQC103" s="3"/>
      <c r="RQD103" s="3"/>
      <c r="RQE103" s="3"/>
      <c r="RQF103" s="3"/>
      <c r="RQG103" s="3"/>
      <c r="RQH103" s="3"/>
      <c r="RQI103" s="3"/>
      <c r="RQJ103" s="3"/>
      <c r="RQK103" s="3"/>
      <c r="RQL103" s="3"/>
      <c r="RQM103" s="3"/>
      <c r="RQN103" s="3"/>
      <c r="RQO103" s="3"/>
      <c r="RQP103" s="3"/>
      <c r="RQQ103" s="3"/>
      <c r="RQR103" s="3"/>
      <c r="RQS103" s="3"/>
      <c r="RQT103" s="3"/>
      <c r="RQU103" s="3"/>
      <c r="RQV103" s="3"/>
      <c r="RQW103" s="3"/>
      <c r="RQX103" s="3"/>
      <c r="RQY103" s="3"/>
      <c r="RQZ103" s="3"/>
      <c r="RRA103" s="3"/>
      <c r="RRB103" s="3"/>
      <c r="RRC103" s="3"/>
      <c r="RRD103" s="3"/>
      <c r="RRE103" s="3"/>
      <c r="RRF103" s="3"/>
      <c r="RRG103" s="3"/>
      <c r="RRH103" s="3"/>
      <c r="RRI103" s="3"/>
      <c r="RRJ103" s="3"/>
      <c r="RRK103" s="3"/>
      <c r="RRL103" s="3"/>
      <c r="RRM103" s="3"/>
      <c r="RRN103" s="3"/>
      <c r="RRO103" s="3"/>
      <c r="RRP103" s="3"/>
      <c r="RRQ103" s="3"/>
      <c r="RRR103" s="3"/>
      <c r="RRS103" s="3"/>
      <c r="RRT103" s="3"/>
      <c r="RRU103" s="3"/>
      <c r="RRV103" s="3"/>
      <c r="RRW103" s="3"/>
      <c r="RRX103" s="3"/>
      <c r="RRY103" s="3"/>
      <c r="RRZ103" s="3"/>
      <c r="RSA103" s="3"/>
      <c r="RSB103" s="3"/>
      <c r="RSC103" s="3"/>
      <c r="RSD103" s="3"/>
      <c r="RSE103" s="3"/>
      <c r="RSF103" s="3"/>
      <c r="RSG103" s="3"/>
      <c r="RSH103" s="3"/>
      <c r="RSI103" s="3"/>
      <c r="RSJ103" s="3"/>
      <c r="RSK103" s="3"/>
      <c r="RSL103" s="3"/>
      <c r="RSM103" s="3"/>
      <c r="RSN103" s="3"/>
      <c r="RSO103" s="3"/>
      <c r="RSP103" s="3"/>
      <c r="RSQ103" s="3"/>
      <c r="RSR103" s="3"/>
      <c r="RSS103" s="3"/>
      <c r="RST103" s="3"/>
      <c r="RSU103" s="3"/>
      <c r="RSV103" s="3"/>
      <c r="RSW103" s="3"/>
      <c r="RSX103" s="3"/>
      <c r="RSY103" s="3"/>
      <c r="RSZ103" s="3"/>
      <c r="RTA103" s="3"/>
      <c r="RTB103" s="3"/>
      <c r="RTC103" s="3"/>
      <c r="RTD103" s="3"/>
      <c r="RTE103" s="3"/>
      <c r="RTF103" s="3"/>
      <c r="RTG103" s="3"/>
      <c r="RTH103" s="3"/>
      <c r="RTI103" s="3"/>
      <c r="RTJ103" s="3"/>
      <c r="RTK103" s="3"/>
      <c r="RTL103" s="3"/>
      <c r="RTM103" s="3"/>
      <c r="RTN103" s="3"/>
      <c r="RTO103" s="3"/>
      <c r="RTP103" s="3"/>
      <c r="RTQ103" s="3"/>
      <c r="RTR103" s="3"/>
      <c r="RTS103" s="3"/>
      <c r="RTT103" s="3"/>
      <c r="RTU103" s="3"/>
      <c r="RTV103" s="3"/>
      <c r="RTW103" s="3"/>
      <c r="RTX103" s="3"/>
      <c r="RTY103" s="3"/>
      <c r="RTZ103" s="3"/>
      <c r="RUA103" s="3"/>
      <c r="RUB103" s="3"/>
      <c r="RUC103" s="3"/>
      <c r="RUD103" s="3"/>
      <c r="RUE103" s="3"/>
      <c r="RUF103" s="3"/>
      <c r="RUG103" s="3"/>
      <c r="RUH103" s="3"/>
      <c r="RUI103" s="3"/>
      <c r="RUJ103" s="3"/>
      <c r="RUK103" s="3"/>
      <c r="RUL103" s="3"/>
      <c r="RUM103" s="3"/>
      <c r="RUN103" s="3"/>
      <c r="RUO103" s="3"/>
      <c r="RUP103" s="3"/>
      <c r="RUQ103" s="3"/>
      <c r="RUR103" s="3"/>
      <c r="RUS103" s="3"/>
      <c r="RUT103" s="3"/>
      <c r="RUU103" s="3"/>
      <c r="RUV103" s="3"/>
      <c r="RUW103" s="3"/>
      <c r="RUX103" s="3"/>
      <c r="RUY103" s="3"/>
      <c r="RUZ103" s="3"/>
      <c r="RVA103" s="3"/>
      <c r="RVB103" s="3"/>
      <c r="RVC103" s="3"/>
      <c r="RVD103" s="3"/>
      <c r="RVE103" s="3"/>
      <c r="RVF103" s="3"/>
      <c r="RVG103" s="3"/>
      <c r="RVH103" s="3"/>
      <c r="RVI103" s="3"/>
      <c r="RVJ103" s="3"/>
      <c r="RVK103" s="3"/>
      <c r="RVL103" s="3"/>
      <c r="RVM103" s="3"/>
      <c r="RVN103" s="3"/>
      <c r="RVO103" s="3"/>
      <c r="RVP103" s="3"/>
      <c r="RVQ103" s="3"/>
      <c r="RVR103" s="3"/>
      <c r="RVS103" s="3"/>
      <c r="RVT103" s="3"/>
      <c r="RVU103" s="3"/>
      <c r="RVV103" s="3"/>
      <c r="RVW103" s="3"/>
      <c r="RVX103" s="3"/>
      <c r="RVY103" s="3"/>
      <c r="RVZ103" s="3"/>
      <c r="RWA103" s="3"/>
      <c r="RWB103" s="3"/>
      <c r="RWC103" s="3"/>
      <c r="RWD103" s="3"/>
      <c r="RWE103" s="3"/>
      <c r="RWF103" s="3"/>
      <c r="RWG103" s="3"/>
      <c r="RWH103" s="3"/>
      <c r="RWI103" s="3"/>
      <c r="RWJ103" s="3"/>
      <c r="RWK103" s="3"/>
      <c r="RWL103" s="3"/>
      <c r="RWM103" s="3"/>
      <c r="RWN103" s="3"/>
      <c r="RWO103" s="3"/>
      <c r="RWP103" s="3"/>
      <c r="RWQ103" s="3"/>
      <c r="RWR103" s="3"/>
      <c r="RWS103" s="3"/>
      <c r="RWT103" s="3"/>
      <c r="RWU103" s="3"/>
      <c r="RWV103" s="3"/>
      <c r="RWW103" s="3"/>
      <c r="RWX103" s="3"/>
      <c r="RWY103" s="3"/>
      <c r="RWZ103" s="3"/>
      <c r="RXA103" s="3"/>
      <c r="RXB103" s="3"/>
      <c r="RXC103" s="3"/>
      <c r="RXD103" s="3"/>
      <c r="RXE103" s="3"/>
      <c r="RXF103" s="3"/>
      <c r="RXG103" s="3"/>
      <c r="RXH103" s="3"/>
      <c r="RXI103" s="3"/>
      <c r="RXJ103" s="3"/>
      <c r="RXK103" s="3"/>
      <c r="RXL103" s="3"/>
      <c r="RXM103" s="3"/>
      <c r="RXN103" s="3"/>
      <c r="RXO103" s="3"/>
      <c r="RXP103" s="3"/>
      <c r="RXQ103" s="3"/>
      <c r="RXR103" s="3"/>
      <c r="RXS103" s="3"/>
      <c r="RXT103" s="3"/>
      <c r="RXU103" s="3"/>
      <c r="RXV103" s="3"/>
      <c r="RXW103" s="3"/>
      <c r="RXX103" s="3"/>
      <c r="RXY103" s="3"/>
      <c r="RXZ103" s="3"/>
      <c r="RYA103" s="3"/>
      <c r="RYB103" s="3"/>
      <c r="RYC103" s="3"/>
      <c r="RYD103" s="3"/>
      <c r="RYE103" s="3"/>
      <c r="RYF103" s="3"/>
      <c r="RYG103" s="3"/>
      <c r="RYH103" s="3"/>
      <c r="RYI103" s="3"/>
      <c r="RYJ103" s="3"/>
      <c r="RYK103" s="3"/>
      <c r="RYL103" s="3"/>
      <c r="RYM103" s="3"/>
      <c r="RYN103" s="3"/>
      <c r="RYO103" s="3"/>
      <c r="RYP103" s="3"/>
      <c r="RYQ103" s="3"/>
      <c r="RYR103" s="3"/>
      <c r="RYS103" s="3"/>
      <c r="RYT103" s="3"/>
      <c r="RYU103" s="3"/>
      <c r="RYV103" s="3"/>
      <c r="RYW103" s="3"/>
      <c r="RYX103" s="3"/>
      <c r="RYY103" s="3"/>
      <c r="RYZ103" s="3"/>
      <c r="RZA103" s="3"/>
      <c r="RZB103" s="3"/>
      <c r="RZC103" s="3"/>
      <c r="RZD103" s="3"/>
      <c r="RZE103" s="3"/>
      <c r="RZF103" s="3"/>
      <c r="RZG103" s="3"/>
      <c r="RZH103" s="3"/>
      <c r="RZI103" s="3"/>
      <c r="RZJ103" s="3"/>
      <c r="RZK103" s="3"/>
      <c r="RZL103" s="3"/>
      <c r="RZM103" s="3"/>
      <c r="RZN103" s="3"/>
      <c r="RZO103" s="3"/>
      <c r="RZP103" s="3"/>
      <c r="RZQ103" s="3"/>
      <c r="RZR103" s="3"/>
      <c r="RZS103" s="3"/>
      <c r="RZT103" s="3"/>
      <c r="RZU103" s="3"/>
      <c r="RZV103" s="3"/>
      <c r="RZW103" s="3"/>
      <c r="RZX103" s="3"/>
      <c r="RZY103" s="3"/>
      <c r="RZZ103" s="3"/>
      <c r="SAA103" s="3"/>
      <c r="SAB103" s="3"/>
      <c r="SAC103" s="3"/>
      <c r="SAD103" s="3"/>
      <c r="SAE103" s="3"/>
      <c r="SAF103" s="3"/>
      <c r="SAG103" s="3"/>
      <c r="SAH103" s="3"/>
      <c r="SAI103" s="3"/>
      <c r="SAJ103" s="3"/>
      <c r="SAK103" s="3"/>
      <c r="SAL103" s="3"/>
      <c r="SAM103" s="3"/>
      <c r="SAN103" s="3"/>
      <c r="SAO103" s="3"/>
      <c r="SAP103" s="3"/>
      <c r="SAQ103" s="3"/>
      <c r="SAR103" s="3"/>
      <c r="SAS103" s="3"/>
      <c r="SAT103" s="3"/>
      <c r="SAU103" s="3"/>
      <c r="SAV103" s="3"/>
      <c r="SAW103" s="3"/>
      <c r="SAX103" s="3"/>
      <c r="SAY103" s="3"/>
      <c r="SAZ103" s="3"/>
      <c r="SBA103" s="3"/>
      <c r="SBB103" s="3"/>
      <c r="SBC103" s="3"/>
      <c r="SBD103" s="3"/>
      <c r="SBE103" s="3"/>
      <c r="SBF103" s="3"/>
      <c r="SBG103" s="3"/>
      <c r="SBH103" s="3"/>
      <c r="SBI103" s="3"/>
      <c r="SBJ103" s="3"/>
      <c r="SBK103" s="3"/>
      <c r="SBL103" s="3"/>
      <c r="SBM103" s="3"/>
      <c r="SBN103" s="3"/>
      <c r="SBO103" s="3"/>
      <c r="SBP103" s="3"/>
      <c r="SBQ103" s="3"/>
      <c r="SBR103" s="3"/>
      <c r="SBS103" s="3"/>
      <c r="SBT103" s="3"/>
      <c r="SBU103" s="3"/>
      <c r="SBV103" s="3"/>
      <c r="SBW103" s="3"/>
      <c r="SBX103" s="3"/>
      <c r="SBY103" s="3"/>
      <c r="SBZ103" s="3"/>
      <c r="SCA103" s="3"/>
      <c r="SCB103" s="3"/>
      <c r="SCC103" s="3"/>
      <c r="SCD103" s="3"/>
      <c r="SCE103" s="3"/>
      <c r="SCF103" s="3"/>
      <c r="SCG103" s="3"/>
      <c r="SCH103" s="3"/>
      <c r="SCI103" s="3"/>
      <c r="SCJ103" s="3"/>
      <c r="SCK103" s="3"/>
      <c r="SCL103" s="3"/>
      <c r="SCM103" s="3"/>
      <c r="SCN103" s="3"/>
      <c r="SCO103" s="3"/>
      <c r="SCP103" s="3"/>
      <c r="SCQ103" s="3"/>
      <c r="SCR103" s="3"/>
      <c r="SCS103" s="3"/>
      <c r="SCT103" s="3"/>
      <c r="SCU103" s="3"/>
      <c r="SCV103" s="3"/>
      <c r="SCW103" s="3"/>
      <c r="SCX103" s="3"/>
      <c r="SCY103" s="3"/>
      <c r="SCZ103" s="3"/>
      <c r="SDA103" s="3"/>
      <c r="SDB103" s="3"/>
      <c r="SDC103" s="3"/>
      <c r="SDD103" s="3"/>
      <c r="SDE103" s="3"/>
      <c r="SDF103" s="3"/>
      <c r="SDG103" s="3"/>
      <c r="SDH103" s="3"/>
      <c r="SDI103" s="3"/>
      <c r="SDJ103" s="3"/>
      <c r="SDK103" s="3"/>
      <c r="SDL103" s="3"/>
      <c r="SDM103" s="3"/>
      <c r="SDN103" s="3"/>
      <c r="SDO103" s="3"/>
      <c r="SDP103" s="3"/>
      <c r="SDQ103" s="3"/>
      <c r="SDR103" s="3"/>
      <c r="SDS103" s="3"/>
      <c r="SDT103" s="3"/>
      <c r="SDU103" s="3"/>
      <c r="SDV103" s="3"/>
      <c r="SDW103" s="3"/>
      <c r="SDX103" s="3"/>
      <c r="SDY103" s="3"/>
      <c r="SDZ103" s="3"/>
      <c r="SEA103" s="3"/>
      <c r="SEB103" s="3"/>
      <c r="SEC103" s="3"/>
      <c r="SED103" s="3"/>
      <c r="SEE103" s="3"/>
      <c r="SEF103" s="3"/>
      <c r="SEG103" s="3"/>
      <c r="SEH103" s="3"/>
      <c r="SEI103" s="3"/>
      <c r="SEJ103" s="3"/>
      <c r="SEK103" s="3"/>
      <c r="SEL103" s="3"/>
      <c r="SEM103" s="3"/>
      <c r="SEN103" s="3"/>
      <c r="SEO103" s="3"/>
      <c r="SEP103" s="3"/>
      <c r="SEQ103" s="3"/>
      <c r="SER103" s="3"/>
      <c r="SES103" s="3"/>
      <c r="SET103" s="3"/>
      <c r="SEU103" s="3"/>
      <c r="SEV103" s="3"/>
      <c r="SEW103" s="3"/>
      <c r="SEX103" s="3"/>
      <c r="SEY103" s="3"/>
      <c r="SEZ103" s="3"/>
      <c r="SFA103" s="3"/>
      <c r="SFB103" s="3"/>
      <c r="SFC103" s="3"/>
      <c r="SFD103" s="3"/>
      <c r="SFE103" s="3"/>
      <c r="SFF103" s="3"/>
      <c r="SFG103" s="3"/>
      <c r="SFH103" s="3"/>
      <c r="SFI103" s="3"/>
      <c r="SFJ103" s="3"/>
      <c r="SFK103" s="3"/>
      <c r="SFL103" s="3"/>
      <c r="SFM103" s="3"/>
      <c r="SFN103" s="3"/>
      <c r="SFO103" s="3"/>
      <c r="SFP103" s="3"/>
      <c r="SFQ103" s="3"/>
      <c r="SFR103" s="3"/>
      <c r="SFS103" s="3"/>
      <c r="SFT103" s="3"/>
      <c r="SFU103" s="3"/>
      <c r="SFV103" s="3"/>
      <c r="SFW103" s="3"/>
      <c r="SFX103" s="3"/>
      <c r="SFY103" s="3"/>
      <c r="SFZ103" s="3"/>
      <c r="SGA103" s="3"/>
      <c r="SGB103" s="3"/>
      <c r="SGC103" s="3"/>
      <c r="SGD103" s="3"/>
      <c r="SGE103" s="3"/>
      <c r="SGF103" s="3"/>
      <c r="SGG103" s="3"/>
      <c r="SGH103" s="3"/>
      <c r="SGI103" s="3"/>
      <c r="SGJ103" s="3"/>
      <c r="SGK103" s="3"/>
      <c r="SGL103" s="3"/>
      <c r="SGM103" s="3"/>
      <c r="SGN103" s="3"/>
      <c r="SGO103" s="3"/>
      <c r="SGP103" s="3"/>
      <c r="SGQ103" s="3"/>
      <c r="SGR103" s="3"/>
      <c r="SGS103" s="3"/>
      <c r="SGT103" s="3"/>
      <c r="SGU103" s="3"/>
      <c r="SGV103" s="3"/>
      <c r="SGW103" s="3"/>
      <c r="SGX103" s="3"/>
      <c r="SGY103" s="3"/>
      <c r="SGZ103" s="3"/>
      <c r="SHA103" s="3"/>
      <c r="SHB103" s="3"/>
      <c r="SHC103" s="3"/>
      <c r="SHD103" s="3"/>
      <c r="SHE103" s="3"/>
      <c r="SHF103" s="3"/>
      <c r="SHG103" s="3"/>
      <c r="SHH103" s="3"/>
      <c r="SHI103" s="3"/>
      <c r="SHJ103" s="3"/>
      <c r="SHK103" s="3"/>
      <c r="SHL103" s="3"/>
      <c r="SHM103" s="3"/>
      <c r="SHN103" s="3"/>
      <c r="SHO103" s="3"/>
      <c r="SHP103" s="3"/>
      <c r="SHQ103" s="3"/>
      <c r="SHR103" s="3"/>
      <c r="SHS103" s="3"/>
      <c r="SHT103" s="3"/>
      <c r="SHU103" s="3"/>
      <c r="SHV103" s="3"/>
      <c r="SHW103" s="3"/>
      <c r="SHX103" s="3"/>
      <c r="SHY103" s="3"/>
      <c r="SHZ103" s="3"/>
      <c r="SIA103" s="3"/>
      <c r="SIB103" s="3"/>
      <c r="SIC103" s="3"/>
      <c r="SID103" s="3"/>
      <c r="SIE103" s="3"/>
      <c r="SIF103" s="3"/>
      <c r="SIG103" s="3"/>
      <c r="SIH103" s="3"/>
      <c r="SII103" s="3"/>
      <c r="SIJ103" s="3"/>
      <c r="SIK103" s="3"/>
      <c r="SIL103" s="3"/>
      <c r="SIM103" s="3"/>
      <c r="SIN103" s="3"/>
      <c r="SIO103" s="3"/>
      <c r="SIP103" s="3"/>
      <c r="SIQ103" s="3"/>
      <c r="SIR103" s="3"/>
      <c r="SIS103" s="3"/>
      <c r="SIT103" s="3"/>
      <c r="SIU103" s="3"/>
      <c r="SIV103" s="3"/>
      <c r="SIW103" s="3"/>
      <c r="SIX103" s="3"/>
      <c r="SIY103" s="3"/>
      <c r="SIZ103" s="3"/>
      <c r="SJA103" s="3"/>
      <c r="SJB103" s="3"/>
      <c r="SJC103" s="3"/>
      <c r="SJD103" s="3"/>
      <c r="SJE103" s="3"/>
      <c r="SJF103" s="3"/>
      <c r="SJG103" s="3"/>
      <c r="SJH103" s="3"/>
      <c r="SJI103" s="3"/>
      <c r="SJJ103" s="3"/>
      <c r="SJK103" s="3"/>
      <c r="SJL103" s="3"/>
      <c r="SJM103" s="3"/>
      <c r="SJN103" s="3"/>
      <c r="SJO103" s="3"/>
      <c r="SJP103" s="3"/>
      <c r="SJQ103" s="3"/>
      <c r="SJR103" s="3"/>
      <c r="SJS103" s="3"/>
      <c r="SJT103" s="3"/>
      <c r="SJU103" s="3"/>
      <c r="SJV103" s="3"/>
      <c r="SJW103" s="3"/>
      <c r="SJX103" s="3"/>
      <c r="SJY103" s="3"/>
      <c r="SJZ103" s="3"/>
      <c r="SKA103" s="3"/>
      <c r="SKB103" s="3"/>
      <c r="SKC103" s="3"/>
      <c r="SKD103" s="3"/>
      <c r="SKE103" s="3"/>
      <c r="SKF103" s="3"/>
      <c r="SKG103" s="3"/>
      <c r="SKH103" s="3"/>
      <c r="SKI103" s="3"/>
      <c r="SKJ103" s="3"/>
      <c r="SKK103" s="3"/>
      <c r="SKL103" s="3"/>
      <c r="SKM103" s="3"/>
      <c r="SKN103" s="3"/>
      <c r="SKO103" s="3"/>
      <c r="SKP103" s="3"/>
      <c r="SKQ103" s="3"/>
      <c r="SKR103" s="3"/>
      <c r="SKS103" s="3"/>
      <c r="SKT103" s="3"/>
      <c r="SKU103" s="3"/>
      <c r="SKV103" s="3"/>
      <c r="SKW103" s="3"/>
      <c r="SKX103" s="3"/>
      <c r="SKY103" s="3"/>
      <c r="SKZ103" s="3"/>
      <c r="SLA103" s="3"/>
      <c r="SLB103" s="3"/>
      <c r="SLC103" s="3"/>
      <c r="SLD103" s="3"/>
      <c r="SLE103" s="3"/>
      <c r="SLF103" s="3"/>
      <c r="SLG103" s="3"/>
      <c r="SLH103" s="3"/>
      <c r="SLI103" s="3"/>
      <c r="SLJ103" s="3"/>
      <c r="SLK103" s="3"/>
      <c r="SLL103" s="3"/>
      <c r="SLM103" s="3"/>
      <c r="SLN103" s="3"/>
      <c r="SLO103" s="3"/>
      <c r="SLP103" s="3"/>
      <c r="SLQ103" s="3"/>
      <c r="SLR103" s="3"/>
      <c r="SLS103" s="3"/>
      <c r="SLT103" s="3"/>
      <c r="SLU103" s="3"/>
      <c r="SLV103" s="3"/>
      <c r="SLW103" s="3"/>
      <c r="SLX103" s="3"/>
      <c r="SLY103" s="3"/>
      <c r="SLZ103" s="3"/>
      <c r="SMA103" s="3"/>
      <c r="SMB103" s="3"/>
      <c r="SMC103" s="3"/>
      <c r="SMD103" s="3"/>
      <c r="SME103" s="3"/>
      <c r="SMF103" s="3"/>
      <c r="SMG103" s="3"/>
      <c r="SMH103" s="3"/>
      <c r="SMI103" s="3"/>
      <c r="SMJ103" s="3"/>
      <c r="SMK103" s="3"/>
      <c r="SML103" s="3"/>
      <c r="SMM103" s="3"/>
      <c r="SMN103" s="3"/>
      <c r="SMO103" s="3"/>
      <c r="SMP103" s="3"/>
      <c r="SMQ103" s="3"/>
      <c r="SMR103" s="3"/>
      <c r="SMS103" s="3"/>
      <c r="SMT103" s="3"/>
      <c r="SMU103" s="3"/>
      <c r="SMV103" s="3"/>
      <c r="SMW103" s="3"/>
      <c r="SMX103" s="3"/>
      <c r="SMY103" s="3"/>
      <c r="SMZ103" s="3"/>
      <c r="SNA103" s="3"/>
      <c r="SNB103" s="3"/>
      <c r="SNC103" s="3"/>
      <c r="SND103" s="3"/>
      <c r="SNE103" s="3"/>
      <c r="SNF103" s="3"/>
      <c r="SNG103" s="3"/>
      <c r="SNH103" s="3"/>
      <c r="SNI103" s="3"/>
      <c r="SNJ103" s="3"/>
      <c r="SNK103" s="3"/>
      <c r="SNL103" s="3"/>
      <c r="SNM103" s="3"/>
      <c r="SNN103" s="3"/>
      <c r="SNO103" s="3"/>
      <c r="SNP103" s="3"/>
      <c r="SNQ103" s="3"/>
      <c r="SNR103" s="3"/>
      <c r="SNS103" s="3"/>
      <c r="SNT103" s="3"/>
      <c r="SNU103" s="3"/>
      <c r="SNV103" s="3"/>
      <c r="SNW103" s="3"/>
      <c r="SNX103" s="3"/>
      <c r="SNY103" s="3"/>
      <c r="SNZ103" s="3"/>
      <c r="SOA103" s="3"/>
      <c r="SOB103" s="3"/>
      <c r="SOC103" s="3"/>
      <c r="SOD103" s="3"/>
      <c r="SOE103" s="3"/>
      <c r="SOF103" s="3"/>
      <c r="SOG103" s="3"/>
      <c r="SOH103" s="3"/>
      <c r="SOI103" s="3"/>
      <c r="SOJ103" s="3"/>
      <c r="SOK103" s="3"/>
      <c r="SOL103" s="3"/>
      <c r="SOM103" s="3"/>
      <c r="SON103" s="3"/>
      <c r="SOO103" s="3"/>
      <c r="SOP103" s="3"/>
      <c r="SOQ103" s="3"/>
      <c r="SOR103" s="3"/>
      <c r="SOS103" s="3"/>
      <c r="SOT103" s="3"/>
      <c r="SOU103" s="3"/>
      <c r="SOV103" s="3"/>
      <c r="SOW103" s="3"/>
      <c r="SOX103" s="3"/>
      <c r="SOY103" s="3"/>
      <c r="SOZ103" s="3"/>
      <c r="SPA103" s="3"/>
      <c r="SPB103" s="3"/>
      <c r="SPC103" s="3"/>
      <c r="SPD103" s="3"/>
      <c r="SPE103" s="3"/>
      <c r="SPF103" s="3"/>
      <c r="SPG103" s="3"/>
      <c r="SPH103" s="3"/>
      <c r="SPI103" s="3"/>
      <c r="SPJ103" s="3"/>
      <c r="SPK103" s="3"/>
      <c r="SPL103" s="3"/>
      <c r="SPM103" s="3"/>
      <c r="SPN103" s="3"/>
      <c r="SPO103" s="3"/>
      <c r="SPP103" s="3"/>
      <c r="SPQ103" s="3"/>
      <c r="SPR103" s="3"/>
      <c r="SPS103" s="3"/>
      <c r="SPT103" s="3"/>
      <c r="SPU103" s="3"/>
      <c r="SPV103" s="3"/>
      <c r="SPW103" s="3"/>
      <c r="SPX103" s="3"/>
      <c r="SPY103" s="3"/>
      <c r="SPZ103" s="3"/>
      <c r="SQA103" s="3"/>
      <c r="SQB103" s="3"/>
      <c r="SQC103" s="3"/>
      <c r="SQD103" s="3"/>
      <c r="SQE103" s="3"/>
      <c r="SQF103" s="3"/>
      <c r="SQG103" s="3"/>
      <c r="SQH103" s="3"/>
      <c r="SQI103" s="3"/>
      <c r="SQJ103" s="3"/>
      <c r="SQK103" s="3"/>
      <c r="SQL103" s="3"/>
      <c r="SQM103" s="3"/>
      <c r="SQN103" s="3"/>
      <c r="SQO103" s="3"/>
      <c r="SQP103" s="3"/>
      <c r="SQQ103" s="3"/>
      <c r="SQR103" s="3"/>
      <c r="SQS103" s="3"/>
      <c r="SQT103" s="3"/>
      <c r="SQU103" s="3"/>
      <c r="SQV103" s="3"/>
      <c r="SQW103" s="3"/>
      <c r="SQX103" s="3"/>
      <c r="SQY103" s="3"/>
      <c r="SQZ103" s="3"/>
      <c r="SRA103" s="3"/>
      <c r="SRB103" s="3"/>
      <c r="SRC103" s="3"/>
      <c r="SRD103" s="3"/>
      <c r="SRE103" s="3"/>
      <c r="SRF103" s="3"/>
      <c r="SRG103" s="3"/>
      <c r="SRH103" s="3"/>
      <c r="SRI103" s="3"/>
      <c r="SRJ103" s="3"/>
      <c r="SRK103" s="3"/>
      <c r="SRL103" s="3"/>
      <c r="SRM103" s="3"/>
      <c r="SRN103" s="3"/>
      <c r="SRO103" s="3"/>
      <c r="SRP103" s="3"/>
      <c r="SRQ103" s="3"/>
      <c r="SRR103" s="3"/>
      <c r="SRS103" s="3"/>
      <c r="SRT103" s="3"/>
      <c r="SRU103" s="3"/>
      <c r="SRV103" s="3"/>
      <c r="SRW103" s="3"/>
      <c r="SRX103" s="3"/>
      <c r="SRY103" s="3"/>
      <c r="SRZ103" s="3"/>
      <c r="SSA103" s="3"/>
      <c r="SSB103" s="3"/>
      <c r="SSC103" s="3"/>
      <c r="SSD103" s="3"/>
      <c r="SSE103" s="3"/>
      <c r="SSF103" s="3"/>
      <c r="SSG103" s="3"/>
      <c r="SSH103" s="3"/>
      <c r="SSI103" s="3"/>
      <c r="SSJ103" s="3"/>
      <c r="SSK103" s="3"/>
      <c r="SSL103" s="3"/>
      <c r="SSM103" s="3"/>
      <c r="SSN103" s="3"/>
      <c r="SSO103" s="3"/>
      <c r="SSP103" s="3"/>
      <c r="SSQ103" s="3"/>
      <c r="SSR103" s="3"/>
      <c r="SSS103" s="3"/>
      <c r="SST103" s="3"/>
      <c r="SSU103" s="3"/>
      <c r="SSV103" s="3"/>
      <c r="SSW103" s="3"/>
      <c r="SSX103" s="3"/>
      <c r="SSY103" s="3"/>
      <c r="SSZ103" s="3"/>
      <c r="STA103" s="3"/>
      <c r="STB103" s="3"/>
      <c r="STC103" s="3"/>
      <c r="STD103" s="3"/>
      <c r="STE103" s="3"/>
      <c r="STF103" s="3"/>
      <c r="STG103" s="3"/>
      <c r="STH103" s="3"/>
      <c r="STI103" s="3"/>
      <c r="STJ103" s="3"/>
      <c r="STK103" s="3"/>
      <c r="STL103" s="3"/>
      <c r="STM103" s="3"/>
      <c r="STN103" s="3"/>
      <c r="STO103" s="3"/>
      <c r="STP103" s="3"/>
      <c r="STQ103" s="3"/>
      <c r="STR103" s="3"/>
      <c r="STS103" s="3"/>
      <c r="STT103" s="3"/>
      <c r="STU103" s="3"/>
      <c r="STV103" s="3"/>
      <c r="STW103" s="3"/>
      <c r="STX103" s="3"/>
      <c r="STY103" s="3"/>
      <c r="STZ103" s="3"/>
      <c r="SUA103" s="3"/>
      <c r="SUB103" s="3"/>
      <c r="SUC103" s="3"/>
      <c r="SUD103" s="3"/>
      <c r="SUE103" s="3"/>
      <c r="SUF103" s="3"/>
      <c r="SUG103" s="3"/>
      <c r="SUH103" s="3"/>
      <c r="SUI103" s="3"/>
      <c r="SUJ103" s="3"/>
      <c r="SUK103" s="3"/>
      <c r="SUL103" s="3"/>
      <c r="SUM103" s="3"/>
      <c r="SUN103" s="3"/>
      <c r="SUO103" s="3"/>
      <c r="SUP103" s="3"/>
      <c r="SUQ103" s="3"/>
      <c r="SUR103" s="3"/>
      <c r="SUS103" s="3"/>
      <c r="SUT103" s="3"/>
      <c r="SUU103" s="3"/>
      <c r="SUV103" s="3"/>
      <c r="SUW103" s="3"/>
      <c r="SUX103" s="3"/>
      <c r="SUY103" s="3"/>
      <c r="SUZ103" s="3"/>
      <c r="SVA103" s="3"/>
      <c r="SVB103" s="3"/>
      <c r="SVC103" s="3"/>
      <c r="SVD103" s="3"/>
      <c r="SVE103" s="3"/>
      <c r="SVF103" s="3"/>
      <c r="SVG103" s="3"/>
      <c r="SVH103" s="3"/>
      <c r="SVI103" s="3"/>
      <c r="SVJ103" s="3"/>
      <c r="SVK103" s="3"/>
      <c r="SVL103" s="3"/>
      <c r="SVM103" s="3"/>
      <c r="SVN103" s="3"/>
      <c r="SVO103" s="3"/>
      <c r="SVP103" s="3"/>
      <c r="SVQ103" s="3"/>
      <c r="SVR103" s="3"/>
      <c r="SVS103" s="3"/>
      <c r="SVT103" s="3"/>
      <c r="SVU103" s="3"/>
      <c r="SVV103" s="3"/>
      <c r="SVW103" s="3"/>
      <c r="SVX103" s="3"/>
      <c r="SVY103" s="3"/>
      <c r="SVZ103" s="3"/>
      <c r="SWA103" s="3"/>
      <c r="SWB103" s="3"/>
      <c r="SWC103" s="3"/>
      <c r="SWD103" s="3"/>
      <c r="SWE103" s="3"/>
      <c r="SWF103" s="3"/>
      <c r="SWG103" s="3"/>
      <c r="SWH103" s="3"/>
      <c r="SWI103" s="3"/>
      <c r="SWJ103" s="3"/>
      <c r="SWK103" s="3"/>
      <c r="SWL103" s="3"/>
      <c r="SWM103" s="3"/>
      <c r="SWN103" s="3"/>
      <c r="SWO103" s="3"/>
      <c r="SWP103" s="3"/>
      <c r="SWQ103" s="3"/>
      <c r="SWR103" s="3"/>
      <c r="SWS103" s="3"/>
      <c r="SWT103" s="3"/>
      <c r="SWU103" s="3"/>
      <c r="SWV103" s="3"/>
      <c r="SWW103" s="3"/>
      <c r="SWX103" s="3"/>
      <c r="SWY103" s="3"/>
      <c r="SWZ103" s="3"/>
      <c r="SXA103" s="3"/>
      <c r="SXB103" s="3"/>
      <c r="SXC103" s="3"/>
      <c r="SXD103" s="3"/>
      <c r="SXE103" s="3"/>
      <c r="SXF103" s="3"/>
      <c r="SXG103" s="3"/>
      <c r="SXH103" s="3"/>
      <c r="SXI103" s="3"/>
      <c r="SXJ103" s="3"/>
      <c r="SXK103" s="3"/>
      <c r="SXL103" s="3"/>
      <c r="SXM103" s="3"/>
      <c r="SXN103" s="3"/>
      <c r="SXO103" s="3"/>
      <c r="SXP103" s="3"/>
      <c r="SXQ103" s="3"/>
      <c r="SXR103" s="3"/>
      <c r="SXS103" s="3"/>
      <c r="SXT103" s="3"/>
      <c r="SXU103" s="3"/>
      <c r="SXV103" s="3"/>
      <c r="SXW103" s="3"/>
      <c r="SXX103" s="3"/>
      <c r="SXY103" s="3"/>
      <c r="SXZ103" s="3"/>
      <c r="SYA103" s="3"/>
      <c r="SYB103" s="3"/>
      <c r="SYC103" s="3"/>
      <c r="SYD103" s="3"/>
      <c r="SYE103" s="3"/>
      <c r="SYF103" s="3"/>
      <c r="SYG103" s="3"/>
      <c r="SYH103" s="3"/>
      <c r="SYI103" s="3"/>
      <c r="SYJ103" s="3"/>
      <c r="SYK103" s="3"/>
      <c r="SYL103" s="3"/>
      <c r="SYM103" s="3"/>
      <c r="SYN103" s="3"/>
      <c r="SYO103" s="3"/>
      <c r="SYP103" s="3"/>
      <c r="SYQ103" s="3"/>
      <c r="SYR103" s="3"/>
      <c r="SYS103" s="3"/>
      <c r="SYT103" s="3"/>
      <c r="SYU103" s="3"/>
      <c r="SYV103" s="3"/>
      <c r="SYW103" s="3"/>
      <c r="SYX103" s="3"/>
      <c r="SYY103" s="3"/>
      <c r="SYZ103" s="3"/>
      <c r="SZA103" s="3"/>
      <c r="SZB103" s="3"/>
      <c r="SZC103" s="3"/>
      <c r="SZD103" s="3"/>
      <c r="SZE103" s="3"/>
      <c r="SZF103" s="3"/>
      <c r="SZG103" s="3"/>
      <c r="SZH103" s="3"/>
      <c r="SZI103" s="3"/>
      <c r="SZJ103" s="3"/>
      <c r="SZK103" s="3"/>
      <c r="SZL103" s="3"/>
      <c r="SZM103" s="3"/>
      <c r="SZN103" s="3"/>
      <c r="SZO103" s="3"/>
      <c r="SZP103" s="3"/>
      <c r="SZQ103" s="3"/>
      <c r="SZR103" s="3"/>
      <c r="SZS103" s="3"/>
      <c r="SZT103" s="3"/>
      <c r="SZU103" s="3"/>
      <c r="SZV103" s="3"/>
      <c r="SZW103" s="3"/>
      <c r="SZX103" s="3"/>
      <c r="SZY103" s="3"/>
      <c r="SZZ103" s="3"/>
      <c r="TAA103" s="3"/>
      <c r="TAB103" s="3"/>
      <c r="TAC103" s="3"/>
      <c r="TAD103" s="3"/>
      <c r="TAE103" s="3"/>
      <c r="TAF103" s="3"/>
      <c r="TAG103" s="3"/>
      <c r="TAH103" s="3"/>
      <c r="TAI103" s="3"/>
      <c r="TAJ103" s="3"/>
      <c r="TAK103" s="3"/>
      <c r="TAL103" s="3"/>
      <c r="TAM103" s="3"/>
      <c r="TAN103" s="3"/>
      <c r="TAO103" s="3"/>
      <c r="TAP103" s="3"/>
      <c r="TAQ103" s="3"/>
      <c r="TAR103" s="3"/>
      <c r="TAS103" s="3"/>
      <c r="TAT103" s="3"/>
      <c r="TAU103" s="3"/>
      <c r="TAV103" s="3"/>
      <c r="TAW103" s="3"/>
      <c r="TAX103" s="3"/>
      <c r="TAY103" s="3"/>
      <c r="TAZ103" s="3"/>
      <c r="TBA103" s="3"/>
      <c r="TBB103" s="3"/>
      <c r="TBC103" s="3"/>
      <c r="TBD103" s="3"/>
      <c r="TBE103" s="3"/>
      <c r="TBF103" s="3"/>
      <c r="TBG103" s="3"/>
      <c r="TBH103" s="3"/>
      <c r="TBI103" s="3"/>
      <c r="TBJ103" s="3"/>
      <c r="TBK103" s="3"/>
      <c r="TBL103" s="3"/>
      <c r="TBM103" s="3"/>
      <c r="TBN103" s="3"/>
      <c r="TBO103" s="3"/>
      <c r="TBP103" s="3"/>
      <c r="TBQ103" s="3"/>
      <c r="TBR103" s="3"/>
      <c r="TBS103" s="3"/>
      <c r="TBT103" s="3"/>
      <c r="TBU103" s="3"/>
      <c r="TBV103" s="3"/>
      <c r="TBW103" s="3"/>
      <c r="TBX103" s="3"/>
      <c r="TBY103" s="3"/>
      <c r="TBZ103" s="3"/>
      <c r="TCA103" s="3"/>
      <c r="TCB103" s="3"/>
      <c r="TCC103" s="3"/>
      <c r="TCD103" s="3"/>
      <c r="TCE103" s="3"/>
      <c r="TCF103" s="3"/>
      <c r="TCG103" s="3"/>
      <c r="TCH103" s="3"/>
      <c r="TCI103" s="3"/>
      <c r="TCJ103" s="3"/>
      <c r="TCK103" s="3"/>
      <c r="TCL103" s="3"/>
      <c r="TCM103" s="3"/>
      <c r="TCN103" s="3"/>
      <c r="TCO103" s="3"/>
      <c r="TCP103" s="3"/>
      <c r="TCQ103" s="3"/>
      <c r="TCR103" s="3"/>
      <c r="TCS103" s="3"/>
      <c r="TCT103" s="3"/>
      <c r="TCU103" s="3"/>
      <c r="TCV103" s="3"/>
      <c r="TCW103" s="3"/>
      <c r="TCX103" s="3"/>
      <c r="TCY103" s="3"/>
      <c r="TCZ103" s="3"/>
      <c r="TDA103" s="3"/>
      <c r="TDB103" s="3"/>
      <c r="TDC103" s="3"/>
      <c r="TDD103" s="3"/>
      <c r="TDE103" s="3"/>
      <c r="TDF103" s="3"/>
      <c r="TDG103" s="3"/>
      <c r="TDH103" s="3"/>
      <c r="TDI103" s="3"/>
      <c r="TDJ103" s="3"/>
      <c r="TDK103" s="3"/>
      <c r="TDL103" s="3"/>
      <c r="TDM103" s="3"/>
      <c r="TDN103" s="3"/>
      <c r="TDO103" s="3"/>
      <c r="TDP103" s="3"/>
      <c r="TDQ103" s="3"/>
      <c r="TDR103" s="3"/>
      <c r="TDS103" s="3"/>
      <c r="TDT103" s="3"/>
      <c r="TDU103" s="3"/>
      <c r="TDV103" s="3"/>
      <c r="TDW103" s="3"/>
      <c r="TDX103" s="3"/>
      <c r="TDY103" s="3"/>
      <c r="TDZ103" s="3"/>
      <c r="TEA103" s="3"/>
      <c r="TEB103" s="3"/>
      <c r="TEC103" s="3"/>
      <c r="TED103" s="3"/>
      <c r="TEE103" s="3"/>
      <c r="TEF103" s="3"/>
      <c r="TEG103" s="3"/>
      <c r="TEH103" s="3"/>
      <c r="TEI103" s="3"/>
      <c r="TEJ103" s="3"/>
      <c r="TEK103" s="3"/>
      <c r="TEL103" s="3"/>
      <c r="TEM103" s="3"/>
      <c r="TEN103" s="3"/>
      <c r="TEO103" s="3"/>
      <c r="TEP103" s="3"/>
      <c r="TEQ103" s="3"/>
      <c r="TER103" s="3"/>
      <c r="TES103" s="3"/>
      <c r="TET103" s="3"/>
      <c r="TEU103" s="3"/>
      <c r="TEV103" s="3"/>
      <c r="TEW103" s="3"/>
      <c r="TEX103" s="3"/>
      <c r="TEY103" s="3"/>
      <c r="TEZ103" s="3"/>
      <c r="TFA103" s="3"/>
      <c r="TFB103" s="3"/>
      <c r="TFC103" s="3"/>
      <c r="TFD103" s="3"/>
      <c r="TFE103" s="3"/>
      <c r="TFF103" s="3"/>
      <c r="TFG103" s="3"/>
      <c r="TFH103" s="3"/>
      <c r="TFI103" s="3"/>
      <c r="TFJ103" s="3"/>
      <c r="TFK103" s="3"/>
      <c r="TFL103" s="3"/>
      <c r="TFM103" s="3"/>
      <c r="TFN103" s="3"/>
      <c r="TFO103" s="3"/>
      <c r="TFP103" s="3"/>
      <c r="TFQ103" s="3"/>
      <c r="TFR103" s="3"/>
      <c r="TFS103" s="3"/>
      <c r="TFT103" s="3"/>
      <c r="TFU103" s="3"/>
      <c r="TFV103" s="3"/>
      <c r="TFW103" s="3"/>
      <c r="TFX103" s="3"/>
      <c r="TFY103" s="3"/>
      <c r="TFZ103" s="3"/>
      <c r="TGA103" s="3"/>
      <c r="TGB103" s="3"/>
      <c r="TGC103" s="3"/>
      <c r="TGD103" s="3"/>
      <c r="TGE103" s="3"/>
      <c r="TGF103" s="3"/>
      <c r="TGG103" s="3"/>
      <c r="TGH103" s="3"/>
      <c r="TGI103" s="3"/>
      <c r="TGJ103" s="3"/>
      <c r="TGK103" s="3"/>
      <c r="TGL103" s="3"/>
      <c r="TGM103" s="3"/>
      <c r="TGN103" s="3"/>
      <c r="TGO103" s="3"/>
      <c r="TGP103" s="3"/>
      <c r="TGQ103" s="3"/>
      <c r="TGR103" s="3"/>
      <c r="TGS103" s="3"/>
      <c r="TGT103" s="3"/>
      <c r="TGU103" s="3"/>
      <c r="TGV103" s="3"/>
      <c r="TGW103" s="3"/>
      <c r="TGX103" s="3"/>
      <c r="TGY103" s="3"/>
      <c r="TGZ103" s="3"/>
      <c r="THA103" s="3"/>
      <c r="THB103" s="3"/>
      <c r="THC103" s="3"/>
      <c r="THD103" s="3"/>
      <c r="THE103" s="3"/>
      <c r="THF103" s="3"/>
      <c r="THG103" s="3"/>
      <c r="THH103" s="3"/>
      <c r="THI103" s="3"/>
      <c r="THJ103" s="3"/>
      <c r="THK103" s="3"/>
      <c r="THL103" s="3"/>
      <c r="THM103" s="3"/>
      <c r="THN103" s="3"/>
      <c r="THO103" s="3"/>
      <c r="THP103" s="3"/>
      <c r="THQ103" s="3"/>
      <c r="THR103" s="3"/>
      <c r="THS103" s="3"/>
      <c r="THT103" s="3"/>
      <c r="THU103" s="3"/>
      <c r="THV103" s="3"/>
      <c r="THW103" s="3"/>
      <c r="THX103" s="3"/>
      <c r="THY103" s="3"/>
      <c r="THZ103" s="3"/>
      <c r="TIA103" s="3"/>
      <c r="TIB103" s="3"/>
      <c r="TIC103" s="3"/>
      <c r="TID103" s="3"/>
      <c r="TIE103" s="3"/>
      <c r="TIF103" s="3"/>
      <c r="TIG103" s="3"/>
      <c r="TIH103" s="3"/>
      <c r="TII103" s="3"/>
      <c r="TIJ103" s="3"/>
      <c r="TIK103" s="3"/>
      <c r="TIL103" s="3"/>
      <c r="TIM103" s="3"/>
      <c r="TIN103" s="3"/>
      <c r="TIO103" s="3"/>
      <c r="TIP103" s="3"/>
      <c r="TIQ103" s="3"/>
      <c r="TIR103" s="3"/>
      <c r="TIS103" s="3"/>
      <c r="TIT103" s="3"/>
      <c r="TIU103" s="3"/>
      <c r="TIV103" s="3"/>
      <c r="TIW103" s="3"/>
      <c r="TIX103" s="3"/>
      <c r="TIY103" s="3"/>
      <c r="TIZ103" s="3"/>
      <c r="TJA103" s="3"/>
      <c r="TJB103" s="3"/>
      <c r="TJC103" s="3"/>
      <c r="TJD103" s="3"/>
      <c r="TJE103" s="3"/>
      <c r="TJF103" s="3"/>
      <c r="TJG103" s="3"/>
      <c r="TJH103" s="3"/>
      <c r="TJI103" s="3"/>
      <c r="TJJ103" s="3"/>
      <c r="TJK103" s="3"/>
      <c r="TJL103" s="3"/>
      <c r="TJM103" s="3"/>
      <c r="TJN103" s="3"/>
      <c r="TJO103" s="3"/>
      <c r="TJP103" s="3"/>
      <c r="TJQ103" s="3"/>
      <c r="TJR103" s="3"/>
      <c r="TJS103" s="3"/>
      <c r="TJT103" s="3"/>
      <c r="TJU103" s="3"/>
      <c r="TJV103" s="3"/>
      <c r="TJW103" s="3"/>
      <c r="TJX103" s="3"/>
      <c r="TJY103" s="3"/>
      <c r="TJZ103" s="3"/>
      <c r="TKA103" s="3"/>
      <c r="TKB103" s="3"/>
      <c r="TKC103" s="3"/>
      <c r="TKD103" s="3"/>
      <c r="TKE103" s="3"/>
      <c r="TKF103" s="3"/>
      <c r="TKG103" s="3"/>
      <c r="TKH103" s="3"/>
      <c r="TKI103" s="3"/>
      <c r="TKJ103" s="3"/>
      <c r="TKK103" s="3"/>
      <c r="TKL103" s="3"/>
      <c r="TKM103" s="3"/>
      <c r="TKN103" s="3"/>
      <c r="TKO103" s="3"/>
      <c r="TKP103" s="3"/>
      <c r="TKQ103" s="3"/>
      <c r="TKR103" s="3"/>
      <c r="TKS103" s="3"/>
      <c r="TKT103" s="3"/>
      <c r="TKU103" s="3"/>
      <c r="TKV103" s="3"/>
      <c r="TKW103" s="3"/>
      <c r="TKX103" s="3"/>
      <c r="TKY103" s="3"/>
      <c r="TKZ103" s="3"/>
      <c r="TLA103" s="3"/>
      <c r="TLB103" s="3"/>
      <c r="TLC103" s="3"/>
      <c r="TLD103" s="3"/>
      <c r="TLE103" s="3"/>
      <c r="TLF103" s="3"/>
      <c r="TLG103" s="3"/>
      <c r="TLH103" s="3"/>
      <c r="TLI103" s="3"/>
      <c r="TLJ103" s="3"/>
      <c r="TLK103" s="3"/>
      <c r="TLL103" s="3"/>
      <c r="TLM103" s="3"/>
      <c r="TLN103" s="3"/>
      <c r="TLO103" s="3"/>
      <c r="TLP103" s="3"/>
      <c r="TLQ103" s="3"/>
      <c r="TLR103" s="3"/>
      <c r="TLS103" s="3"/>
      <c r="TLT103" s="3"/>
      <c r="TLU103" s="3"/>
      <c r="TLV103" s="3"/>
      <c r="TLW103" s="3"/>
      <c r="TLX103" s="3"/>
      <c r="TLY103" s="3"/>
      <c r="TLZ103" s="3"/>
      <c r="TMA103" s="3"/>
      <c r="TMB103" s="3"/>
      <c r="TMC103" s="3"/>
      <c r="TMD103" s="3"/>
      <c r="TME103" s="3"/>
      <c r="TMF103" s="3"/>
      <c r="TMG103" s="3"/>
      <c r="TMH103" s="3"/>
      <c r="TMI103" s="3"/>
      <c r="TMJ103" s="3"/>
      <c r="TMK103" s="3"/>
      <c r="TML103" s="3"/>
      <c r="TMM103" s="3"/>
      <c r="TMN103" s="3"/>
      <c r="TMO103" s="3"/>
      <c r="TMP103" s="3"/>
      <c r="TMQ103" s="3"/>
      <c r="TMR103" s="3"/>
      <c r="TMS103" s="3"/>
      <c r="TMT103" s="3"/>
      <c r="TMU103" s="3"/>
      <c r="TMV103" s="3"/>
      <c r="TMW103" s="3"/>
      <c r="TMX103" s="3"/>
      <c r="TMY103" s="3"/>
      <c r="TMZ103" s="3"/>
      <c r="TNA103" s="3"/>
      <c r="TNB103" s="3"/>
      <c r="TNC103" s="3"/>
      <c r="TND103" s="3"/>
      <c r="TNE103" s="3"/>
      <c r="TNF103" s="3"/>
      <c r="TNG103" s="3"/>
      <c r="TNH103" s="3"/>
      <c r="TNI103" s="3"/>
      <c r="TNJ103" s="3"/>
      <c r="TNK103" s="3"/>
      <c r="TNL103" s="3"/>
      <c r="TNM103" s="3"/>
      <c r="TNN103" s="3"/>
      <c r="TNO103" s="3"/>
      <c r="TNP103" s="3"/>
      <c r="TNQ103" s="3"/>
      <c r="TNR103" s="3"/>
      <c r="TNS103" s="3"/>
      <c r="TNT103" s="3"/>
      <c r="TNU103" s="3"/>
      <c r="TNV103" s="3"/>
      <c r="TNW103" s="3"/>
      <c r="TNX103" s="3"/>
      <c r="TNY103" s="3"/>
      <c r="TNZ103" s="3"/>
      <c r="TOA103" s="3"/>
      <c r="TOB103" s="3"/>
      <c r="TOC103" s="3"/>
      <c r="TOD103" s="3"/>
      <c r="TOE103" s="3"/>
      <c r="TOF103" s="3"/>
      <c r="TOG103" s="3"/>
      <c r="TOH103" s="3"/>
      <c r="TOI103" s="3"/>
      <c r="TOJ103" s="3"/>
      <c r="TOK103" s="3"/>
      <c r="TOL103" s="3"/>
      <c r="TOM103" s="3"/>
      <c r="TON103" s="3"/>
      <c r="TOO103" s="3"/>
      <c r="TOP103" s="3"/>
      <c r="TOQ103" s="3"/>
      <c r="TOR103" s="3"/>
      <c r="TOS103" s="3"/>
      <c r="TOT103" s="3"/>
      <c r="TOU103" s="3"/>
      <c r="TOV103" s="3"/>
      <c r="TOW103" s="3"/>
      <c r="TOX103" s="3"/>
      <c r="TOY103" s="3"/>
      <c r="TOZ103" s="3"/>
      <c r="TPA103" s="3"/>
      <c r="TPB103" s="3"/>
      <c r="TPC103" s="3"/>
      <c r="TPD103" s="3"/>
      <c r="TPE103" s="3"/>
      <c r="TPF103" s="3"/>
      <c r="TPG103" s="3"/>
      <c r="TPH103" s="3"/>
      <c r="TPI103" s="3"/>
      <c r="TPJ103" s="3"/>
      <c r="TPK103" s="3"/>
      <c r="TPL103" s="3"/>
      <c r="TPM103" s="3"/>
      <c r="TPN103" s="3"/>
      <c r="TPO103" s="3"/>
      <c r="TPP103" s="3"/>
      <c r="TPQ103" s="3"/>
      <c r="TPR103" s="3"/>
      <c r="TPS103" s="3"/>
      <c r="TPT103" s="3"/>
      <c r="TPU103" s="3"/>
      <c r="TPV103" s="3"/>
      <c r="TPW103" s="3"/>
      <c r="TPX103" s="3"/>
      <c r="TPY103" s="3"/>
      <c r="TPZ103" s="3"/>
      <c r="TQA103" s="3"/>
      <c r="TQB103" s="3"/>
      <c r="TQC103" s="3"/>
      <c r="TQD103" s="3"/>
      <c r="TQE103" s="3"/>
      <c r="TQF103" s="3"/>
      <c r="TQG103" s="3"/>
      <c r="TQH103" s="3"/>
      <c r="TQI103" s="3"/>
      <c r="TQJ103" s="3"/>
      <c r="TQK103" s="3"/>
      <c r="TQL103" s="3"/>
      <c r="TQM103" s="3"/>
      <c r="TQN103" s="3"/>
      <c r="TQO103" s="3"/>
      <c r="TQP103" s="3"/>
      <c r="TQQ103" s="3"/>
      <c r="TQR103" s="3"/>
      <c r="TQS103" s="3"/>
      <c r="TQT103" s="3"/>
      <c r="TQU103" s="3"/>
      <c r="TQV103" s="3"/>
      <c r="TQW103" s="3"/>
      <c r="TQX103" s="3"/>
      <c r="TQY103" s="3"/>
      <c r="TQZ103" s="3"/>
      <c r="TRA103" s="3"/>
      <c r="TRB103" s="3"/>
      <c r="TRC103" s="3"/>
      <c r="TRD103" s="3"/>
      <c r="TRE103" s="3"/>
      <c r="TRF103" s="3"/>
      <c r="TRG103" s="3"/>
      <c r="TRH103" s="3"/>
      <c r="TRI103" s="3"/>
      <c r="TRJ103" s="3"/>
      <c r="TRK103" s="3"/>
      <c r="TRL103" s="3"/>
      <c r="TRM103" s="3"/>
      <c r="TRN103" s="3"/>
      <c r="TRO103" s="3"/>
      <c r="TRP103" s="3"/>
      <c r="TRQ103" s="3"/>
      <c r="TRR103" s="3"/>
      <c r="TRS103" s="3"/>
      <c r="TRT103" s="3"/>
      <c r="TRU103" s="3"/>
      <c r="TRV103" s="3"/>
      <c r="TRW103" s="3"/>
      <c r="TRX103" s="3"/>
      <c r="TRY103" s="3"/>
      <c r="TRZ103" s="3"/>
      <c r="TSA103" s="3"/>
      <c r="TSB103" s="3"/>
      <c r="TSC103" s="3"/>
      <c r="TSD103" s="3"/>
      <c r="TSE103" s="3"/>
      <c r="TSF103" s="3"/>
      <c r="TSG103" s="3"/>
      <c r="TSH103" s="3"/>
      <c r="TSI103" s="3"/>
      <c r="TSJ103" s="3"/>
      <c r="TSK103" s="3"/>
      <c r="TSL103" s="3"/>
      <c r="TSM103" s="3"/>
      <c r="TSN103" s="3"/>
      <c r="TSO103" s="3"/>
      <c r="TSP103" s="3"/>
      <c r="TSQ103" s="3"/>
      <c r="TSR103" s="3"/>
      <c r="TSS103" s="3"/>
      <c r="TST103" s="3"/>
      <c r="TSU103" s="3"/>
      <c r="TSV103" s="3"/>
      <c r="TSW103" s="3"/>
      <c r="TSX103" s="3"/>
      <c r="TSY103" s="3"/>
      <c r="TSZ103" s="3"/>
      <c r="TTA103" s="3"/>
      <c r="TTB103" s="3"/>
      <c r="TTC103" s="3"/>
      <c r="TTD103" s="3"/>
      <c r="TTE103" s="3"/>
      <c r="TTF103" s="3"/>
      <c r="TTG103" s="3"/>
      <c r="TTH103" s="3"/>
      <c r="TTI103" s="3"/>
      <c r="TTJ103" s="3"/>
      <c r="TTK103" s="3"/>
      <c r="TTL103" s="3"/>
      <c r="TTM103" s="3"/>
      <c r="TTN103" s="3"/>
      <c r="TTO103" s="3"/>
      <c r="TTP103" s="3"/>
      <c r="TTQ103" s="3"/>
      <c r="TTR103" s="3"/>
      <c r="TTS103" s="3"/>
      <c r="TTT103" s="3"/>
      <c r="TTU103" s="3"/>
      <c r="TTV103" s="3"/>
      <c r="TTW103" s="3"/>
      <c r="TTX103" s="3"/>
      <c r="TTY103" s="3"/>
      <c r="TTZ103" s="3"/>
      <c r="TUA103" s="3"/>
      <c r="TUB103" s="3"/>
      <c r="TUC103" s="3"/>
      <c r="TUD103" s="3"/>
      <c r="TUE103" s="3"/>
      <c r="TUF103" s="3"/>
      <c r="TUG103" s="3"/>
      <c r="TUH103" s="3"/>
      <c r="TUI103" s="3"/>
      <c r="TUJ103" s="3"/>
      <c r="TUK103" s="3"/>
      <c r="TUL103" s="3"/>
      <c r="TUM103" s="3"/>
      <c r="TUN103" s="3"/>
      <c r="TUO103" s="3"/>
      <c r="TUP103" s="3"/>
      <c r="TUQ103" s="3"/>
      <c r="TUR103" s="3"/>
      <c r="TUS103" s="3"/>
      <c r="TUT103" s="3"/>
      <c r="TUU103" s="3"/>
      <c r="TUV103" s="3"/>
      <c r="TUW103" s="3"/>
      <c r="TUX103" s="3"/>
      <c r="TUY103" s="3"/>
      <c r="TUZ103" s="3"/>
      <c r="TVA103" s="3"/>
      <c r="TVB103" s="3"/>
      <c r="TVC103" s="3"/>
      <c r="TVD103" s="3"/>
      <c r="TVE103" s="3"/>
      <c r="TVF103" s="3"/>
      <c r="TVG103" s="3"/>
      <c r="TVH103" s="3"/>
      <c r="TVI103" s="3"/>
      <c r="TVJ103" s="3"/>
      <c r="TVK103" s="3"/>
      <c r="TVL103" s="3"/>
      <c r="TVM103" s="3"/>
      <c r="TVN103" s="3"/>
      <c r="TVO103" s="3"/>
      <c r="TVP103" s="3"/>
      <c r="TVQ103" s="3"/>
      <c r="TVR103" s="3"/>
      <c r="TVS103" s="3"/>
      <c r="TVT103" s="3"/>
      <c r="TVU103" s="3"/>
      <c r="TVV103" s="3"/>
      <c r="TVW103" s="3"/>
      <c r="TVX103" s="3"/>
      <c r="TVY103" s="3"/>
      <c r="TVZ103" s="3"/>
      <c r="TWA103" s="3"/>
      <c r="TWB103" s="3"/>
      <c r="TWC103" s="3"/>
      <c r="TWD103" s="3"/>
      <c r="TWE103" s="3"/>
      <c r="TWF103" s="3"/>
      <c r="TWG103" s="3"/>
      <c r="TWH103" s="3"/>
      <c r="TWI103" s="3"/>
      <c r="TWJ103" s="3"/>
      <c r="TWK103" s="3"/>
      <c r="TWL103" s="3"/>
      <c r="TWM103" s="3"/>
      <c r="TWN103" s="3"/>
      <c r="TWO103" s="3"/>
      <c r="TWP103" s="3"/>
      <c r="TWQ103" s="3"/>
      <c r="TWR103" s="3"/>
      <c r="TWS103" s="3"/>
      <c r="TWT103" s="3"/>
      <c r="TWU103" s="3"/>
      <c r="TWV103" s="3"/>
      <c r="TWW103" s="3"/>
      <c r="TWX103" s="3"/>
      <c r="TWY103" s="3"/>
      <c r="TWZ103" s="3"/>
      <c r="TXA103" s="3"/>
      <c r="TXB103" s="3"/>
      <c r="TXC103" s="3"/>
      <c r="TXD103" s="3"/>
      <c r="TXE103" s="3"/>
      <c r="TXF103" s="3"/>
      <c r="TXG103" s="3"/>
      <c r="TXH103" s="3"/>
      <c r="TXI103" s="3"/>
      <c r="TXJ103" s="3"/>
      <c r="TXK103" s="3"/>
      <c r="TXL103" s="3"/>
      <c r="TXM103" s="3"/>
      <c r="TXN103" s="3"/>
      <c r="TXO103" s="3"/>
      <c r="TXP103" s="3"/>
      <c r="TXQ103" s="3"/>
      <c r="TXR103" s="3"/>
      <c r="TXS103" s="3"/>
      <c r="TXT103" s="3"/>
      <c r="TXU103" s="3"/>
      <c r="TXV103" s="3"/>
      <c r="TXW103" s="3"/>
      <c r="TXX103" s="3"/>
      <c r="TXY103" s="3"/>
      <c r="TXZ103" s="3"/>
      <c r="TYA103" s="3"/>
      <c r="TYB103" s="3"/>
      <c r="TYC103" s="3"/>
      <c r="TYD103" s="3"/>
      <c r="TYE103" s="3"/>
      <c r="TYF103" s="3"/>
      <c r="TYG103" s="3"/>
      <c r="TYH103" s="3"/>
      <c r="TYI103" s="3"/>
      <c r="TYJ103" s="3"/>
      <c r="TYK103" s="3"/>
      <c r="TYL103" s="3"/>
      <c r="TYM103" s="3"/>
      <c r="TYN103" s="3"/>
      <c r="TYO103" s="3"/>
      <c r="TYP103" s="3"/>
      <c r="TYQ103" s="3"/>
      <c r="TYR103" s="3"/>
      <c r="TYS103" s="3"/>
      <c r="TYT103" s="3"/>
      <c r="TYU103" s="3"/>
      <c r="TYV103" s="3"/>
      <c r="TYW103" s="3"/>
      <c r="TYX103" s="3"/>
      <c r="TYY103" s="3"/>
      <c r="TYZ103" s="3"/>
      <c r="TZA103" s="3"/>
      <c r="TZB103" s="3"/>
      <c r="TZC103" s="3"/>
      <c r="TZD103" s="3"/>
      <c r="TZE103" s="3"/>
      <c r="TZF103" s="3"/>
      <c r="TZG103" s="3"/>
      <c r="TZH103" s="3"/>
      <c r="TZI103" s="3"/>
      <c r="TZJ103" s="3"/>
      <c r="TZK103" s="3"/>
      <c r="TZL103" s="3"/>
      <c r="TZM103" s="3"/>
      <c r="TZN103" s="3"/>
      <c r="TZO103" s="3"/>
      <c r="TZP103" s="3"/>
      <c r="TZQ103" s="3"/>
      <c r="TZR103" s="3"/>
      <c r="TZS103" s="3"/>
      <c r="TZT103" s="3"/>
      <c r="TZU103" s="3"/>
      <c r="TZV103" s="3"/>
      <c r="TZW103" s="3"/>
      <c r="TZX103" s="3"/>
      <c r="TZY103" s="3"/>
      <c r="TZZ103" s="3"/>
      <c r="UAA103" s="3"/>
      <c r="UAB103" s="3"/>
      <c r="UAC103" s="3"/>
      <c r="UAD103" s="3"/>
      <c r="UAE103" s="3"/>
      <c r="UAF103" s="3"/>
      <c r="UAG103" s="3"/>
      <c r="UAH103" s="3"/>
      <c r="UAI103" s="3"/>
      <c r="UAJ103" s="3"/>
      <c r="UAK103" s="3"/>
      <c r="UAL103" s="3"/>
      <c r="UAM103" s="3"/>
      <c r="UAN103" s="3"/>
      <c r="UAO103" s="3"/>
      <c r="UAP103" s="3"/>
      <c r="UAQ103" s="3"/>
      <c r="UAR103" s="3"/>
      <c r="UAS103" s="3"/>
      <c r="UAT103" s="3"/>
      <c r="UAU103" s="3"/>
      <c r="UAV103" s="3"/>
      <c r="UAW103" s="3"/>
      <c r="UAX103" s="3"/>
      <c r="UAY103" s="3"/>
      <c r="UAZ103" s="3"/>
      <c r="UBA103" s="3"/>
      <c r="UBB103" s="3"/>
      <c r="UBC103" s="3"/>
      <c r="UBD103" s="3"/>
      <c r="UBE103" s="3"/>
      <c r="UBF103" s="3"/>
      <c r="UBG103" s="3"/>
      <c r="UBH103" s="3"/>
      <c r="UBI103" s="3"/>
      <c r="UBJ103" s="3"/>
      <c r="UBK103" s="3"/>
      <c r="UBL103" s="3"/>
      <c r="UBM103" s="3"/>
      <c r="UBN103" s="3"/>
      <c r="UBO103" s="3"/>
      <c r="UBP103" s="3"/>
      <c r="UBQ103" s="3"/>
      <c r="UBR103" s="3"/>
      <c r="UBS103" s="3"/>
      <c r="UBT103" s="3"/>
      <c r="UBU103" s="3"/>
      <c r="UBV103" s="3"/>
      <c r="UBW103" s="3"/>
      <c r="UBX103" s="3"/>
      <c r="UBY103" s="3"/>
      <c r="UBZ103" s="3"/>
      <c r="UCA103" s="3"/>
      <c r="UCB103" s="3"/>
      <c r="UCC103" s="3"/>
      <c r="UCD103" s="3"/>
      <c r="UCE103" s="3"/>
      <c r="UCF103" s="3"/>
      <c r="UCG103" s="3"/>
      <c r="UCH103" s="3"/>
      <c r="UCI103" s="3"/>
      <c r="UCJ103" s="3"/>
      <c r="UCK103" s="3"/>
      <c r="UCL103" s="3"/>
      <c r="UCM103" s="3"/>
      <c r="UCN103" s="3"/>
      <c r="UCO103" s="3"/>
      <c r="UCP103" s="3"/>
      <c r="UCQ103" s="3"/>
      <c r="UCR103" s="3"/>
      <c r="UCS103" s="3"/>
      <c r="UCT103" s="3"/>
      <c r="UCU103" s="3"/>
      <c r="UCV103" s="3"/>
      <c r="UCW103" s="3"/>
      <c r="UCX103" s="3"/>
      <c r="UCY103" s="3"/>
      <c r="UCZ103" s="3"/>
      <c r="UDA103" s="3"/>
      <c r="UDB103" s="3"/>
      <c r="UDC103" s="3"/>
      <c r="UDD103" s="3"/>
      <c r="UDE103" s="3"/>
      <c r="UDF103" s="3"/>
      <c r="UDG103" s="3"/>
      <c r="UDH103" s="3"/>
      <c r="UDI103" s="3"/>
      <c r="UDJ103" s="3"/>
      <c r="UDK103" s="3"/>
      <c r="UDL103" s="3"/>
      <c r="UDM103" s="3"/>
      <c r="UDN103" s="3"/>
      <c r="UDO103" s="3"/>
      <c r="UDP103" s="3"/>
      <c r="UDQ103" s="3"/>
      <c r="UDR103" s="3"/>
      <c r="UDS103" s="3"/>
      <c r="UDT103" s="3"/>
      <c r="UDU103" s="3"/>
      <c r="UDV103" s="3"/>
      <c r="UDW103" s="3"/>
      <c r="UDX103" s="3"/>
      <c r="UDY103" s="3"/>
      <c r="UDZ103" s="3"/>
      <c r="UEA103" s="3"/>
      <c r="UEB103" s="3"/>
      <c r="UEC103" s="3"/>
      <c r="UED103" s="3"/>
      <c r="UEE103" s="3"/>
      <c r="UEF103" s="3"/>
      <c r="UEG103" s="3"/>
      <c r="UEH103" s="3"/>
      <c r="UEI103" s="3"/>
      <c r="UEJ103" s="3"/>
      <c r="UEK103" s="3"/>
      <c r="UEL103" s="3"/>
      <c r="UEM103" s="3"/>
      <c r="UEN103" s="3"/>
      <c r="UEO103" s="3"/>
      <c r="UEP103" s="3"/>
      <c r="UEQ103" s="3"/>
      <c r="UER103" s="3"/>
      <c r="UES103" s="3"/>
      <c r="UET103" s="3"/>
      <c r="UEU103" s="3"/>
      <c r="UEV103" s="3"/>
      <c r="UEW103" s="3"/>
      <c r="UEX103" s="3"/>
      <c r="UEY103" s="3"/>
      <c r="UEZ103" s="3"/>
      <c r="UFA103" s="3"/>
      <c r="UFB103" s="3"/>
      <c r="UFC103" s="3"/>
      <c r="UFD103" s="3"/>
      <c r="UFE103" s="3"/>
      <c r="UFF103" s="3"/>
      <c r="UFG103" s="3"/>
      <c r="UFH103" s="3"/>
      <c r="UFI103" s="3"/>
      <c r="UFJ103" s="3"/>
      <c r="UFK103" s="3"/>
      <c r="UFL103" s="3"/>
      <c r="UFM103" s="3"/>
      <c r="UFN103" s="3"/>
      <c r="UFO103" s="3"/>
      <c r="UFP103" s="3"/>
      <c r="UFQ103" s="3"/>
      <c r="UFR103" s="3"/>
      <c r="UFS103" s="3"/>
      <c r="UFT103" s="3"/>
      <c r="UFU103" s="3"/>
      <c r="UFV103" s="3"/>
      <c r="UFW103" s="3"/>
      <c r="UFX103" s="3"/>
      <c r="UFY103" s="3"/>
      <c r="UFZ103" s="3"/>
      <c r="UGA103" s="3"/>
      <c r="UGB103" s="3"/>
      <c r="UGC103" s="3"/>
      <c r="UGD103" s="3"/>
      <c r="UGE103" s="3"/>
      <c r="UGF103" s="3"/>
      <c r="UGG103" s="3"/>
      <c r="UGH103" s="3"/>
      <c r="UGI103" s="3"/>
      <c r="UGJ103" s="3"/>
      <c r="UGK103" s="3"/>
      <c r="UGL103" s="3"/>
      <c r="UGM103" s="3"/>
      <c r="UGN103" s="3"/>
      <c r="UGO103" s="3"/>
      <c r="UGP103" s="3"/>
      <c r="UGQ103" s="3"/>
      <c r="UGR103" s="3"/>
      <c r="UGS103" s="3"/>
      <c r="UGT103" s="3"/>
      <c r="UGU103" s="3"/>
      <c r="UGV103" s="3"/>
      <c r="UGW103" s="3"/>
      <c r="UGX103" s="3"/>
      <c r="UGY103" s="3"/>
      <c r="UGZ103" s="3"/>
      <c r="UHA103" s="3"/>
      <c r="UHB103" s="3"/>
      <c r="UHC103" s="3"/>
      <c r="UHD103" s="3"/>
      <c r="UHE103" s="3"/>
      <c r="UHF103" s="3"/>
      <c r="UHG103" s="3"/>
      <c r="UHH103" s="3"/>
      <c r="UHI103" s="3"/>
      <c r="UHJ103" s="3"/>
      <c r="UHK103" s="3"/>
      <c r="UHL103" s="3"/>
      <c r="UHM103" s="3"/>
      <c r="UHN103" s="3"/>
      <c r="UHO103" s="3"/>
      <c r="UHP103" s="3"/>
      <c r="UHQ103" s="3"/>
      <c r="UHR103" s="3"/>
      <c r="UHS103" s="3"/>
      <c r="UHT103" s="3"/>
      <c r="UHU103" s="3"/>
      <c r="UHV103" s="3"/>
      <c r="UHW103" s="3"/>
      <c r="UHX103" s="3"/>
      <c r="UHY103" s="3"/>
      <c r="UHZ103" s="3"/>
      <c r="UIA103" s="3"/>
      <c r="UIB103" s="3"/>
      <c r="UIC103" s="3"/>
      <c r="UID103" s="3"/>
      <c r="UIE103" s="3"/>
      <c r="UIF103" s="3"/>
      <c r="UIG103" s="3"/>
      <c r="UIH103" s="3"/>
      <c r="UII103" s="3"/>
      <c r="UIJ103" s="3"/>
      <c r="UIK103" s="3"/>
      <c r="UIL103" s="3"/>
      <c r="UIM103" s="3"/>
      <c r="UIN103" s="3"/>
      <c r="UIO103" s="3"/>
      <c r="UIP103" s="3"/>
      <c r="UIQ103" s="3"/>
      <c r="UIR103" s="3"/>
      <c r="UIS103" s="3"/>
      <c r="UIT103" s="3"/>
      <c r="UIU103" s="3"/>
      <c r="UIV103" s="3"/>
      <c r="UIW103" s="3"/>
      <c r="UIX103" s="3"/>
      <c r="UIY103" s="3"/>
      <c r="UIZ103" s="3"/>
      <c r="UJA103" s="3"/>
      <c r="UJB103" s="3"/>
      <c r="UJC103" s="3"/>
      <c r="UJD103" s="3"/>
      <c r="UJE103" s="3"/>
      <c r="UJF103" s="3"/>
      <c r="UJG103" s="3"/>
      <c r="UJH103" s="3"/>
      <c r="UJI103" s="3"/>
      <c r="UJJ103" s="3"/>
      <c r="UJK103" s="3"/>
      <c r="UJL103" s="3"/>
      <c r="UJM103" s="3"/>
      <c r="UJN103" s="3"/>
      <c r="UJO103" s="3"/>
      <c r="UJP103" s="3"/>
      <c r="UJQ103" s="3"/>
      <c r="UJR103" s="3"/>
      <c r="UJS103" s="3"/>
      <c r="UJT103" s="3"/>
      <c r="UJU103" s="3"/>
      <c r="UJV103" s="3"/>
      <c r="UJW103" s="3"/>
      <c r="UJX103" s="3"/>
      <c r="UJY103" s="3"/>
      <c r="UJZ103" s="3"/>
      <c r="UKA103" s="3"/>
      <c r="UKB103" s="3"/>
      <c r="UKC103" s="3"/>
      <c r="UKD103" s="3"/>
      <c r="UKE103" s="3"/>
      <c r="UKF103" s="3"/>
      <c r="UKG103" s="3"/>
      <c r="UKH103" s="3"/>
      <c r="UKI103" s="3"/>
      <c r="UKJ103" s="3"/>
      <c r="UKK103" s="3"/>
      <c r="UKL103" s="3"/>
      <c r="UKM103" s="3"/>
      <c r="UKN103" s="3"/>
      <c r="UKO103" s="3"/>
      <c r="UKP103" s="3"/>
      <c r="UKQ103" s="3"/>
      <c r="UKR103" s="3"/>
      <c r="UKS103" s="3"/>
      <c r="UKT103" s="3"/>
      <c r="UKU103" s="3"/>
      <c r="UKV103" s="3"/>
      <c r="UKW103" s="3"/>
      <c r="UKX103" s="3"/>
      <c r="UKY103" s="3"/>
      <c r="UKZ103" s="3"/>
      <c r="ULA103" s="3"/>
      <c r="ULB103" s="3"/>
      <c r="ULC103" s="3"/>
      <c r="ULD103" s="3"/>
      <c r="ULE103" s="3"/>
      <c r="ULF103" s="3"/>
      <c r="ULG103" s="3"/>
      <c r="ULH103" s="3"/>
      <c r="ULI103" s="3"/>
      <c r="ULJ103" s="3"/>
      <c r="ULK103" s="3"/>
      <c r="ULL103" s="3"/>
      <c r="ULM103" s="3"/>
      <c r="ULN103" s="3"/>
      <c r="ULO103" s="3"/>
      <c r="ULP103" s="3"/>
      <c r="ULQ103" s="3"/>
      <c r="ULR103" s="3"/>
      <c r="ULS103" s="3"/>
      <c r="ULT103" s="3"/>
      <c r="ULU103" s="3"/>
      <c r="ULV103" s="3"/>
      <c r="ULW103" s="3"/>
      <c r="ULX103" s="3"/>
      <c r="ULY103" s="3"/>
      <c r="ULZ103" s="3"/>
      <c r="UMA103" s="3"/>
      <c r="UMB103" s="3"/>
      <c r="UMC103" s="3"/>
      <c r="UMD103" s="3"/>
      <c r="UME103" s="3"/>
      <c r="UMF103" s="3"/>
      <c r="UMG103" s="3"/>
      <c r="UMH103" s="3"/>
      <c r="UMI103" s="3"/>
      <c r="UMJ103" s="3"/>
      <c r="UMK103" s="3"/>
      <c r="UML103" s="3"/>
      <c r="UMM103" s="3"/>
      <c r="UMN103" s="3"/>
      <c r="UMO103" s="3"/>
      <c r="UMP103" s="3"/>
      <c r="UMQ103" s="3"/>
      <c r="UMR103" s="3"/>
      <c r="UMS103" s="3"/>
      <c r="UMT103" s="3"/>
      <c r="UMU103" s="3"/>
      <c r="UMV103" s="3"/>
      <c r="UMW103" s="3"/>
      <c r="UMX103" s="3"/>
      <c r="UMY103" s="3"/>
      <c r="UMZ103" s="3"/>
      <c r="UNA103" s="3"/>
      <c r="UNB103" s="3"/>
      <c r="UNC103" s="3"/>
      <c r="UND103" s="3"/>
      <c r="UNE103" s="3"/>
      <c r="UNF103" s="3"/>
      <c r="UNG103" s="3"/>
      <c r="UNH103" s="3"/>
      <c r="UNI103" s="3"/>
      <c r="UNJ103" s="3"/>
      <c r="UNK103" s="3"/>
      <c r="UNL103" s="3"/>
      <c r="UNM103" s="3"/>
      <c r="UNN103" s="3"/>
      <c r="UNO103" s="3"/>
      <c r="UNP103" s="3"/>
      <c r="UNQ103" s="3"/>
      <c r="UNR103" s="3"/>
      <c r="UNS103" s="3"/>
      <c r="UNT103" s="3"/>
      <c r="UNU103" s="3"/>
      <c r="UNV103" s="3"/>
      <c r="UNW103" s="3"/>
      <c r="UNX103" s="3"/>
      <c r="UNY103" s="3"/>
      <c r="UNZ103" s="3"/>
      <c r="UOA103" s="3"/>
      <c r="UOB103" s="3"/>
      <c r="UOC103" s="3"/>
      <c r="UOD103" s="3"/>
      <c r="UOE103" s="3"/>
      <c r="UOF103" s="3"/>
      <c r="UOG103" s="3"/>
      <c r="UOH103" s="3"/>
      <c r="UOI103" s="3"/>
      <c r="UOJ103" s="3"/>
      <c r="UOK103" s="3"/>
      <c r="UOL103" s="3"/>
      <c r="UOM103" s="3"/>
      <c r="UON103" s="3"/>
      <c r="UOO103" s="3"/>
      <c r="UOP103" s="3"/>
      <c r="UOQ103" s="3"/>
      <c r="UOR103" s="3"/>
      <c r="UOS103" s="3"/>
      <c r="UOT103" s="3"/>
      <c r="UOU103" s="3"/>
      <c r="UOV103" s="3"/>
      <c r="UOW103" s="3"/>
      <c r="UOX103" s="3"/>
      <c r="UOY103" s="3"/>
      <c r="UOZ103" s="3"/>
      <c r="UPA103" s="3"/>
      <c r="UPB103" s="3"/>
      <c r="UPC103" s="3"/>
      <c r="UPD103" s="3"/>
      <c r="UPE103" s="3"/>
      <c r="UPF103" s="3"/>
      <c r="UPG103" s="3"/>
      <c r="UPH103" s="3"/>
      <c r="UPI103" s="3"/>
      <c r="UPJ103" s="3"/>
      <c r="UPK103" s="3"/>
      <c r="UPL103" s="3"/>
      <c r="UPM103" s="3"/>
      <c r="UPN103" s="3"/>
      <c r="UPO103" s="3"/>
      <c r="UPP103" s="3"/>
      <c r="UPQ103" s="3"/>
      <c r="UPR103" s="3"/>
      <c r="UPS103" s="3"/>
      <c r="UPT103" s="3"/>
      <c r="UPU103" s="3"/>
      <c r="UPV103" s="3"/>
      <c r="UPW103" s="3"/>
      <c r="UPX103" s="3"/>
      <c r="UPY103" s="3"/>
      <c r="UPZ103" s="3"/>
      <c r="UQA103" s="3"/>
      <c r="UQB103" s="3"/>
      <c r="UQC103" s="3"/>
      <c r="UQD103" s="3"/>
      <c r="UQE103" s="3"/>
      <c r="UQF103" s="3"/>
      <c r="UQG103" s="3"/>
      <c r="UQH103" s="3"/>
      <c r="UQI103" s="3"/>
      <c r="UQJ103" s="3"/>
      <c r="UQK103" s="3"/>
      <c r="UQL103" s="3"/>
      <c r="UQM103" s="3"/>
      <c r="UQN103" s="3"/>
      <c r="UQO103" s="3"/>
      <c r="UQP103" s="3"/>
      <c r="UQQ103" s="3"/>
      <c r="UQR103" s="3"/>
      <c r="UQS103" s="3"/>
      <c r="UQT103" s="3"/>
      <c r="UQU103" s="3"/>
      <c r="UQV103" s="3"/>
      <c r="UQW103" s="3"/>
      <c r="UQX103" s="3"/>
      <c r="UQY103" s="3"/>
      <c r="UQZ103" s="3"/>
      <c r="URA103" s="3"/>
      <c r="URB103" s="3"/>
      <c r="URC103" s="3"/>
      <c r="URD103" s="3"/>
      <c r="URE103" s="3"/>
      <c r="URF103" s="3"/>
      <c r="URG103" s="3"/>
      <c r="URH103" s="3"/>
      <c r="URI103" s="3"/>
      <c r="URJ103" s="3"/>
      <c r="URK103" s="3"/>
      <c r="URL103" s="3"/>
      <c r="URM103" s="3"/>
      <c r="URN103" s="3"/>
      <c r="URO103" s="3"/>
      <c r="URP103" s="3"/>
      <c r="URQ103" s="3"/>
      <c r="URR103" s="3"/>
      <c r="URS103" s="3"/>
      <c r="URT103" s="3"/>
      <c r="URU103" s="3"/>
      <c r="URV103" s="3"/>
      <c r="URW103" s="3"/>
      <c r="URX103" s="3"/>
      <c r="URY103" s="3"/>
      <c r="URZ103" s="3"/>
      <c r="USA103" s="3"/>
      <c r="USB103" s="3"/>
      <c r="USC103" s="3"/>
      <c r="USD103" s="3"/>
      <c r="USE103" s="3"/>
      <c r="USF103" s="3"/>
      <c r="USG103" s="3"/>
      <c r="USH103" s="3"/>
      <c r="USI103" s="3"/>
      <c r="USJ103" s="3"/>
      <c r="USK103" s="3"/>
      <c r="USL103" s="3"/>
      <c r="USM103" s="3"/>
      <c r="USN103" s="3"/>
      <c r="USO103" s="3"/>
      <c r="USP103" s="3"/>
      <c r="USQ103" s="3"/>
      <c r="USR103" s="3"/>
      <c r="USS103" s="3"/>
      <c r="UST103" s="3"/>
      <c r="USU103" s="3"/>
      <c r="USV103" s="3"/>
      <c r="USW103" s="3"/>
      <c r="USX103" s="3"/>
      <c r="USY103" s="3"/>
      <c r="USZ103" s="3"/>
      <c r="UTA103" s="3"/>
      <c r="UTB103" s="3"/>
      <c r="UTC103" s="3"/>
      <c r="UTD103" s="3"/>
      <c r="UTE103" s="3"/>
      <c r="UTF103" s="3"/>
      <c r="UTG103" s="3"/>
      <c r="UTH103" s="3"/>
      <c r="UTI103" s="3"/>
      <c r="UTJ103" s="3"/>
      <c r="UTK103" s="3"/>
      <c r="UTL103" s="3"/>
      <c r="UTM103" s="3"/>
      <c r="UTN103" s="3"/>
      <c r="UTO103" s="3"/>
      <c r="UTP103" s="3"/>
      <c r="UTQ103" s="3"/>
      <c r="UTR103" s="3"/>
      <c r="UTS103" s="3"/>
      <c r="UTT103" s="3"/>
      <c r="UTU103" s="3"/>
      <c r="UTV103" s="3"/>
      <c r="UTW103" s="3"/>
      <c r="UTX103" s="3"/>
      <c r="UTY103" s="3"/>
      <c r="UTZ103" s="3"/>
      <c r="UUA103" s="3"/>
      <c r="UUB103" s="3"/>
      <c r="UUC103" s="3"/>
      <c r="UUD103" s="3"/>
      <c r="UUE103" s="3"/>
      <c r="UUF103" s="3"/>
      <c r="UUG103" s="3"/>
      <c r="UUH103" s="3"/>
      <c r="UUI103" s="3"/>
      <c r="UUJ103" s="3"/>
      <c r="UUK103" s="3"/>
      <c r="UUL103" s="3"/>
      <c r="UUM103" s="3"/>
      <c r="UUN103" s="3"/>
      <c r="UUO103" s="3"/>
      <c r="UUP103" s="3"/>
      <c r="UUQ103" s="3"/>
      <c r="UUR103" s="3"/>
      <c r="UUS103" s="3"/>
      <c r="UUT103" s="3"/>
      <c r="UUU103" s="3"/>
      <c r="UUV103" s="3"/>
      <c r="UUW103" s="3"/>
      <c r="UUX103" s="3"/>
      <c r="UUY103" s="3"/>
      <c r="UUZ103" s="3"/>
      <c r="UVA103" s="3"/>
      <c r="UVB103" s="3"/>
      <c r="UVC103" s="3"/>
      <c r="UVD103" s="3"/>
      <c r="UVE103" s="3"/>
      <c r="UVF103" s="3"/>
      <c r="UVG103" s="3"/>
      <c r="UVH103" s="3"/>
      <c r="UVI103" s="3"/>
      <c r="UVJ103" s="3"/>
      <c r="UVK103" s="3"/>
      <c r="UVL103" s="3"/>
      <c r="UVM103" s="3"/>
      <c r="UVN103" s="3"/>
      <c r="UVO103" s="3"/>
      <c r="UVP103" s="3"/>
      <c r="UVQ103" s="3"/>
      <c r="UVR103" s="3"/>
      <c r="UVS103" s="3"/>
      <c r="UVT103" s="3"/>
      <c r="UVU103" s="3"/>
      <c r="UVV103" s="3"/>
      <c r="UVW103" s="3"/>
      <c r="UVX103" s="3"/>
      <c r="UVY103" s="3"/>
      <c r="UVZ103" s="3"/>
      <c r="UWA103" s="3"/>
      <c r="UWB103" s="3"/>
      <c r="UWC103" s="3"/>
      <c r="UWD103" s="3"/>
      <c r="UWE103" s="3"/>
      <c r="UWF103" s="3"/>
      <c r="UWG103" s="3"/>
      <c r="UWH103" s="3"/>
      <c r="UWI103" s="3"/>
      <c r="UWJ103" s="3"/>
      <c r="UWK103" s="3"/>
      <c r="UWL103" s="3"/>
      <c r="UWM103" s="3"/>
      <c r="UWN103" s="3"/>
      <c r="UWO103" s="3"/>
      <c r="UWP103" s="3"/>
      <c r="UWQ103" s="3"/>
      <c r="UWR103" s="3"/>
      <c r="UWS103" s="3"/>
      <c r="UWT103" s="3"/>
      <c r="UWU103" s="3"/>
      <c r="UWV103" s="3"/>
      <c r="UWW103" s="3"/>
      <c r="UWX103" s="3"/>
      <c r="UWY103" s="3"/>
      <c r="UWZ103" s="3"/>
      <c r="UXA103" s="3"/>
      <c r="UXB103" s="3"/>
      <c r="UXC103" s="3"/>
      <c r="UXD103" s="3"/>
      <c r="UXE103" s="3"/>
      <c r="UXF103" s="3"/>
      <c r="UXG103" s="3"/>
      <c r="UXH103" s="3"/>
      <c r="UXI103" s="3"/>
      <c r="UXJ103" s="3"/>
      <c r="UXK103" s="3"/>
      <c r="UXL103" s="3"/>
      <c r="UXM103" s="3"/>
      <c r="UXN103" s="3"/>
      <c r="UXO103" s="3"/>
      <c r="UXP103" s="3"/>
      <c r="UXQ103" s="3"/>
      <c r="UXR103" s="3"/>
      <c r="UXS103" s="3"/>
      <c r="UXT103" s="3"/>
      <c r="UXU103" s="3"/>
      <c r="UXV103" s="3"/>
      <c r="UXW103" s="3"/>
      <c r="UXX103" s="3"/>
      <c r="UXY103" s="3"/>
      <c r="UXZ103" s="3"/>
      <c r="UYA103" s="3"/>
      <c r="UYB103" s="3"/>
      <c r="UYC103" s="3"/>
      <c r="UYD103" s="3"/>
      <c r="UYE103" s="3"/>
      <c r="UYF103" s="3"/>
      <c r="UYG103" s="3"/>
      <c r="UYH103" s="3"/>
      <c r="UYI103" s="3"/>
      <c r="UYJ103" s="3"/>
      <c r="UYK103" s="3"/>
      <c r="UYL103" s="3"/>
      <c r="UYM103" s="3"/>
      <c r="UYN103" s="3"/>
      <c r="UYO103" s="3"/>
      <c r="UYP103" s="3"/>
      <c r="UYQ103" s="3"/>
      <c r="UYR103" s="3"/>
      <c r="UYS103" s="3"/>
      <c r="UYT103" s="3"/>
      <c r="UYU103" s="3"/>
      <c r="UYV103" s="3"/>
      <c r="UYW103" s="3"/>
      <c r="UYX103" s="3"/>
      <c r="UYY103" s="3"/>
      <c r="UYZ103" s="3"/>
      <c r="UZA103" s="3"/>
      <c r="UZB103" s="3"/>
      <c r="UZC103" s="3"/>
      <c r="UZD103" s="3"/>
      <c r="UZE103" s="3"/>
      <c r="UZF103" s="3"/>
      <c r="UZG103" s="3"/>
      <c r="UZH103" s="3"/>
      <c r="UZI103" s="3"/>
      <c r="UZJ103" s="3"/>
      <c r="UZK103" s="3"/>
      <c r="UZL103" s="3"/>
      <c r="UZM103" s="3"/>
      <c r="UZN103" s="3"/>
      <c r="UZO103" s="3"/>
      <c r="UZP103" s="3"/>
      <c r="UZQ103" s="3"/>
      <c r="UZR103" s="3"/>
      <c r="UZS103" s="3"/>
      <c r="UZT103" s="3"/>
      <c r="UZU103" s="3"/>
      <c r="UZV103" s="3"/>
      <c r="UZW103" s="3"/>
      <c r="UZX103" s="3"/>
      <c r="UZY103" s="3"/>
      <c r="UZZ103" s="3"/>
      <c r="VAA103" s="3"/>
      <c r="VAB103" s="3"/>
      <c r="VAC103" s="3"/>
      <c r="VAD103" s="3"/>
      <c r="VAE103" s="3"/>
      <c r="VAF103" s="3"/>
      <c r="VAG103" s="3"/>
      <c r="VAH103" s="3"/>
      <c r="VAI103" s="3"/>
      <c r="VAJ103" s="3"/>
      <c r="VAK103" s="3"/>
      <c r="VAL103" s="3"/>
      <c r="VAM103" s="3"/>
      <c r="VAN103" s="3"/>
      <c r="VAO103" s="3"/>
      <c r="VAP103" s="3"/>
      <c r="VAQ103" s="3"/>
      <c r="VAR103" s="3"/>
      <c r="VAS103" s="3"/>
      <c r="VAT103" s="3"/>
      <c r="VAU103" s="3"/>
      <c r="VAV103" s="3"/>
      <c r="VAW103" s="3"/>
      <c r="VAX103" s="3"/>
      <c r="VAY103" s="3"/>
      <c r="VAZ103" s="3"/>
      <c r="VBA103" s="3"/>
      <c r="VBB103" s="3"/>
      <c r="VBC103" s="3"/>
      <c r="VBD103" s="3"/>
      <c r="VBE103" s="3"/>
      <c r="VBF103" s="3"/>
      <c r="VBG103" s="3"/>
      <c r="VBH103" s="3"/>
      <c r="VBI103" s="3"/>
      <c r="VBJ103" s="3"/>
      <c r="VBK103" s="3"/>
      <c r="VBL103" s="3"/>
      <c r="VBM103" s="3"/>
      <c r="VBN103" s="3"/>
      <c r="VBO103" s="3"/>
      <c r="VBP103" s="3"/>
      <c r="VBQ103" s="3"/>
      <c r="VBR103" s="3"/>
      <c r="VBS103" s="3"/>
      <c r="VBT103" s="3"/>
      <c r="VBU103" s="3"/>
      <c r="VBV103" s="3"/>
      <c r="VBW103" s="3"/>
      <c r="VBX103" s="3"/>
      <c r="VBY103" s="3"/>
      <c r="VBZ103" s="3"/>
      <c r="VCA103" s="3"/>
      <c r="VCB103" s="3"/>
      <c r="VCC103" s="3"/>
      <c r="VCD103" s="3"/>
      <c r="VCE103" s="3"/>
      <c r="VCF103" s="3"/>
      <c r="VCG103" s="3"/>
      <c r="VCH103" s="3"/>
      <c r="VCI103" s="3"/>
      <c r="VCJ103" s="3"/>
      <c r="VCK103" s="3"/>
      <c r="VCL103" s="3"/>
      <c r="VCM103" s="3"/>
      <c r="VCN103" s="3"/>
      <c r="VCO103" s="3"/>
      <c r="VCP103" s="3"/>
      <c r="VCQ103" s="3"/>
      <c r="VCR103" s="3"/>
      <c r="VCS103" s="3"/>
      <c r="VCT103" s="3"/>
      <c r="VCU103" s="3"/>
      <c r="VCV103" s="3"/>
      <c r="VCW103" s="3"/>
      <c r="VCX103" s="3"/>
      <c r="VCY103" s="3"/>
      <c r="VCZ103" s="3"/>
      <c r="VDA103" s="3"/>
      <c r="VDB103" s="3"/>
      <c r="VDC103" s="3"/>
      <c r="VDD103" s="3"/>
      <c r="VDE103" s="3"/>
      <c r="VDF103" s="3"/>
      <c r="VDG103" s="3"/>
      <c r="VDH103" s="3"/>
      <c r="VDI103" s="3"/>
      <c r="VDJ103" s="3"/>
      <c r="VDK103" s="3"/>
      <c r="VDL103" s="3"/>
      <c r="VDM103" s="3"/>
      <c r="VDN103" s="3"/>
      <c r="VDO103" s="3"/>
      <c r="VDP103" s="3"/>
      <c r="VDQ103" s="3"/>
      <c r="VDR103" s="3"/>
      <c r="VDS103" s="3"/>
      <c r="VDT103" s="3"/>
      <c r="VDU103" s="3"/>
      <c r="VDV103" s="3"/>
      <c r="VDW103" s="3"/>
      <c r="VDX103" s="3"/>
      <c r="VDY103" s="3"/>
      <c r="VDZ103" s="3"/>
      <c r="VEA103" s="3"/>
      <c r="VEB103" s="3"/>
      <c r="VEC103" s="3"/>
      <c r="VED103" s="3"/>
      <c r="VEE103" s="3"/>
      <c r="VEF103" s="3"/>
      <c r="VEG103" s="3"/>
      <c r="VEH103" s="3"/>
      <c r="VEI103" s="3"/>
      <c r="VEJ103" s="3"/>
      <c r="VEK103" s="3"/>
      <c r="VEL103" s="3"/>
      <c r="VEM103" s="3"/>
      <c r="VEN103" s="3"/>
      <c r="VEO103" s="3"/>
      <c r="VEP103" s="3"/>
      <c r="VEQ103" s="3"/>
      <c r="VER103" s="3"/>
      <c r="VES103" s="3"/>
      <c r="VET103" s="3"/>
      <c r="VEU103" s="3"/>
      <c r="VEV103" s="3"/>
      <c r="VEW103" s="3"/>
      <c r="VEX103" s="3"/>
      <c r="VEY103" s="3"/>
      <c r="VEZ103" s="3"/>
      <c r="VFA103" s="3"/>
      <c r="VFB103" s="3"/>
      <c r="VFC103" s="3"/>
      <c r="VFD103" s="3"/>
      <c r="VFE103" s="3"/>
      <c r="VFF103" s="3"/>
      <c r="VFG103" s="3"/>
      <c r="VFH103" s="3"/>
      <c r="VFI103" s="3"/>
      <c r="VFJ103" s="3"/>
      <c r="VFK103" s="3"/>
      <c r="VFL103" s="3"/>
      <c r="VFM103" s="3"/>
      <c r="VFN103" s="3"/>
      <c r="VFO103" s="3"/>
      <c r="VFP103" s="3"/>
      <c r="VFQ103" s="3"/>
      <c r="VFR103" s="3"/>
      <c r="VFS103" s="3"/>
      <c r="VFT103" s="3"/>
      <c r="VFU103" s="3"/>
      <c r="VFV103" s="3"/>
      <c r="VFW103" s="3"/>
      <c r="VFX103" s="3"/>
      <c r="VFY103" s="3"/>
      <c r="VFZ103" s="3"/>
      <c r="VGA103" s="3"/>
      <c r="VGB103" s="3"/>
      <c r="VGC103" s="3"/>
      <c r="VGD103" s="3"/>
      <c r="VGE103" s="3"/>
      <c r="VGF103" s="3"/>
      <c r="VGG103" s="3"/>
      <c r="VGH103" s="3"/>
      <c r="VGI103" s="3"/>
      <c r="VGJ103" s="3"/>
      <c r="VGK103" s="3"/>
      <c r="VGL103" s="3"/>
      <c r="VGM103" s="3"/>
      <c r="VGN103" s="3"/>
      <c r="VGO103" s="3"/>
      <c r="VGP103" s="3"/>
      <c r="VGQ103" s="3"/>
      <c r="VGR103" s="3"/>
      <c r="VGS103" s="3"/>
      <c r="VGT103" s="3"/>
      <c r="VGU103" s="3"/>
      <c r="VGV103" s="3"/>
      <c r="VGW103" s="3"/>
      <c r="VGX103" s="3"/>
      <c r="VGY103" s="3"/>
      <c r="VGZ103" s="3"/>
      <c r="VHA103" s="3"/>
      <c r="VHB103" s="3"/>
      <c r="VHC103" s="3"/>
      <c r="VHD103" s="3"/>
      <c r="VHE103" s="3"/>
      <c r="VHF103" s="3"/>
      <c r="VHG103" s="3"/>
      <c r="VHH103" s="3"/>
      <c r="VHI103" s="3"/>
      <c r="VHJ103" s="3"/>
      <c r="VHK103" s="3"/>
      <c r="VHL103" s="3"/>
      <c r="VHM103" s="3"/>
      <c r="VHN103" s="3"/>
      <c r="VHO103" s="3"/>
      <c r="VHP103" s="3"/>
      <c r="VHQ103" s="3"/>
      <c r="VHR103" s="3"/>
      <c r="VHS103" s="3"/>
      <c r="VHT103" s="3"/>
      <c r="VHU103" s="3"/>
      <c r="VHV103" s="3"/>
      <c r="VHW103" s="3"/>
      <c r="VHX103" s="3"/>
      <c r="VHY103" s="3"/>
      <c r="VHZ103" s="3"/>
      <c r="VIA103" s="3"/>
      <c r="VIB103" s="3"/>
      <c r="VIC103" s="3"/>
      <c r="VID103" s="3"/>
      <c r="VIE103" s="3"/>
      <c r="VIF103" s="3"/>
      <c r="VIG103" s="3"/>
      <c r="VIH103" s="3"/>
      <c r="VII103" s="3"/>
      <c r="VIJ103" s="3"/>
      <c r="VIK103" s="3"/>
      <c r="VIL103" s="3"/>
      <c r="VIM103" s="3"/>
      <c r="VIN103" s="3"/>
      <c r="VIO103" s="3"/>
      <c r="VIP103" s="3"/>
      <c r="VIQ103" s="3"/>
      <c r="VIR103" s="3"/>
      <c r="VIS103" s="3"/>
      <c r="VIT103" s="3"/>
      <c r="VIU103" s="3"/>
      <c r="VIV103" s="3"/>
      <c r="VIW103" s="3"/>
      <c r="VIX103" s="3"/>
      <c r="VIY103" s="3"/>
      <c r="VIZ103" s="3"/>
      <c r="VJA103" s="3"/>
      <c r="VJB103" s="3"/>
      <c r="VJC103" s="3"/>
      <c r="VJD103" s="3"/>
      <c r="VJE103" s="3"/>
      <c r="VJF103" s="3"/>
      <c r="VJG103" s="3"/>
      <c r="VJH103" s="3"/>
      <c r="VJI103" s="3"/>
      <c r="VJJ103" s="3"/>
      <c r="VJK103" s="3"/>
      <c r="VJL103" s="3"/>
      <c r="VJM103" s="3"/>
      <c r="VJN103" s="3"/>
      <c r="VJO103" s="3"/>
      <c r="VJP103" s="3"/>
      <c r="VJQ103" s="3"/>
      <c r="VJR103" s="3"/>
      <c r="VJS103" s="3"/>
      <c r="VJT103" s="3"/>
      <c r="VJU103" s="3"/>
      <c r="VJV103" s="3"/>
      <c r="VJW103" s="3"/>
      <c r="VJX103" s="3"/>
      <c r="VJY103" s="3"/>
      <c r="VJZ103" s="3"/>
      <c r="VKA103" s="3"/>
      <c r="VKB103" s="3"/>
      <c r="VKC103" s="3"/>
      <c r="VKD103" s="3"/>
      <c r="VKE103" s="3"/>
      <c r="VKF103" s="3"/>
      <c r="VKG103" s="3"/>
      <c r="VKH103" s="3"/>
      <c r="VKI103" s="3"/>
      <c r="VKJ103" s="3"/>
      <c r="VKK103" s="3"/>
      <c r="VKL103" s="3"/>
      <c r="VKM103" s="3"/>
      <c r="VKN103" s="3"/>
      <c r="VKO103" s="3"/>
      <c r="VKP103" s="3"/>
      <c r="VKQ103" s="3"/>
      <c r="VKR103" s="3"/>
      <c r="VKS103" s="3"/>
      <c r="VKT103" s="3"/>
      <c r="VKU103" s="3"/>
      <c r="VKV103" s="3"/>
      <c r="VKW103" s="3"/>
      <c r="VKX103" s="3"/>
      <c r="VKY103" s="3"/>
      <c r="VKZ103" s="3"/>
      <c r="VLA103" s="3"/>
      <c r="VLB103" s="3"/>
      <c r="VLC103" s="3"/>
      <c r="VLD103" s="3"/>
      <c r="VLE103" s="3"/>
      <c r="VLF103" s="3"/>
      <c r="VLG103" s="3"/>
      <c r="VLH103" s="3"/>
      <c r="VLI103" s="3"/>
      <c r="VLJ103" s="3"/>
      <c r="VLK103" s="3"/>
      <c r="VLL103" s="3"/>
      <c r="VLM103" s="3"/>
      <c r="VLN103" s="3"/>
      <c r="VLO103" s="3"/>
      <c r="VLP103" s="3"/>
      <c r="VLQ103" s="3"/>
      <c r="VLR103" s="3"/>
      <c r="VLS103" s="3"/>
      <c r="VLT103" s="3"/>
      <c r="VLU103" s="3"/>
      <c r="VLV103" s="3"/>
      <c r="VLW103" s="3"/>
      <c r="VLX103" s="3"/>
      <c r="VLY103" s="3"/>
      <c r="VLZ103" s="3"/>
      <c r="VMA103" s="3"/>
      <c r="VMB103" s="3"/>
      <c r="VMC103" s="3"/>
      <c r="VMD103" s="3"/>
      <c r="VME103" s="3"/>
      <c r="VMF103" s="3"/>
      <c r="VMG103" s="3"/>
      <c r="VMH103" s="3"/>
      <c r="VMI103" s="3"/>
      <c r="VMJ103" s="3"/>
      <c r="VMK103" s="3"/>
      <c r="VML103" s="3"/>
      <c r="VMM103" s="3"/>
      <c r="VMN103" s="3"/>
      <c r="VMO103" s="3"/>
      <c r="VMP103" s="3"/>
      <c r="VMQ103" s="3"/>
      <c r="VMR103" s="3"/>
      <c r="VMS103" s="3"/>
      <c r="VMT103" s="3"/>
      <c r="VMU103" s="3"/>
      <c r="VMV103" s="3"/>
      <c r="VMW103" s="3"/>
      <c r="VMX103" s="3"/>
      <c r="VMY103" s="3"/>
      <c r="VMZ103" s="3"/>
      <c r="VNA103" s="3"/>
      <c r="VNB103" s="3"/>
      <c r="VNC103" s="3"/>
      <c r="VND103" s="3"/>
      <c r="VNE103" s="3"/>
      <c r="VNF103" s="3"/>
      <c r="VNG103" s="3"/>
      <c r="VNH103" s="3"/>
      <c r="VNI103" s="3"/>
      <c r="VNJ103" s="3"/>
      <c r="VNK103" s="3"/>
      <c r="VNL103" s="3"/>
      <c r="VNM103" s="3"/>
      <c r="VNN103" s="3"/>
      <c r="VNO103" s="3"/>
      <c r="VNP103" s="3"/>
      <c r="VNQ103" s="3"/>
      <c r="VNR103" s="3"/>
      <c r="VNS103" s="3"/>
      <c r="VNT103" s="3"/>
      <c r="VNU103" s="3"/>
      <c r="VNV103" s="3"/>
      <c r="VNW103" s="3"/>
      <c r="VNX103" s="3"/>
      <c r="VNY103" s="3"/>
      <c r="VNZ103" s="3"/>
      <c r="VOA103" s="3"/>
      <c r="VOB103" s="3"/>
      <c r="VOC103" s="3"/>
      <c r="VOD103" s="3"/>
      <c r="VOE103" s="3"/>
      <c r="VOF103" s="3"/>
      <c r="VOG103" s="3"/>
      <c r="VOH103" s="3"/>
      <c r="VOI103" s="3"/>
      <c r="VOJ103" s="3"/>
      <c r="VOK103" s="3"/>
      <c r="VOL103" s="3"/>
      <c r="VOM103" s="3"/>
      <c r="VON103" s="3"/>
      <c r="VOO103" s="3"/>
      <c r="VOP103" s="3"/>
      <c r="VOQ103" s="3"/>
      <c r="VOR103" s="3"/>
      <c r="VOS103" s="3"/>
      <c r="VOT103" s="3"/>
      <c r="VOU103" s="3"/>
      <c r="VOV103" s="3"/>
      <c r="VOW103" s="3"/>
      <c r="VOX103" s="3"/>
      <c r="VOY103" s="3"/>
      <c r="VOZ103" s="3"/>
      <c r="VPA103" s="3"/>
      <c r="VPB103" s="3"/>
      <c r="VPC103" s="3"/>
      <c r="VPD103" s="3"/>
      <c r="VPE103" s="3"/>
      <c r="VPF103" s="3"/>
      <c r="VPG103" s="3"/>
      <c r="VPH103" s="3"/>
      <c r="VPI103" s="3"/>
      <c r="VPJ103" s="3"/>
      <c r="VPK103" s="3"/>
      <c r="VPL103" s="3"/>
      <c r="VPM103" s="3"/>
      <c r="VPN103" s="3"/>
      <c r="VPO103" s="3"/>
      <c r="VPP103" s="3"/>
      <c r="VPQ103" s="3"/>
      <c r="VPR103" s="3"/>
      <c r="VPS103" s="3"/>
      <c r="VPT103" s="3"/>
      <c r="VPU103" s="3"/>
      <c r="VPV103" s="3"/>
      <c r="VPW103" s="3"/>
      <c r="VPX103" s="3"/>
      <c r="VPY103" s="3"/>
      <c r="VPZ103" s="3"/>
      <c r="VQA103" s="3"/>
      <c r="VQB103" s="3"/>
      <c r="VQC103" s="3"/>
      <c r="VQD103" s="3"/>
      <c r="VQE103" s="3"/>
      <c r="VQF103" s="3"/>
      <c r="VQG103" s="3"/>
      <c r="VQH103" s="3"/>
      <c r="VQI103" s="3"/>
      <c r="VQJ103" s="3"/>
      <c r="VQK103" s="3"/>
      <c r="VQL103" s="3"/>
      <c r="VQM103" s="3"/>
      <c r="VQN103" s="3"/>
      <c r="VQO103" s="3"/>
      <c r="VQP103" s="3"/>
      <c r="VQQ103" s="3"/>
      <c r="VQR103" s="3"/>
      <c r="VQS103" s="3"/>
      <c r="VQT103" s="3"/>
      <c r="VQU103" s="3"/>
      <c r="VQV103" s="3"/>
      <c r="VQW103" s="3"/>
      <c r="VQX103" s="3"/>
      <c r="VQY103" s="3"/>
      <c r="VQZ103" s="3"/>
      <c r="VRA103" s="3"/>
      <c r="VRB103" s="3"/>
      <c r="VRC103" s="3"/>
      <c r="VRD103" s="3"/>
      <c r="VRE103" s="3"/>
      <c r="VRF103" s="3"/>
      <c r="VRG103" s="3"/>
      <c r="VRH103" s="3"/>
      <c r="VRI103" s="3"/>
      <c r="VRJ103" s="3"/>
      <c r="VRK103" s="3"/>
      <c r="VRL103" s="3"/>
      <c r="VRM103" s="3"/>
      <c r="VRN103" s="3"/>
      <c r="VRO103" s="3"/>
      <c r="VRP103" s="3"/>
      <c r="VRQ103" s="3"/>
      <c r="VRR103" s="3"/>
      <c r="VRS103" s="3"/>
      <c r="VRT103" s="3"/>
      <c r="VRU103" s="3"/>
      <c r="VRV103" s="3"/>
      <c r="VRW103" s="3"/>
      <c r="VRX103" s="3"/>
      <c r="VRY103" s="3"/>
      <c r="VRZ103" s="3"/>
      <c r="VSA103" s="3"/>
      <c r="VSB103" s="3"/>
      <c r="VSC103" s="3"/>
      <c r="VSD103" s="3"/>
      <c r="VSE103" s="3"/>
      <c r="VSF103" s="3"/>
      <c r="VSG103" s="3"/>
      <c r="VSH103" s="3"/>
      <c r="VSI103" s="3"/>
      <c r="VSJ103" s="3"/>
      <c r="VSK103" s="3"/>
      <c r="VSL103" s="3"/>
      <c r="VSM103" s="3"/>
      <c r="VSN103" s="3"/>
      <c r="VSO103" s="3"/>
      <c r="VSP103" s="3"/>
      <c r="VSQ103" s="3"/>
      <c r="VSR103" s="3"/>
      <c r="VSS103" s="3"/>
      <c r="VST103" s="3"/>
      <c r="VSU103" s="3"/>
      <c r="VSV103" s="3"/>
      <c r="VSW103" s="3"/>
      <c r="VSX103" s="3"/>
      <c r="VSY103" s="3"/>
      <c r="VSZ103" s="3"/>
      <c r="VTA103" s="3"/>
      <c r="VTB103" s="3"/>
      <c r="VTC103" s="3"/>
      <c r="VTD103" s="3"/>
      <c r="VTE103" s="3"/>
      <c r="VTF103" s="3"/>
      <c r="VTG103" s="3"/>
      <c r="VTH103" s="3"/>
      <c r="VTI103" s="3"/>
      <c r="VTJ103" s="3"/>
      <c r="VTK103" s="3"/>
      <c r="VTL103" s="3"/>
      <c r="VTM103" s="3"/>
      <c r="VTN103" s="3"/>
      <c r="VTO103" s="3"/>
      <c r="VTP103" s="3"/>
      <c r="VTQ103" s="3"/>
      <c r="VTR103" s="3"/>
      <c r="VTS103" s="3"/>
      <c r="VTT103" s="3"/>
      <c r="VTU103" s="3"/>
      <c r="VTV103" s="3"/>
      <c r="VTW103" s="3"/>
      <c r="VTX103" s="3"/>
      <c r="VTY103" s="3"/>
      <c r="VTZ103" s="3"/>
      <c r="VUA103" s="3"/>
      <c r="VUB103" s="3"/>
      <c r="VUC103" s="3"/>
      <c r="VUD103" s="3"/>
      <c r="VUE103" s="3"/>
      <c r="VUF103" s="3"/>
      <c r="VUG103" s="3"/>
      <c r="VUH103" s="3"/>
      <c r="VUI103" s="3"/>
      <c r="VUJ103" s="3"/>
      <c r="VUK103" s="3"/>
      <c r="VUL103" s="3"/>
      <c r="VUM103" s="3"/>
      <c r="VUN103" s="3"/>
      <c r="VUO103" s="3"/>
      <c r="VUP103" s="3"/>
      <c r="VUQ103" s="3"/>
      <c r="VUR103" s="3"/>
      <c r="VUS103" s="3"/>
      <c r="VUT103" s="3"/>
      <c r="VUU103" s="3"/>
      <c r="VUV103" s="3"/>
      <c r="VUW103" s="3"/>
      <c r="VUX103" s="3"/>
      <c r="VUY103" s="3"/>
      <c r="VUZ103" s="3"/>
      <c r="VVA103" s="3"/>
      <c r="VVB103" s="3"/>
      <c r="VVC103" s="3"/>
      <c r="VVD103" s="3"/>
      <c r="VVE103" s="3"/>
      <c r="VVF103" s="3"/>
      <c r="VVG103" s="3"/>
      <c r="VVH103" s="3"/>
      <c r="VVI103" s="3"/>
      <c r="VVJ103" s="3"/>
      <c r="VVK103" s="3"/>
      <c r="VVL103" s="3"/>
      <c r="VVM103" s="3"/>
      <c r="VVN103" s="3"/>
      <c r="VVO103" s="3"/>
      <c r="VVP103" s="3"/>
      <c r="VVQ103" s="3"/>
      <c r="VVR103" s="3"/>
      <c r="VVS103" s="3"/>
      <c r="VVT103" s="3"/>
      <c r="VVU103" s="3"/>
      <c r="VVV103" s="3"/>
      <c r="VVW103" s="3"/>
      <c r="VVX103" s="3"/>
      <c r="VVY103" s="3"/>
      <c r="VVZ103" s="3"/>
      <c r="VWA103" s="3"/>
      <c r="VWB103" s="3"/>
      <c r="VWC103" s="3"/>
      <c r="VWD103" s="3"/>
      <c r="VWE103" s="3"/>
      <c r="VWF103" s="3"/>
      <c r="VWG103" s="3"/>
      <c r="VWH103" s="3"/>
      <c r="VWI103" s="3"/>
      <c r="VWJ103" s="3"/>
      <c r="VWK103" s="3"/>
      <c r="VWL103" s="3"/>
      <c r="VWM103" s="3"/>
      <c r="VWN103" s="3"/>
      <c r="VWO103" s="3"/>
      <c r="VWP103" s="3"/>
      <c r="VWQ103" s="3"/>
      <c r="VWR103" s="3"/>
      <c r="VWS103" s="3"/>
      <c r="VWT103" s="3"/>
      <c r="VWU103" s="3"/>
      <c r="VWV103" s="3"/>
      <c r="VWW103" s="3"/>
      <c r="VWX103" s="3"/>
      <c r="VWY103" s="3"/>
      <c r="VWZ103" s="3"/>
      <c r="VXA103" s="3"/>
      <c r="VXB103" s="3"/>
      <c r="VXC103" s="3"/>
      <c r="VXD103" s="3"/>
      <c r="VXE103" s="3"/>
      <c r="VXF103" s="3"/>
      <c r="VXG103" s="3"/>
      <c r="VXH103" s="3"/>
      <c r="VXI103" s="3"/>
      <c r="VXJ103" s="3"/>
      <c r="VXK103" s="3"/>
      <c r="VXL103" s="3"/>
      <c r="VXM103" s="3"/>
      <c r="VXN103" s="3"/>
      <c r="VXO103" s="3"/>
      <c r="VXP103" s="3"/>
      <c r="VXQ103" s="3"/>
      <c r="VXR103" s="3"/>
      <c r="VXS103" s="3"/>
      <c r="VXT103" s="3"/>
      <c r="VXU103" s="3"/>
      <c r="VXV103" s="3"/>
      <c r="VXW103" s="3"/>
      <c r="VXX103" s="3"/>
      <c r="VXY103" s="3"/>
      <c r="VXZ103" s="3"/>
      <c r="VYA103" s="3"/>
      <c r="VYB103" s="3"/>
      <c r="VYC103" s="3"/>
      <c r="VYD103" s="3"/>
      <c r="VYE103" s="3"/>
      <c r="VYF103" s="3"/>
      <c r="VYG103" s="3"/>
      <c r="VYH103" s="3"/>
      <c r="VYI103" s="3"/>
      <c r="VYJ103" s="3"/>
      <c r="VYK103" s="3"/>
      <c r="VYL103" s="3"/>
      <c r="VYM103" s="3"/>
      <c r="VYN103" s="3"/>
      <c r="VYO103" s="3"/>
      <c r="VYP103" s="3"/>
      <c r="VYQ103" s="3"/>
      <c r="VYR103" s="3"/>
      <c r="VYS103" s="3"/>
      <c r="VYT103" s="3"/>
      <c r="VYU103" s="3"/>
      <c r="VYV103" s="3"/>
      <c r="VYW103" s="3"/>
      <c r="VYX103" s="3"/>
      <c r="VYY103" s="3"/>
      <c r="VYZ103" s="3"/>
      <c r="VZA103" s="3"/>
      <c r="VZB103" s="3"/>
      <c r="VZC103" s="3"/>
      <c r="VZD103" s="3"/>
      <c r="VZE103" s="3"/>
      <c r="VZF103" s="3"/>
      <c r="VZG103" s="3"/>
      <c r="VZH103" s="3"/>
      <c r="VZI103" s="3"/>
      <c r="VZJ103" s="3"/>
      <c r="VZK103" s="3"/>
      <c r="VZL103" s="3"/>
      <c r="VZM103" s="3"/>
      <c r="VZN103" s="3"/>
      <c r="VZO103" s="3"/>
      <c r="VZP103" s="3"/>
      <c r="VZQ103" s="3"/>
      <c r="VZR103" s="3"/>
      <c r="VZS103" s="3"/>
      <c r="VZT103" s="3"/>
      <c r="VZU103" s="3"/>
      <c r="VZV103" s="3"/>
      <c r="VZW103" s="3"/>
      <c r="VZX103" s="3"/>
      <c r="VZY103" s="3"/>
      <c r="VZZ103" s="3"/>
      <c r="WAA103" s="3"/>
      <c r="WAB103" s="3"/>
      <c r="WAC103" s="3"/>
      <c r="WAD103" s="3"/>
      <c r="WAE103" s="3"/>
      <c r="WAF103" s="3"/>
      <c r="WAG103" s="3"/>
      <c r="WAH103" s="3"/>
      <c r="WAI103" s="3"/>
      <c r="WAJ103" s="3"/>
      <c r="WAK103" s="3"/>
      <c r="WAL103" s="3"/>
      <c r="WAM103" s="3"/>
      <c r="WAN103" s="3"/>
      <c r="WAO103" s="3"/>
      <c r="WAP103" s="3"/>
      <c r="WAQ103" s="3"/>
      <c r="WAR103" s="3"/>
      <c r="WAS103" s="3"/>
      <c r="WAT103" s="3"/>
      <c r="WAU103" s="3"/>
      <c r="WAV103" s="3"/>
      <c r="WAW103" s="3"/>
      <c r="WAX103" s="3"/>
      <c r="WAY103" s="3"/>
      <c r="WAZ103" s="3"/>
      <c r="WBA103" s="3"/>
      <c r="WBB103" s="3"/>
      <c r="WBC103" s="3"/>
      <c r="WBD103" s="3"/>
      <c r="WBE103" s="3"/>
      <c r="WBF103" s="3"/>
      <c r="WBG103" s="3"/>
      <c r="WBH103" s="3"/>
      <c r="WBI103" s="3"/>
      <c r="WBJ103" s="3"/>
      <c r="WBK103" s="3"/>
      <c r="WBL103" s="3"/>
      <c r="WBM103" s="3"/>
      <c r="WBN103" s="3"/>
      <c r="WBO103" s="3"/>
      <c r="WBP103" s="3"/>
      <c r="WBQ103" s="3"/>
      <c r="WBR103" s="3"/>
      <c r="WBS103" s="3"/>
      <c r="WBT103" s="3"/>
      <c r="WBU103" s="3"/>
      <c r="WBV103" s="3"/>
      <c r="WBW103" s="3"/>
      <c r="WBX103" s="3"/>
      <c r="WBY103" s="3"/>
      <c r="WBZ103" s="3"/>
      <c r="WCA103" s="3"/>
      <c r="WCB103" s="3"/>
      <c r="WCC103" s="3"/>
      <c r="WCD103" s="3"/>
      <c r="WCE103" s="3"/>
      <c r="WCF103" s="3"/>
      <c r="WCG103" s="3"/>
      <c r="WCH103" s="3"/>
      <c r="WCI103" s="3"/>
      <c r="WCJ103" s="3"/>
      <c r="WCK103" s="3"/>
      <c r="WCL103" s="3"/>
      <c r="WCM103" s="3"/>
      <c r="WCN103" s="3"/>
      <c r="WCO103" s="3"/>
      <c r="WCP103" s="3"/>
      <c r="WCQ103" s="3"/>
      <c r="WCR103" s="3"/>
      <c r="WCS103" s="3"/>
      <c r="WCT103" s="3"/>
      <c r="WCU103" s="3"/>
      <c r="WCV103" s="3"/>
      <c r="WCW103" s="3"/>
      <c r="WCX103" s="3"/>
      <c r="WCY103" s="3"/>
      <c r="WCZ103" s="3"/>
      <c r="WDA103" s="3"/>
      <c r="WDB103" s="3"/>
      <c r="WDC103" s="3"/>
      <c r="WDD103" s="3"/>
      <c r="WDE103" s="3"/>
      <c r="WDF103" s="3"/>
      <c r="WDG103" s="3"/>
      <c r="WDH103" s="3"/>
      <c r="WDI103" s="3"/>
      <c r="WDJ103" s="3"/>
      <c r="WDK103" s="3"/>
      <c r="WDL103" s="3"/>
      <c r="WDM103" s="3"/>
      <c r="WDN103" s="3"/>
      <c r="WDO103" s="3"/>
      <c r="WDP103" s="3"/>
      <c r="WDQ103" s="3"/>
      <c r="WDR103" s="3"/>
      <c r="WDS103" s="3"/>
      <c r="WDT103" s="3"/>
      <c r="WDU103" s="3"/>
      <c r="WDV103" s="3"/>
      <c r="WDW103" s="3"/>
      <c r="WDX103" s="3"/>
      <c r="WDY103" s="3"/>
      <c r="WDZ103" s="3"/>
      <c r="WEA103" s="3"/>
      <c r="WEB103" s="3"/>
      <c r="WEC103" s="3"/>
      <c r="WED103" s="3"/>
      <c r="WEE103" s="3"/>
      <c r="WEF103" s="3"/>
      <c r="WEG103" s="3"/>
      <c r="WEH103" s="3"/>
      <c r="WEI103" s="3"/>
      <c r="WEJ103" s="3"/>
      <c r="WEK103" s="3"/>
      <c r="WEL103" s="3"/>
      <c r="WEM103" s="3"/>
      <c r="WEN103" s="3"/>
      <c r="WEO103" s="3"/>
      <c r="WEP103" s="3"/>
      <c r="WEQ103" s="3"/>
      <c r="WER103" s="3"/>
      <c r="WES103" s="3"/>
      <c r="WET103" s="3"/>
      <c r="WEU103" s="3"/>
      <c r="WEV103" s="3"/>
      <c r="WEW103" s="3"/>
      <c r="WEX103" s="3"/>
      <c r="WEY103" s="3"/>
      <c r="WEZ103" s="3"/>
      <c r="WFA103" s="3"/>
      <c r="WFB103" s="3"/>
      <c r="WFC103" s="3"/>
      <c r="WFD103" s="3"/>
      <c r="WFE103" s="3"/>
      <c r="WFF103" s="3"/>
      <c r="WFG103" s="3"/>
      <c r="WFH103" s="3"/>
      <c r="WFI103" s="3"/>
      <c r="WFJ103" s="3"/>
      <c r="WFK103" s="3"/>
      <c r="WFL103" s="3"/>
      <c r="WFM103" s="3"/>
      <c r="WFN103" s="3"/>
      <c r="WFO103" s="3"/>
      <c r="WFP103" s="3"/>
      <c r="WFQ103" s="3"/>
      <c r="WFR103" s="3"/>
      <c r="WFS103" s="3"/>
      <c r="WFT103" s="3"/>
      <c r="WFU103" s="3"/>
      <c r="WFV103" s="3"/>
      <c r="WFW103" s="3"/>
      <c r="WFX103" s="3"/>
      <c r="WFY103" s="3"/>
      <c r="WFZ103" s="3"/>
      <c r="WGA103" s="3"/>
      <c r="WGB103" s="3"/>
      <c r="WGC103" s="3"/>
      <c r="WGD103" s="3"/>
      <c r="WGE103" s="3"/>
      <c r="WGF103" s="3"/>
      <c r="WGG103" s="3"/>
      <c r="WGH103" s="3"/>
      <c r="WGI103" s="3"/>
      <c r="WGJ103" s="3"/>
      <c r="WGK103" s="3"/>
      <c r="WGL103" s="3"/>
      <c r="WGM103" s="3"/>
      <c r="WGN103" s="3"/>
      <c r="WGO103" s="3"/>
      <c r="WGP103" s="3"/>
      <c r="WGQ103" s="3"/>
      <c r="WGR103" s="3"/>
      <c r="WGS103" s="3"/>
      <c r="WGT103" s="3"/>
      <c r="WGU103" s="3"/>
      <c r="WGV103" s="3"/>
      <c r="WGW103" s="3"/>
      <c r="WGX103" s="3"/>
      <c r="WGY103" s="3"/>
      <c r="WGZ103" s="3"/>
      <c r="WHA103" s="3"/>
      <c r="WHB103" s="3"/>
      <c r="WHC103" s="3"/>
      <c r="WHD103" s="3"/>
      <c r="WHE103" s="3"/>
      <c r="WHF103" s="3"/>
      <c r="WHG103" s="3"/>
      <c r="WHH103" s="3"/>
      <c r="WHI103" s="3"/>
      <c r="WHJ103" s="3"/>
      <c r="WHK103" s="3"/>
      <c r="WHL103" s="3"/>
      <c r="WHM103" s="3"/>
      <c r="WHN103" s="3"/>
      <c r="WHO103" s="3"/>
      <c r="WHP103" s="3"/>
      <c r="WHQ103" s="3"/>
      <c r="WHR103" s="3"/>
      <c r="WHS103" s="3"/>
      <c r="WHT103" s="3"/>
      <c r="WHU103" s="3"/>
      <c r="WHV103" s="3"/>
      <c r="WHW103" s="3"/>
      <c r="WHX103" s="3"/>
      <c r="WHY103" s="3"/>
      <c r="WHZ103" s="3"/>
      <c r="WIA103" s="3"/>
      <c r="WIB103" s="3"/>
      <c r="WIC103" s="3"/>
      <c r="WID103" s="3"/>
      <c r="WIE103" s="3"/>
      <c r="WIF103" s="3"/>
      <c r="WIG103" s="3"/>
      <c r="WIH103" s="3"/>
      <c r="WII103" s="3"/>
      <c r="WIJ103" s="3"/>
      <c r="WIK103" s="3"/>
      <c r="WIL103" s="3"/>
      <c r="WIM103" s="3"/>
      <c r="WIN103" s="3"/>
      <c r="WIO103" s="3"/>
      <c r="WIP103" s="3"/>
      <c r="WIQ103" s="3"/>
      <c r="WIR103" s="3"/>
      <c r="WIS103" s="3"/>
      <c r="WIT103" s="3"/>
      <c r="WIU103" s="3"/>
      <c r="WIV103" s="3"/>
      <c r="WIW103" s="3"/>
      <c r="WIX103" s="3"/>
      <c r="WIY103" s="3"/>
      <c r="WIZ103" s="3"/>
      <c r="WJA103" s="3"/>
      <c r="WJB103" s="3"/>
      <c r="WJC103" s="3"/>
      <c r="WJD103" s="3"/>
      <c r="WJE103" s="3"/>
      <c r="WJF103" s="3"/>
      <c r="WJG103" s="3"/>
      <c r="WJH103" s="3"/>
      <c r="WJI103" s="3"/>
      <c r="WJJ103" s="3"/>
      <c r="WJK103" s="3"/>
      <c r="WJL103" s="3"/>
      <c r="WJM103" s="3"/>
      <c r="WJN103" s="3"/>
      <c r="WJO103" s="3"/>
      <c r="WJP103" s="3"/>
      <c r="WJQ103" s="3"/>
      <c r="WJR103" s="3"/>
      <c r="WJS103" s="3"/>
      <c r="WJT103" s="3"/>
      <c r="WJU103" s="3"/>
      <c r="WJV103" s="3"/>
      <c r="WJW103" s="3"/>
      <c r="WJX103" s="3"/>
      <c r="WJY103" s="3"/>
      <c r="WJZ103" s="3"/>
      <c r="WKA103" s="3"/>
      <c r="WKB103" s="3"/>
      <c r="WKC103" s="3"/>
      <c r="WKD103" s="3"/>
      <c r="WKE103" s="3"/>
      <c r="WKF103" s="3"/>
      <c r="WKG103" s="3"/>
      <c r="WKH103" s="3"/>
      <c r="WKI103" s="3"/>
      <c r="WKJ103" s="3"/>
      <c r="WKK103" s="3"/>
      <c r="WKL103" s="3"/>
      <c r="WKM103" s="3"/>
      <c r="WKN103" s="3"/>
      <c r="WKO103" s="3"/>
      <c r="WKP103" s="3"/>
      <c r="WKQ103" s="3"/>
      <c r="WKR103" s="3"/>
      <c r="WKS103" s="3"/>
      <c r="WKT103" s="3"/>
      <c r="WKU103" s="3"/>
      <c r="WKV103" s="3"/>
      <c r="WKW103" s="3"/>
      <c r="WKX103" s="3"/>
      <c r="WKY103" s="3"/>
      <c r="WKZ103" s="3"/>
      <c r="WLA103" s="3"/>
      <c r="WLB103" s="3"/>
      <c r="WLC103" s="3"/>
      <c r="WLD103" s="3"/>
      <c r="WLE103" s="3"/>
      <c r="WLF103" s="3"/>
      <c r="WLG103" s="3"/>
      <c r="WLH103" s="3"/>
      <c r="WLI103" s="3"/>
      <c r="WLJ103" s="3"/>
      <c r="WLK103" s="3"/>
      <c r="WLL103" s="3"/>
      <c r="WLM103" s="3"/>
      <c r="WLN103" s="3"/>
      <c r="WLO103" s="3"/>
      <c r="WLP103" s="3"/>
      <c r="WLQ103" s="3"/>
      <c r="WLR103" s="3"/>
      <c r="WLS103" s="3"/>
      <c r="WLT103" s="3"/>
      <c r="WLU103" s="3"/>
      <c r="WLV103" s="3"/>
      <c r="WLW103" s="3"/>
      <c r="WLX103" s="3"/>
      <c r="WLY103" s="3"/>
      <c r="WLZ103" s="3"/>
      <c r="WMA103" s="3"/>
      <c r="WMB103" s="3"/>
      <c r="WMC103" s="3"/>
      <c r="WMD103" s="3"/>
      <c r="WME103" s="3"/>
      <c r="WMF103" s="3"/>
      <c r="WMG103" s="3"/>
      <c r="WMH103" s="3"/>
      <c r="WMI103" s="3"/>
      <c r="WMJ103" s="3"/>
      <c r="WMK103" s="3"/>
      <c r="WML103" s="3"/>
      <c r="WMM103" s="3"/>
      <c r="WMN103" s="3"/>
      <c r="WMO103" s="3"/>
      <c r="WMP103" s="3"/>
      <c r="WMQ103" s="3"/>
      <c r="WMR103" s="3"/>
      <c r="WMS103" s="3"/>
      <c r="WMT103" s="3"/>
      <c r="WMU103" s="3"/>
      <c r="WMV103" s="3"/>
      <c r="WMW103" s="3"/>
      <c r="WMX103" s="3"/>
      <c r="WMY103" s="3"/>
      <c r="WMZ103" s="3"/>
      <c r="WNA103" s="3"/>
      <c r="WNB103" s="3"/>
      <c r="WNC103" s="3"/>
      <c r="WND103" s="3"/>
      <c r="WNE103" s="3"/>
      <c r="WNF103" s="3"/>
      <c r="WNG103" s="3"/>
      <c r="WNH103" s="3"/>
      <c r="WNI103" s="3"/>
      <c r="WNJ103" s="3"/>
      <c r="WNK103" s="3"/>
      <c r="WNL103" s="3"/>
      <c r="WNM103" s="3"/>
      <c r="WNN103" s="3"/>
      <c r="WNO103" s="3"/>
      <c r="WNP103" s="3"/>
      <c r="WNQ103" s="3"/>
      <c r="WNR103" s="3"/>
      <c r="WNS103" s="3"/>
      <c r="WNT103" s="3"/>
      <c r="WNU103" s="3"/>
      <c r="WNV103" s="3"/>
      <c r="WNW103" s="3"/>
      <c r="WNX103" s="3"/>
      <c r="WNY103" s="3"/>
      <c r="WNZ103" s="3"/>
      <c r="WOA103" s="3"/>
      <c r="WOB103" s="3"/>
      <c r="WOC103" s="3"/>
      <c r="WOD103" s="3"/>
      <c r="WOE103" s="3"/>
      <c r="WOF103" s="3"/>
      <c r="WOG103" s="3"/>
      <c r="WOH103" s="3"/>
      <c r="WOI103" s="3"/>
      <c r="WOJ103" s="3"/>
      <c r="WOK103" s="3"/>
      <c r="WOL103" s="3"/>
      <c r="WOM103" s="3"/>
      <c r="WON103" s="3"/>
      <c r="WOO103" s="3"/>
      <c r="WOP103" s="3"/>
      <c r="WOQ103" s="3"/>
      <c r="WOR103" s="3"/>
      <c r="WOS103" s="3"/>
      <c r="WOT103" s="3"/>
      <c r="WOU103" s="3"/>
      <c r="WOV103" s="3"/>
      <c r="WOW103" s="3"/>
      <c r="WOX103" s="3"/>
      <c r="WOY103" s="3"/>
      <c r="WOZ103" s="3"/>
      <c r="WPA103" s="3"/>
      <c r="WPB103" s="3"/>
      <c r="WPC103" s="3"/>
      <c r="WPD103" s="3"/>
      <c r="WPE103" s="3"/>
      <c r="WPF103" s="3"/>
      <c r="WPG103" s="3"/>
      <c r="WPH103" s="3"/>
      <c r="WPI103" s="3"/>
      <c r="WPJ103" s="3"/>
      <c r="WPK103" s="3"/>
      <c r="WPL103" s="3"/>
      <c r="WPM103" s="3"/>
      <c r="WPN103" s="3"/>
      <c r="WPO103" s="3"/>
      <c r="WPP103" s="3"/>
      <c r="WPQ103" s="3"/>
      <c r="WPR103" s="3"/>
      <c r="WPS103" s="3"/>
      <c r="WPT103" s="3"/>
      <c r="WPU103" s="3"/>
      <c r="WPV103" s="3"/>
      <c r="WPW103" s="3"/>
      <c r="WPX103" s="3"/>
      <c r="WPY103" s="3"/>
      <c r="WPZ103" s="3"/>
      <c r="WQA103" s="3"/>
      <c r="WQB103" s="3"/>
      <c r="WQC103" s="3"/>
      <c r="WQD103" s="3"/>
      <c r="WQE103" s="3"/>
      <c r="WQF103" s="3"/>
      <c r="WQG103" s="3"/>
      <c r="WQH103" s="3"/>
      <c r="WQI103" s="3"/>
      <c r="WQJ103" s="3"/>
      <c r="WQK103" s="3"/>
      <c r="WQL103" s="3"/>
      <c r="WQM103" s="3"/>
      <c r="WQN103" s="3"/>
      <c r="WQO103" s="3"/>
      <c r="WQP103" s="3"/>
      <c r="WQQ103" s="3"/>
      <c r="WQR103" s="3"/>
      <c r="WQS103" s="3"/>
      <c r="WQT103" s="3"/>
      <c r="WQU103" s="3"/>
      <c r="WQV103" s="3"/>
      <c r="WQW103" s="3"/>
      <c r="WQX103" s="3"/>
      <c r="WQY103" s="3"/>
      <c r="WQZ103" s="3"/>
      <c r="WRA103" s="3"/>
      <c r="WRB103" s="3"/>
      <c r="WRC103" s="3"/>
      <c r="WRD103" s="3"/>
      <c r="WRE103" s="3"/>
      <c r="WRF103" s="3"/>
      <c r="WRG103" s="3"/>
      <c r="WRH103" s="3"/>
      <c r="WRI103" s="3"/>
      <c r="WRJ103" s="3"/>
      <c r="WRK103" s="3"/>
      <c r="WRL103" s="3"/>
      <c r="WRM103" s="3"/>
      <c r="WRN103" s="3"/>
      <c r="WRO103" s="3"/>
      <c r="WRP103" s="3"/>
      <c r="WRQ103" s="3"/>
      <c r="WRR103" s="3"/>
      <c r="WRS103" s="3"/>
      <c r="WRT103" s="3"/>
      <c r="WRU103" s="3"/>
      <c r="WRV103" s="3"/>
      <c r="WRW103" s="3"/>
      <c r="WRX103" s="3"/>
      <c r="WRY103" s="3"/>
      <c r="WRZ103" s="3"/>
      <c r="WSA103" s="3"/>
      <c r="WSB103" s="3"/>
      <c r="WSC103" s="3"/>
      <c r="WSD103" s="3"/>
      <c r="WSE103" s="3"/>
      <c r="WSF103" s="3"/>
      <c r="WSG103" s="3"/>
      <c r="WSH103" s="3"/>
      <c r="WSI103" s="3"/>
      <c r="WSJ103" s="3"/>
      <c r="WSK103" s="3"/>
      <c r="WSL103" s="3"/>
      <c r="WSM103" s="3"/>
      <c r="WSN103" s="3"/>
      <c r="WSO103" s="3"/>
      <c r="WSP103" s="3"/>
      <c r="WSQ103" s="3"/>
      <c r="WSR103" s="3"/>
      <c r="WSS103" s="3"/>
      <c r="WST103" s="3"/>
      <c r="WSU103" s="3"/>
      <c r="WSV103" s="3"/>
      <c r="WSW103" s="3"/>
      <c r="WSX103" s="3"/>
      <c r="WSY103" s="3"/>
      <c r="WSZ103" s="3"/>
      <c r="WTA103" s="3"/>
      <c r="WTB103" s="3"/>
      <c r="WTC103" s="3"/>
      <c r="WTD103" s="3"/>
      <c r="WTE103" s="3"/>
      <c r="WTF103" s="3"/>
      <c r="WTG103" s="3"/>
      <c r="WTH103" s="3"/>
      <c r="WTI103" s="3"/>
      <c r="WTJ103" s="3"/>
      <c r="WTK103" s="3"/>
      <c r="WTL103" s="3"/>
      <c r="WTM103" s="3"/>
      <c r="WTN103" s="3"/>
      <c r="WTO103" s="3"/>
      <c r="WTP103" s="3"/>
      <c r="WTQ103" s="3"/>
      <c r="WTR103" s="3"/>
      <c r="WTS103" s="3"/>
      <c r="WTT103" s="3"/>
      <c r="WTU103" s="3"/>
      <c r="WTV103" s="3"/>
      <c r="WTW103" s="3"/>
      <c r="WTX103" s="3"/>
      <c r="WTY103" s="3"/>
      <c r="WTZ103" s="3"/>
      <c r="WUA103" s="3"/>
      <c r="WUB103" s="3"/>
      <c r="WUC103" s="3"/>
      <c r="WUD103" s="3"/>
      <c r="WUE103" s="3"/>
      <c r="WUF103" s="3"/>
      <c r="WUG103" s="3"/>
      <c r="WUH103" s="3"/>
      <c r="WUI103" s="3"/>
      <c r="WUJ103" s="3"/>
      <c r="WUK103" s="3"/>
      <c r="WUL103" s="3"/>
      <c r="WUM103" s="3"/>
      <c r="WUN103" s="3"/>
      <c r="WUO103" s="3"/>
      <c r="WUP103" s="3"/>
      <c r="WUQ103" s="3"/>
      <c r="WUR103" s="3"/>
      <c r="WUS103" s="3"/>
      <c r="WUT103" s="3"/>
      <c r="WUU103" s="3"/>
      <c r="WUV103" s="3"/>
      <c r="WUW103" s="3"/>
      <c r="WUX103" s="3"/>
      <c r="WUY103" s="3"/>
      <c r="WUZ103" s="3"/>
      <c r="WVA103" s="3"/>
      <c r="WVB103" s="3"/>
      <c r="WVC103" s="3"/>
      <c r="WVD103" s="3"/>
      <c r="WVE103" s="3"/>
      <c r="WVF103" s="3"/>
      <c r="WVG103" s="3"/>
      <c r="WVH103" s="3"/>
      <c r="WVI103" s="3"/>
      <c r="WVJ103" s="3"/>
      <c r="WVK103" s="3"/>
      <c r="WVL103" s="3"/>
      <c r="WVM103" s="3"/>
      <c r="WVN103" s="3"/>
      <c r="WVO103" s="3"/>
      <c r="WVP103" s="3"/>
      <c r="WVQ103" s="3"/>
      <c r="WVR103" s="3"/>
      <c r="WVS103" s="3"/>
      <c r="WVT103" s="3"/>
      <c r="WVU103" s="3"/>
      <c r="WVV103" s="3"/>
      <c r="WVW103" s="3"/>
      <c r="WVX103" s="3"/>
      <c r="WVY103" s="3"/>
      <c r="WVZ103" s="3"/>
      <c r="WWA103" s="3"/>
      <c r="WWB103" s="3"/>
      <c r="WWC103" s="3"/>
      <c r="WWD103" s="3"/>
      <c r="WWE103" s="3"/>
      <c r="WWF103" s="3"/>
      <c r="WWG103" s="3"/>
      <c r="WWH103" s="3"/>
      <c r="WWI103" s="3"/>
      <c r="WWJ103" s="3"/>
      <c r="WWK103" s="3"/>
      <c r="WWL103" s="3"/>
      <c r="WWM103" s="3"/>
      <c r="WWN103" s="3"/>
      <c r="WWO103" s="3"/>
      <c r="WWP103" s="3"/>
      <c r="WWQ103" s="3"/>
      <c r="WWR103" s="3"/>
      <c r="WWS103" s="3"/>
      <c r="WWT103" s="3"/>
      <c r="WWU103" s="3"/>
      <c r="WWV103" s="3"/>
      <c r="WWW103" s="3"/>
      <c r="WWX103" s="3"/>
      <c r="WWY103" s="3"/>
      <c r="WWZ103" s="3"/>
      <c r="WXA103" s="3"/>
      <c r="WXB103" s="3"/>
      <c r="WXC103" s="3"/>
      <c r="WXD103" s="3"/>
      <c r="WXE103" s="3"/>
      <c r="WXF103" s="3"/>
      <c r="WXG103" s="3"/>
      <c r="WXH103" s="3"/>
      <c r="WXI103" s="3"/>
      <c r="WXJ103" s="3"/>
      <c r="WXK103" s="3"/>
      <c r="WXL103" s="3"/>
      <c r="WXM103" s="3"/>
      <c r="WXN103" s="3"/>
      <c r="WXO103" s="3"/>
      <c r="WXP103" s="3"/>
      <c r="WXQ103" s="3"/>
      <c r="WXR103" s="3"/>
      <c r="WXS103" s="3"/>
      <c r="WXT103" s="3"/>
      <c r="WXU103" s="3"/>
      <c r="WXV103" s="3"/>
      <c r="WXW103" s="3"/>
      <c r="WXX103" s="3"/>
      <c r="WXY103" s="3"/>
      <c r="WXZ103" s="3"/>
      <c r="WYA103" s="3"/>
      <c r="WYB103" s="3"/>
      <c r="WYC103" s="3"/>
      <c r="WYD103" s="3"/>
      <c r="WYE103" s="3"/>
      <c r="WYF103" s="3"/>
      <c r="WYG103" s="3"/>
      <c r="WYH103" s="3"/>
      <c r="WYI103" s="3"/>
      <c r="WYJ103" s="3"/>
      <c r="WYK103" s="3"/>
      <c r="WYL103" s="3"/>
      <c r="WYM103" s="3"/>
      <c r="WYN103" s="3"/>
      <c r="WYO103" s="3"/>
      <c r="WYP103" s="3"/>
      <c r="WYQ103" s="3"/>
      <c r="WYR103" s="3"/>
      <c r="WYS103" s="3"/>
      <c r="WYT103" s="3"/>
      <c r="WYU103" s="3"/>
      <c r="WYV103" s="3"/>
      <c r="WYW103" s="3"/>
      <c r="WYX103" s="3"/>
      <c r="WYY103" s="3"/>
      <c r="WYZ103" s="3"/>
      <c r="WZA103" s="3"/>
      <c r="WZB103" s="3"/>
      <c r="WZC103" s="3"/>
      <c r="WZD103" s="3"/>
      <c r="WZE103" s="3"/>
      <c r="WZF103" s="3"/>
      <c r="WZG103" s="3"/>
      <c r="WZH103" s="3"/>
      <c r="WZI103" s="3"/>
      <c r="WZJ103" s="3"/>
      <c r="WZK103" s="3"/>
      <c r="WZL103" s="3"/>
      <c r="WZM103" s="3"/>
      <c r="WZN103" s="3"/>
      <c r="WZO103" s="3"/>
      <c r="WZP103" s="3"/>
      <c r="WZQ103" s="3"/>
      <c r="WZR103" s="3"/>
      <c r="WZS103" s="3"/>
      <c r="WZT103" s="3"/>
      <c r="WZU103" s="3"/>
      <c r="WZV103" s="3"/>
      <c r="WZW103" s="3"/>
      <c r="WZX103" s="3"/>
      <c r="WZY103" s="3"/>
      <c r="WZZ103" s="3"/>
      <c r="XAA103" s="3"/>
      <c r="XAB103" s="3"/>
      <c r="XAC103" s="3"/>
      <c r="XAD103" s="3"/>
      <c r="XAE103" s="3"/>
      <c r="XAF103" s="3"/>
      <c r="XAG103" s="3"/>
      <c r="XAH103" s="3"/>
      <c r="XAI103" s="3"/>
      <c r="XAJ103" s="3"/>
      <c r="XAK103" s="3"/>
      <c r="XAL103" s="3"/>
      <c r="XAM103" s="3"/>
      <c r="XAN103" s="3"/>
      <c r="XAO103" s="3"/>
      <c r="XAP103" s="3"/>
      <c r="XAQ103" s="3"/>
      <c r="XAR103" s="3"/>
      <c r="XAS103" s="3"/>
      <c r="XAT103" s="3"/>
      <c r="XAU103" s="3"/>
      <c r="XAV103" s="3"/>
      <c r="XAW103" s="3"/>
      <c r="XAX103" s="3"/>
      <c r="XAY103" s="3"/>
      <c r="XAZ103" s="3"/>
      <c r="XBA103" s="3"/>
      <c r="XBB103" s="3"/>
      <c r="XBC103" s="3"/>
      <c r="XBD103" s="3"/>
      <c r="XBE103" s="3"/>
      <c r="XBF103" s="3"/>
      <c r="XBG103" s="3"/>
      <c r="XBH103" s="3"/>
      <c r="XBI103" s="3"/>
      <c r="XBJ103" s="3"/>
      <c r="XBK103" s="3"/>
      <c r="XBL103" s="3"/>
      <c r="XBM103" s="3"/>
      <c r="XBN103" s="3"/>
      <c r="XBO103" s="3"/>
      <c r="XBP103" s="3"/>
      <c r="XBQ103" s="3"/>
      <c r="XBR103" s="3"/>
      <c r="XBS103" s="3"/>
      <c r="XBT103" s="3"/>
      <c r="XBU103" s="3"/>
      <c r="XBV103" s="3"/>
      <c r="XBW103" s="3"/>
      <c r="XBX103" s="3"/>
      <c r="XBY103" s="3"/>
      <c r="XBZ103" s="3"/>
      <c r="XCA103" s="3"/>
      <c r="XCB103" s="3"/>
      <c r="XCC103" s="3"/>
      <c r="XCD103" s="3"/>
      <c r="XCE103" s="3"/>
      <c r="XCF103" s="3"/>
      <c r="XCG103" s="3"/>
      <c r="XCH103" s="3"/>
      <c r="XCI103" s="3"/>
      <c r="XCJ103" s="3"/>
      <c r="XCK103" s="3"/>
      <c r="XCL103" s="3"/>
      <c r="XCM103" s="3"/>
      <c r="XCN103" s="3"/>
      <c r="XCO103" s="3"/>
      <c r="XCP103" s="3"/>
      <c r="XCQ103" s="3"/>
      <c r="XCR103" s="3"/>
      <c r="XCS103" s="3"/>
      <c r="XCT103" s="3"/>
      <c r="XCU103" s="3"/>
      <c r="XCV103" s="3"/>
      <c r="XCW103" s="3"/>
      <c r="XCX103" s="3"/>
      <c r="XCY103" s="3"/>
      <c r="XCZ103" s="3"/>
      <c r="XDA103" s="3"/>
      <c r="XDB103" s="3"/>
      <c r="XDC103" s="3"/>
      <c r="XDD103" s="3"/>
      <c r="XDE103" s="3"/>
      <c r="XDF103" s="3"/>
      <c r="XDG103" s="3"/>
      <c r="XDH103" s="3"/>
      <c r="XDI103" s="3"/>
      <c r="XDJ103" s="3"/>
      <c r="XDK103" s="3"/>
      <c r="XDL103" s="3"/>
      <c r="XDM103" s="3"/>
      <c r="XDN103" s="3"/>
      <c r="XDO103" s="3"/>
      <c r="XDP103" s="3"/>
      <c r="XDQ103" s="3"/>
      <c r="XDR103" s="3"/>
      <c r="XDS103" s="3"/>
      <c r="XDT103" s="3"/>
      <c r="XDU103" s="3"/>
      <c r="XDV103" s="3"/>
      <c r="XDW103" s="3"/>
      <c r="XDX103" s="3"/>
      <c r="XDY103" s="3"/>
      <c r="XDZ103" s="3"/>
      <c r="XEA103" s="3"/>
      <c r="XEB103" s="3"/>
      <c r="XEC103" s="3"/>
      <c r="XED103" s="3"/>
      <c r="XEE103" s="3"/>
      <c r="XEF103" s="3"/>
      <c r="XEG103" s="3"/>
      <c r="XEH103" s="3"/>
      <c r="XEI103" s="3"/>
      <c r="XEJ103" s="3"/>
      <c r="XEK103" s="3"/>
      <c r="XEL103" s="3"/>
      <c r="XEM103" s="3"/>
      <c r="XEN103" s="3"/>
      <c r="XEO103" s="3"/>
      <c r="XEP103" s="3"/>
      <c r="XEQ103" s="3"/>
      <c r="XER103" s="3"/>
      <c r="XES103" s="3"/>
      <c r="XET103" s="3"/>
      <c r="XEU103" s="3"/>
      <c r="XEV103" s="3"/>
      <c r="XEW103" s="3"/>
      <c r="XEX103" s="3"/>
      <c r="XEY103" s="3"/>
      <c r="XEZ103" s="3"/>
      <c r="XFA103" s="3"/>
      <c r="XFB103" s="3"/>
      <c r="XFC103" s="3"/>
    </row>
    <row r="104" customFormat="1" customHeight="1" spans="1:16383">
      <c r="A104" s="25" t="s">
        <v>302</v>
      </c>
      <c r="B104" s="122" t="s">
        <v>542</v>
      </c>
      <c r="C104" s="122" t="s">
        <v>556</v>
      </c>
      <c r="D104" s="122" t="s">
        <v>557</v>
      </c>
      <c r="E104" s="122" t="s">
        <v>558</v>
      </c>
      <c r="F104" s="122" t="s">
        <v>559</v>
      </c>
      <c r="G104" s="122" t="s">
        <v>547</v>
      </c>
      <c r="H104" s="122" t="s">
        <v>548</v>
      </c>
      <c r="I104" s="122" t="s">
        <v>560</v>
      </c>
      <c r="J104" s="122">
        <v>84</v>
      </c>
      <c r="K104" s="122">
        <v>83</v>
      </c>
      <c r="L104" s="122" t="s">
        <v>549</v>
      </c>
      <c r="M104" s="122" t="s">
        <v>550</v>
      </c>
      <c r="N104" s="122" t="s">
        <v>551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  <c r="ANK104" s="3"/>
      <c r="ANL104" s="3"/>
      <c r="ANM104" s="3"/>
      <c r="ANN104" s="3"/>
      <c r="ANO104" s="3"/>
      <c r="ANP104" s="3"/>
      <c r="ANQ104" s="3"/>
      <c r="ANR104" s="3"/>
      <c r="ANS104" s="3"/>
      <c r="ANT104" s="3"/>
      <c r="ANU104" s="3"/>
      <c r="ANV104" s="3"/>
      <c r="ANW104" s="3"/>
      <c r="ANX104" s="3"/>
      <c r="ANY104" s="3"/>
      <c r="ANZ104" s="3"/>
      <c r="AOA104" s="3"/>
      <c r="AOB104" s="3"/>
      <c r="AOC104" s="3"/>
      <c r="AOD104" s="3"/>
      <c r="AOE104" s="3"/>
      <c r="AOF104" s="3"/>
      <c r="AOG104" s="3"/>
      <c r="AOH104" s="3"/>
      <c r="AOI104" s="3"/>
      <c r="AOJ104" s="3"/>
      <c r="AOK104" s="3"/>
      <c r="AOL104" s="3"/>
      <c r="AOM104" s="3"/>
      <c r="AON104" s="3"/>
      <c r="AOO104" s="3"/>
      <c r="AOP104" s="3"/>
      <c r="AOQ104" s="3"/>
      <c r="AOR104" s="3"/>
      <c r="AOS104" s="3"/>
      <c r="AOT104" s="3"/>
      <c r="AOU104" s="3"/>
      <c r="AOV104" s="3"/>
      <c r="AOW104" s="3"/>
      <c r="AOX104" s="3"/>
      <c r="AOY104" s="3"/>
      <c r="AOZ104" s="3"/>
      <c r="APA104" s="3"/>
      <c r="APB104" s="3"/>
      <c r="APC104" s="3"/>
      <c r="APD104" s="3"/>
      <c r="APE104" s="3"/>
      <c r="APF104" s="3"/>
      <c r="APG104" s="3"/>
      <c r="APH104" s="3"/>
      <c r="API104" s="3"/>
      <c r="APJ104" s="3"/>
      <c r="APK104" s="3"/>
      <c r="APL104" s="3"/>
      <c r="APM104" s="3"/>
      <c r="APN104" s="3"/>
      <c r="APO104" s="3"/>
      <c r="APP104" s="3"/>
      <c r="APQ104" s="3"/>
      <c r="APR104" s="3"/>
      <c r="APS104" s="3"/>
      <c r="APT104" s="3"/>
      <c r="APU104" s="3"/>
      <c r="APV104" s="3"/>
      <c r="APW104" s="3"/>
      <c r="APX104" s="3"/>
      <c r="APY104" s="3"/>
      <c r="APZ104" s="3"/>
      <c r="AQA104" s="3"/>
      <c r="AQB104" s="3"/>
      <c r="AQC104" s="3"/>
      <c r="AQD104" s="3"/>
      <c r="AQE104" s="3"/>
      <c r="AQF104" s="3"/>
      <c r="AQG104" s="3"/>
      <c r="AQH104" s="3"/>
      <c r="AQI104" s="3"/>
      <c r="AQJ104" s="3"/>
      <c r="AQK104" s="3"/>
      <c r="AQL104" s="3"/>
      <c r="AQM104" s="3"/>
      <c r="AQN104" s="3"/>
      <c r="AQO104" s="3"/>
      <c r="AQP104" s="3"/>
      <c r="AQQ104" s="3"/>
      <c r="AQR104" s="3"/>
      <c r="AQS104" s="3"/>
      <c r="AQT104" s="3"/>
      <c r="AQU104" s="3"/>
      <c r="AQV104" s="3"/>
      <c r="AQW104" s="3"/>
      <c r="AQX104" s="3"/>
      <c r="AQY104" s="3"/>
      <c r="AQZ104" s="3"/>
      <c r="ARA104" s="3"/>
      <c r="ARB104" s="3"/>
      <c r="ARC104" s="3"/>
      <c r="ARD104" s="3"/>
      <c r="ARE104" s="3"/>
      <c r="ARF104" s="3"/>
      <c r="ARG104" s="3"/>
      <c r="ARH104" s="3"/>
      <c r="ARI104" s="3"/>
      <c r="ARJ104" s="3"/>
      <c r="ARK104" s="3"/>
      <c r="ARL104" s="3"/>
      <c r="ARM104" s="3"/>
      <c r="ARN104" s="3"/>
      <c r="ARO104" s="3"/>
      <c r="ARP104" s="3"/>
      <c r="ARQ104" s="3"/>
      <c r="ARR104" s="3"/>
      <c r="ARS104" s="3"/>
      <c r="ART104" s="3"/>
      <c r="ARU104" s="3"/>
      <c r="ARV104" s="3"/>
      <c r="ARW104" s="3"/>
      <c r="ARX104" s="3"/>
      <c r="ARY104" s="3"/>
      <c r="ARZ104" s="3"/>
      <c r="ASA104" s="3"/>
      <c r="ASB104" s="3"/>
      <c r="ASC104" s="3"/>
      <c r="ASD104" s="3"/>
      <c r="ASE104" s="3"/>
      <c r="ASF104" s="3"/>
      <c r="ASG104" s="3"/>
      <c r="ASH104" s="3"/>
      <c r="ASI104" s="3"/>
      <c r="ASJ104" s="3"/>
      <c r="ASK104" s="3"/>
      <c r="ASL104" s="3"/>
      <c r="ASM104" s="3"/>
      <c r="ASN104" s="3"/>
      <c r="ASO104" s="3"/>
      <c r="ASP104" s="3"/>
      <c r="ASQ104" s="3"/>
      <c r="ASR104" s="3"/>
      <c r="ASS104" s="3"/>
      <c r="AST104" s="3"/>
      <c r="ASU104" s="3"/>
      <c r="ASV104" s="3"/>
      <c r="ASW104" s="3"/>
      <c r="ASX104" s="3"/>
      <c r="ASY104" s="3"/>
      <c r="ASZ104" s="3"/>
      <c r="ATA104" s="3"/>
      <c r="ATB104" s="3"/>
      <c r="ATC104" s="3"/>
      <c r="ATD104" s="3"/>
      <c r="ATE104" s="3"/>
      <c r="ATF104" s="3"/>
      <c r="ATG104" s="3"/>
      <c r="ATH104" s="3"/>
      <c r="ATI104" s="3"/>
      <c r="ATJ104" s="3"/>
      <c r="ATK104" s="3"/>
      <c r="ATL104" s="3"/>
      <c r="ATM104" s="3"/>
      <c r="ATN104" s="3"/>
      <c r="ATO104" s="3"/>
      <c r="ATP104" s="3"/>
      <c r="ATQ104" s="3"/>
      <c r="ATR104" s="3"/>
      <c r="ATS104" s="3"/>
      <c r="ATT104" s="3"/>
      <c r="ATU104" s="3"/>
      <c r="ATV104" s="3"/>
      <c r="ATW104" s="3"/>
      <c r="ATX104" s="3"/>
      <c r="ATY104" s="3"/>
      <c r="ATZ104" s="3"/>
      <c r="AUA104" s="3"/>
      <c r="AUB104" s="3"/>
      <c r="AUC104" s="3"/>
      <c r="AUD104" s="3"/>
      <c r="AUE104" s="3"/>
      <c r="AUF104" s="3"/>
      <c r="AUG104" s="3"/>
      <c r="AUH104" s="3"/>
      <c r="AUI104" s="3"/>
      <c r="AUJ104" s="3"/>
      <c r="AUK104" s="3"/>
      <c r="AUL104" s="3"/>
      <c r="AUM104" s="3"/>
      <c r="AUN104" s="3"/>
      <c r="AUO104" s="3"/>
      <c r="AUP104" s="3"/>
      <c r="AUQ104" s="3"/>
      <c r="AUR104" s="3"/>
      <c r="AUS104" s="3"/>
      <c r="AUT104" s="3"/>
      <c r="AUU104" s="3"/>
      <c r="AUV104" s="3"/>
      <c r="AUW104" s="3"/>
      <c r="AUX104" s="3"/>
      <c r="AUY104" s="3"/>
      <c r="AUZ104" s="3"/>
      <c r="AVA104" s="3"/>
      <c r="AVB104" s="3"/>
      <c r="AVC104" s="3"/>
      <c r="AVD104" s="3"/>
      <c r="AVE104" s="3"/>
      <c r="AVF104" s="3"/>
      <c r="AVG104" s="3"/>
      <c r="AVH104" s="3"/>
      <c r="AVI104" s="3"/>
      <c r="AVJ104" s="3"/>
      <c r="AVK104" s="3"/>
      <c r="AVL104" s="3"/>
      <c r="AVM104" s="3"/>
      <c r="AVN104" s="3"/>
      <c r="AVO104" s="3"/>
      <c r="AVP104" s="3"/>
      <c r="AVQ104" s="3"/>
      <c r="AVR104" s="3"/>
      <c r="AVS104" s="3"/>
      <c r="AVT104" s="3"/>
      <c r="AVU104" s="3"/>
      <c r="AVV104" s="3"/>
      <c r="AVW104" s="3"/>
      <c r="AVX104" s="3"/>
      <c r="AVY104" s="3"/>
      <c r="AVZ104" s="3"/>
      <c r="AWA104" s="3"/>
      <c r="AWB104" s="3"/>
      <c r="AWC104" s="3"/>
      <c r="AWD104" s="3"/>
      <c r="AWE104" s="3"/>
      <c r="AWF104" s="3"/>
      <c r="AWG104" s="3"/>
      <c r="AWH104" s="3"/>
      <c r="AWI104" s="3"/>
      <c r="AWJ104" s="3"/>
      <c r="AWK104" s="3"/>
      <c r="AWL104" s="3"/>
      <c r="AWM104" s="3"/>
      <c r="AWN104" s="3"/>
      <c r="AWO104" s="3"/>
      <c r="AWP104" s="3"/>
      <c r="AWQ104" s="3"/>
      <c r="AWR104" s="3"/>
      <c r="AWS104" s="3"/>
      <c r="AWT104" s="3"/>
      <c r="AWU104" s="3"/>
      <c r="AWV104" s="3"/>
      <c r="AWW104" s="3"/>
      <c r="AWX104" s="3"/>
      <c r="AWY104" s="3"/>
      <c r="AWZ104" s="3"/>
      <c r="AXA104" s="3"/>
      <c r="AXB104" s="3"/>
      <c r="AXC104" s="3"/>
      <c r="AXD104" s="3"/>
      <c r="AXE104" s="3"/>
      <c r="AXF104" s="3"/>
      <c r="AXG104" s="3"/>
      <c r="AXH104" s="3"/>
      <c r="AXI104" s="3"/>
      <c r="AXJ104" s="3"/>
      <c r="AXK104" s="3"/>
      <c r="AXL104" s="3"/>
      <c r="AXM104" s="3"/>
      <c r="AXN104" s="3"/>
      <c r="AXO104" s="3"/>
      <c r="AXP104" s="3"/>
      <c r="AXQ104" s="3"/>
      <c r="AXR104" s="3"/>
      <c r="AXS104" s="3"/>
      <c r="AXT104" s="3"/>
      <c r="AXU104" s="3"/>
      <c r="AXV104" s="3"/>
      <c r="AXW104" s="3"/>
      <c r="AXX104" s="3"/>
      <c r="AXY104" s="3"/>
      <c r="AXZ104" s="3"/>
      <c r="AYA104" s="3"/>
      <c r="AYB104" s="3"/>
      <c r="AYC104" s="3"/>
      <c r="AYD104" s="3"/>
      <c r="AYE104" s="3"/>
      <c r="AYF104" s="3"/>
      <c r="AYG104" s="3"/>
      <c r="AYH104" s="3"/>
      <c r="AYI104" s="3"/>
      <c r="AYJ104" s="3"/>
      <c r="AYK104" s="3"/>
      <c r="AYL104" s="3"/>
      <c r="AYM104" s="3"/>
      <c r="AYN104" s="3"/>
      <c r="AYO104" s="3"/>
      <c r="AYP104" s="3"/>
      <c r="AYQ104" s="3"/>
      <c r="AYR104" s="3"/>
      <c r="AYS104" s="3"/>
      <c r="AYT104" s="3"/>
      <c r="AYU104" s="3"/>
      <c r="AYV104" s="3"/>
      <c r="AYW104" s="3"/>
      <c r="AYX104" s="3"/>
      <c r="AYY104" s="3"/>
      <c r="AYZ104" s="3"/>
      <c r="AZA104" s="3"/>
      <c r="AZB104" s="3"/>
      <c r="AZC104" s="3"/>
      <c r="AZD104" s="3"/>
      <c r="AZE104" s="3"/>
      <c r="AZF104" s="3"/>
      <c r="AZG104" s="3"/>
      <c r="AZH104" s="3"/>
      <c r="AZI104" s="3"/>
      <c r="AZJ104" s="3"/>
      <c r="AZK104" s="3"/>
      <c r="AZL104" s="3"/>
      <c r="AZM104" s="3"/>
      <c r="AZN104" s="3"/>
      <c r="AZO104" s="3"/>
      <c r="AZP104" s="3"/>
      <c r="AZQ104" s="3"/>
      <c r="AZR104" s="3"/>
      <c r="AZS104" s="3"/>
      <c r="AZT104" s="3"/>
      <c r="AZU104" s="3"/>
      <c r="AZV104" s="3"/>
      <c r="AZW104" s="3"/>
      <c r="AZX104" s="3"/>
      <c r="AZY104" s="3"/>
      <c r="AZZ104" s="3"/>
      <c r="BAA104" s="3"/>
      <c r="BAB104" s="3"/>
      <c r="BAC104" s="3"/>
      <c r="BAD104" s="3"/>
      <c r="BAE104" s="3"/>
      <c r="BAF104" s="3"/>
      <c r="BAG104" s="3"/>
      <c r="BAH104" s="3"/>
      <c r="BAI104" s="3"/>
      <c r="BAJ104" s="3"/>
      <c r="BAK104" s="3"/>
      <c r="BAL104" s="3"/>
      <c r="BAM104" s="3"/>
      <c r="BAN104" s="3"/>
      <c r="BAO104" s="3"/>
      <c r="BAP104" s="3"/>
      <c r="BAQ104" s="3"/>
      <c r="BAR104" s="3"/>
      <c r="BAS104" s="3"/>
      <c r="BAT104" s="3"/>
      <c r="BAU104" s="3"/>
      <c r="BAV104" s="3"/>
      <c r="BAW104" s="3"/>
      <c r="BAX104" s="3"/>
      <c r="BAY104" s="3"/>
      <c r="BAZ104" s="3"/>
      <c r="BBA104" s="3"/>
      <c r="BBB104" s="3"/>
      <c r="BBC104" s="3"/>
      <c r="BBD104" s="3"/>
      <c r="BBE104" s="3"/>
      <c r="BBF104" s="3"/>
      <c r="BBG104" s="3"/>
      <c r="BBH104" s="3"/>
      <c r="BBI104" s="3"/>
      <c r="BBJ104" s="3"/>
      <c r="BBK104" s="3"/>
      <c r="BBL104" s="3"/>
      <c r="BBM104" s="3"/>
      <c r="BBN104" s="3"/>
      <c r="BBO104" s="3"/>
      <c r="BBP104" s="3"/>
      <c r="BBQ104" s="3"/>
      <c r="BBR104" s="3"/>
      <c r="BBS104" s="3"/>
      <c r="BBT104" s="3"/>
      <c r="BBU104" s="3"/>
      <c r="BBV104" s="3"/>
      <c r="BBW104" s="3"/>
      <c r="BBX104" s="3"/>
      <c r="BBY104" s="3"/>
      <c r="BBZ104" s="3"/>
      <c r="BCA104" s="3"/>
      <c r="BCB104" s="3"/>
      <c r="BCC104" s="3"/>
      <c r="BCD104" s="3"/>
      <c r="BCE104" s="3"/>
      <c r="BCF104" s="3"/>
      <c r="BCG104" s="3"/>
      <c r="BCH104" s="3"/>
      <c r="BCI104" s="3"/>
      <c r="BCJ104" s="3"/>
      <c r="BCK104" s="3"/>
      <c r="BCL104" s="3"/>
      <c r="BCM104" s="3"/>
      <c r="BCN104" s="3"/>
      <c r="BCO104" s="3"/>
      <c r="BCP104" s="3"/>
      <c r="BCQ104" s="3"/>
      <c r="BCR104" s="3"/>
      <c r="BCS104" s="3"/>
      <c r="BCT104" s="3"/>
      <c r="BCU104" s="3"/>
      <c r="BCV104" s="3"/>
      <c r="BCW104" s="3"/>
      <c r="BCX104" s="3"/>
      <c r="BCY104" s="3"/>
      <c r="BCZ104" s="3"/>
      <c r="BDA104" s="3"/>
      <c r="BDB104" s="3"/>
      <c r="BDC104" s="3"/>
      <c r="BDD104" s="3"/>
      <c r="BDE104" s="3"/>
      <c r="BDF104" s="3"/>
      <c r="BDG104" s="3"/>
      <c r="BDH104" s="3"/>
      <c r="BDI104" s="3"/>
      <c r="BDJ104" s="3"/>
      <c r="BDK104" s="3"/>
      <c r="BDL104" s="3"/>
      <c r="BDM104" s="3"/>
      <c r="BDN104" s="3"/>
      <c r="BDO104" s="3"/>
      <c r="BDP104" s="3"/>
      <c r="BDQ104" s="3"/>
      <c r="BDR104" s="3"/>
      <c r="BDS104" s="3"/>
      <c r="BDT104" s="3"/>
      <c r="BDU104" s="3"/>
      <c r="BDV104" s="3"/>
      <c r="BDW104" s="3"/>
      <c r="BDX104" s="3"/>
      <c r="BDY104" s="3"/>
      <c r="BDZ104" s="3"/>
      <c r="BEA104" s="3"/>
      <c r="BEB104" s="3"/>
      <c r="BEC104" s="3"/>
      <c r="BED104" s="3"/>
      <c r="BEE104" s="3"/>
      <c r="BEF104" s="3"/>
      <c r="BEG104" s="3"/>
      <c r="BEH104" s="3"/>
      <c r="BEI104" s="3"/>
      <c r="BEJ104" s="3"/>
      <c r="BEK104" s="3"/>
      <c r="BEL104" s="3"/>
      <c r="BEM104" s="3"/>
      <c r="BEN104" s="3"/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3"/>
      <c r="BGM104" s="3"/>
      <c r="BGN104" s="3"/>
      <c r="BGO104" s="3"/>
      <c r="BGP104" s="3"/>
      <c r="BGQ104" s="3"/>
      <c r="BGR104" s="3"/>
      <c r="BGS104" s="3"/>
      <c r="BGT104" s="3"/>
      <c r="BGU104" s="3"/>
      <c r="BGV104" s="3"/>
      <c r="BGW104" s="3"/>
      <c r="BGX104" s="3"/>
      <c r="BGY104" s="3"/>
      <c r="BGZ104" s="3"/>
      <c r="BHA104" s="3"/>
      <c r="BHB104" s="3"/>
      <c r="BHC104" s="3"/>
      <c r="BHD104" s="3"/>
      <c r="BHE104" s="3"/>
      <c r="BHF104" s="3"/>
      <c r="BHG104" s="3"/>
      <c r="BHH104" s="3"/>
      <c r="BHI104" s="3"/>
      <c r="BHJ104" s="3"/>
      <c r="BHK104" s="3"/>
      <c r="BHL104" s="3"/>
      <c r="BHM104" s="3"/>
      <c r="BHN104" s="3"/>
      <c r="BHO104" s="3"/>
      <c r="BHP104" s="3"/>
      <c r="BHQ104" s="3"/>
      <c r="BHR104" s="3"/>
      <c r="BHS104" s="3"/>
      <c r="BHT104" s="3"/>
      <c r="BHU104" s="3"/>
      <c r="BHV104" s="3"/>
      <c r="BHW104" s="3"/>
      <c r="BHX104" s="3"/>
      <c r="BHY104" s="3"/>
      <c r="BHZ104" s="3"/>
      <c r="BIA104" s="3"/>
      <c r="BIB104" s="3"/>
      <c r="BIC104" s="3"/>
      <c r="BID104" s="3"/>
      <c r="BIE104" s="3"/>
      <c r="BIF104" s="3"/>
      <c r="BIG104" s="3"/>
      <c r="BIH104" s="3"/>
      <c r="BII104" s="3"/>
      <c r="BIJ104" s="3"/>
      <c r="BIK104" s="3"/>
      <c r="BIL104" s="3"/>
      <c r="BIM104" s="3"/>
      <c r="BIN104" s="3"/>
      <c r="BIO104" s="3"/>
      <c r="BIP104" s="3"/>
      <c r="BIQ104" s="3"/>
      <c r="BIR104" s="3"/>
      <c r="BIS104" s="3"/>
      <c r="BIT104" s="3"/>
      <c r="BIU104" s="3"/>
      <c r="BIV104" s="3"/>
      <c r="BIW104" s="3"/>
      <c r="BIX104" s="3"/>
      <c r="BIY104" s="3"/>
      <c r="BIZ104" s="3"/>
      <c r="BJA104" s="3"/>
      <c r="BJB104" s="3"/>
      <c r="BJC104" s="3"/>
      <c r="BJD104" s="3"/>
      <c r="BJE104" s="3"/>
      <c r="BJF104" s="3"/>
      <c r="BJG104" s="3"/>
      <c r="BJH104" s="3"/>
      <c r="BJI104" s="3"/>
      <c r="BJJ104" s="3"/>
      <c r="BJK104" s="3"/>
      <c r="BJL104" s="3"/>
      <c r="BJM104" s="3"/>
      <c r="BJN104" s="3"/>
      <c r="BJO104" s="3"/>
      <c r="BJP104" s="3"/>
      <c r="BJQ104" s="3"/>
      <c r="BJR104" s="3"/>
      <c r="BJS104" s="3"/>
      <c r="BJT104" s="3"/>
      <c r="BJU104" s="3"/>
      <c r="BJV104" s="3"/>
      <c r="BJW104" s="3"/>
      <c r="BJX104" s="3"/>
      <c r="BJY104" s="3"/>
      <c r="BJZ104" s="3"/>
      <c r="BKA104" s="3"/>
      <c r="BKB104" s="3"/>
      <c r="BKC104" s="3"/>
      <c r="BKD104" s="3"/>
      <c r="BKE104" s="3"/>
      <c r="BKF104" s="3"/>
      <c r="BKG104" s="3"/>
      <c r="BKH104" s="3"/>
      <c r="BKI104" s="3"/>
      <c r="BKJ104" s="3"/>
      <c r="BKK104" s="3"/>
      <c r="BKL104" s="3"/>
      <c r="BKM104" s="3"/>
      <c r="BKN104" s="3"/>
      <c r="BKO104" s="3"/>
      <c r="BKP104" s="3"/>
      <c r="BKQ104" s="3"/>
      <c r="BKR104" s="3"/>
      <c r="BKS104" s="3"/>
      <c r="BKT104" s="3"/>
      <c r="BKU104" s="3"/>
      <c r="BKV104" s="3"/>
      <c r="BKW104" s="3"/>
      <c r="BKX104" s="3"/>
      <c r="BKY104" s="3"/>
      <c r="BKZ104" s="3"/>
      <c r="BLA104" s="3"/>
      <c r="BLB104" s="3"/>
      <c r="BLC104" s="3"/>
      <c r="BLD104" s="3"/>
      <c r="BLE104" s="3"/>
      <c r="BLF104" s="3"/>
      <c r="BLG104" s="3"/>
      <c r="BLH104" s="3"/>
      <c r="BLI104" s="3"/>
      <c r="BLJ104" s="3"/>
      <c r="BLK104" s="3"/>
      <c r="BLL104" s="3"/>
      <c r="BLM104" s="3"/>
      <c r="BLN104" s="3"/>
      <c r="BLO104" s="3"/>
      <c r="BLP104" s="3"/>
      <c r="BLQ104" s="3"/>
      <c r="BLR104" s="3"/>
      <c r="BLS104" s="3"/>
      <c r="BLT104" s="3"/>
      <c r="BLU104" s="3"/>
      <c r="BLV104" s="3"/>
      <c r="BLW104" s="3"/>
      <c r="BLX104" s="3"/>
      <c r="BLY104" s="3"/>
      <c r="BLZ104" s="3"/>
      <c r="BMA104" s="3"/>
      <c r="BMB104" s="3"/>
      <c r="BMC104" s="3"/>
      <c r="BMD104" s="3"/>
      <c r="BME104" s="3"/>
      <c r="BMF104" s="3"/>
      <c r="BMG104" s="3"/>
      <c r="BMH104" s="3"/>
      <c r="BMI104" s="3"/>
      <c r="BMJ104" s="3"/>
      <c r="BMK104" s="3"/>
      <c r="BML104" s="3"/>
      <c r="BMM104" s="3"/>
      <c r="BMN104" s="3"/>
      <c r="BMO104" s="3"/>
      <c r="BMP104" s="3"/>
      <c r="BMQ104" s="3"/>
      <c r="BMR104" s="3"/>
      <c r="BMS104" s="3"/>
      <c r="BMT104" s="3"/>
      <c r="BMU104" s="3"/>
      <c r="BMV104" s="3"/>
      <c r="BMW104" s="3"/>
      <c r="BMX104" s="3"/>
      <c r="BMY104" s="3"/>
      <c r="BMZ104" s="3"/>
      <c r="BNA104" s="3"/>
      <c r="BNB104" s="3"/>
      <c r="BNC104" s="3"/>
      <c r="BND104" s="3"/>
      <c r="BNE104" s="3"/>
      <c r="BNF104" s="3"/>
      <c r="BNG104" s="3"/>
      <c r="BNH104" s="3"/>
      <c r="BNI104" s="3"/>
      <c r="BNJ104" s="3"/>
      <c r="BNK104" s="3"/>
      <c r="BNL104" s="3"/>
      <c r="BNM104" s="3"/>
      <c r="BNN104" s="3"/>
      <c r="BNO104" s="3"/>
      <c r="BNP104" s="3"/>
      <c r="BNQ104" s="3"/>
      <c r="BNR104" s="3"/>
      <c r="BNS104" s="3"/>
      <c r="BNT104" s="3"/>
      <c r="BNU104" s="3"/>
      <c r="BNV104" s="3"/>
      <c r="BNW104" s="3"/>
      <c r="BNX104" s="3"/>
      <c r="BNY104" s="3"/>
      <c r="BNZ104" s="3"/>
      <c r="BOA104" s="3"/>
      <c r="BOB104" s="3"/>
      <c r="BOC104" s="3"/>
      <c r="BOD104" s="3"/>
      <c r="BOE104" s="3"/>
      <c r="BOF104" s="3"/>
      <c r="BOG104" s="3"/>
      <c r="BOH104" s="3"/>
      <c r="BOI104" s="3"/>
      <c r="BOJ104" s="3"/>
      <c r="BOK104" s="3"/>
      <c r="BOL104" s="3"/>
      <c r="BOM104" s="3"/>
      <c r="BON104" s="3"/>
      <c r="BOO104" s="3"/>
      <c r="BOP104" s="3"/>
      <c r="BOQ104" s="3"/>
      <c r="BOR104" s="3"/>
      <c r="BOS104" s="3"/>
      <c r="BOT104" s="3"/>
      <c r="BOU104" s="3"/>
      <c r="BOV104" s="3"/>
      <c r="BOW104" s="3"/>
      <c r="BOX104" s="3"/>
      <c r="BOY104" s="3"/>
      <c r="BOZ104" s="3"/>
      <c r="BPA104" s="3"/>
      <c r="BPB104" s="3"/>
      <c r="BPC104" s="3"/>
      <c r="BPD104" s="3"/>
      <c r="BPE104" s="3"/>
      <c r="BPF104" s="3"/>
      <c r="BPG104" s="3"/>
      <c r="BPH104" s="3"/>
      <c r="BPI104" s="3"/>
      <c r="BPJ104" s="3"/>
      <c r="BPK104" s="3"/>
      <c r="BPL104" s="3"/>
      <c r="BPM104" s="3"/>
      <c r="BPN104" s="3"/>
      <c r="BPO104" s="3"/>
      <c r="BPP104" s="3"/>
      <c r="BPQ104" s="3"/>
      <c r="BPR104" s="3"/>
      <c r="BPS104" s="3"/>
      <c r="BPT104" s="3"/>
      <c r="BPU104" s="3"/>
      <c r="BPV104" s="3"/>
      <c r="BPW104" s="3"/>
      <c r="BPX104" s="3"/>
      <c r="BPY104" s="3"/>
      <c r="BPZ104" s="3"/>
      <c r="BQA104" s="3"/>
      <c r="BQB104" s="3"/>
      <c r="BQC104" s="3"/>
      <c r="BQD104" s="3"/>
      <c r="BQE104" s="3"/>
      <c r="BQF104" s="3"/>
      <c r="BQG104" s="3"/>
      <c r="BQH104" s="3"/>
      <c r="BQI104" s="3"/>
      <c r="BQJ104" s="3"/>
      <c r="BQK104" s="3"/>
      <c r="BQL104" s="3"/>
      <c r="BQM104" s="3"/>
      <c r="BQN104" s="3"/>
      <c r="BQO104" s="3"/>
      <c r="BQP104" s="3"/>
      <c r="BQQ104" s="3"/>
      <c r="BQR104" s="3"/>
      <c r="BQS104" s="3"/>
      <c r="BQT104" s="3"/>
      <c r="BQU104" s="3"/>
      <c r="BQV104" s="3"/>
      <c r="BQW104" s="3"/>
      <c r="BQX104" s="3"/>
      <c r="BQY104" s="3"/>
      <c r="BQZ104" s="3"/>
      <c r="BRA104" s="3"/>
      <c r="BRB104" s="3"/>
      <c r="BRC104" s="3"/>
      <c r="BRD104" s="3"/>
      <c r="BRE104" s="3"/>
      <c r="BRF104" s="3"/>
      <c r="BRG104" s="3"/>
      <c r="BRH104" s="3"/>
      <c r="BRI104" s="3"/>
      <c r="BRJ104" s="3"/>
      <c r="BRK104" s="3"/>
      <c r="BRL104" s="3"/>
      <c r="BRM104" s="3"/>
      <c r="BRN104" s="3"/>
      <c r="BRO104" s="3"/>
      <c r="BRP104" s="3"/>
      <c r="BRQ104" s="3"/>
      <c r="BRR104" s="3"/>
      <c r="BRS104" s="3"/>
      <c r="BRT104" s="3"/>
      <c r="BRU104" s="3"/>
      <c r="BRV104" s="3"/>
      <c r="BRW104" s="3"/>
      <c r="BRX104" s="3"/>
      <c r="BRY104" s="3"/>
      <c r="BRZ104" s="3"/>
      <c r="BSA104" s="3"/>
      <c r="BSB104" s="3"/>
      <c r="BSC104" s="3"/>
      <c r="BSD104" s="3"/>
      <c r="BSE104" s="3"/>
      <c r="BSF104" s="3"/>
      <c r="BSG104" s="3"/>
      <c r="BSH104" s="3"/>
      <c r="BSI104" s="3"/>
      <c r="BSJ104" s="3"/>
      <c r="BSK104" s="3"/>
      <c r="BSL104" s="3"/>
      <c r="BSM104" s="3"/>
      <c r="BSN104" s="3"/>
      <c r="BSO104" s="3"/>
      <c r="BSP104" s="3"/>
      <c r="BSQ104" s="3"/>
      <c r="BSR104" s="3"/>
      <c r="BSS104" s="3"/>
      <c r="BST104" s="3"/>
      <c r="BSU104" s="3"/>
      <c r="BSV104" s="3"/>
      <c r="BSW104" s="3"/>
      <c r="BSX104" s="3"/>
      <c r="BSY104" s="3"/>
      <c r="BSZ104" s="3"/>
      <c r="BTA104" s="3"/>
      <c r="BTB104" s="3"/>
      <c r="BTC104" s="3"/>
      <c r="BTD104" s="3"/>
      <c r="BTE104" s="3"/>
      <c r="BTF104" s="3"/>
      <c r="BTG104" s="3"/>
      <c r="BTH104" s="3"/>
      <c r="BTI104" s="3"/>
      <c r="BTJ104" s="3"/>
      <c r="BTK104" s="3"/>
      <c r="BTL104" s="3"/>
      <c r="BTM104" s="3"/>
      <c r="BTN104" s="3"/>
      <c r="BTO104" s="3"/>
      <c r="BTP104" s="3"/>
      <c r="BTQ104" s="3"/>
      <c r="BTR104" s="3"/>
      <c r="BTS104" s="3"/>
      <c r="BTT104" s="3"/>
      <c r="BTU104" s="3"/>
      <c r="BTV104" s="3"/>
      <c r="BTW104" s="3"/>
      <c r="BTX104" s="3"/>
      <c r="BTY104" s="3"/>
      <c r="BTZ104" s="3"/>
      <c r="BUA104" s="3"/>
      <c r="BUB104" s="3"/>
      <c r="BUC104" s="3"/>
      <c r="BUD104" s="3"/>
      <c r="BUE104" s="3"/>
      <c r="BUF104" s="3"/>
      <c r="BUG104" s="3"/>
      <c r="BUH104" s="3"/>
      <c r="BUI104" s="3"/>
      <c r="BUJ104" s="3"/>
      <c r="BUK104" s="3"/>
      <c r="BUL104" s="3"/>
      <c r="BUM104" s="3"/>
      <c r="BUN104" s="3"/>
      <c r="BUO104" s="3"/>
      <c r="BUP104" s="3"/>
      <c r="BUQ104" s="3"/>
      <c r="BUR104" s="3"/>
      <c r="BUS104" s="3"/>
      <c r="BUT104" s="3"/>
      <c r="BUU104" s="3"/>
      <c r="BUV104" s="3"/>
      <c r="BUW104" s="3"/>
      <c r="BUX104" s="3"/>
      <c r="BUY104" s="3"/>
      <c r="BUZ104" s="3"/>
      <c r="BVA104" s="3"/>
      <c r="BVB104" s="3"/>
      <c r="BVC104" s="3"/>
      <c r="BVD104" s="3"/>
      <c r="BVE104" s="3"/>
      <c r="BVF104" s="3"/>
      <c r="BVG104" s="3"/>
      <c r="BVH104" s="3"/>
      <c r="BVI104" s="3"/>
      <c r="BVJ104" s="3"/>
      <c r="BVK104" s="3"/>
      <c r="BVL104" s="3"/>
      <c r="BVM104" s="3"/>
      <c r="BVN104" s="3"/>
      <c r="BVO104" s="3"/>
      <c r="BVP104" s="3"/>
      <c r="BVQ104" s="3"/>
      <c r="BVR104" s="3"/>
      <c r="BVS104" s="3"/>
      <c r="BVT104" s="3"/>
      <c r="BVU104" s="3"/>
      <c r="BVV104" s="3"/>
      <c r="BVW104" s="3"/>
      <c r="BVX104" s="3"/>
      <c r="BVY104" s="3"/>
      <c r="BVZ104" s="3"/>
      <c r="BWA104" s="3"/>
      <c r="BWB104" s="3"/>
      <c r="BWC104" s="3"/>
      <c r="BWD104" s="3"/>
      <c r="BWE104" s="3"/>
      <c r="BWF104" s="3"/>
      <c r="BWG104" s="3"/>
      <c r="BWH104" s="3"/>
      <c r="BWI104" s="3"/>
      <c r="BWJ104" s="3"/>
      <c r="BWK104" s="3"/>
      <c r="BWL104" s="3"/>
      <c r="BWM104" s="3"/>
      <c r="BWN104" s="3"/>
      <c r="BWO104" s="3"/>
      <c r="BWP104" s="3"/>
      <c r="BWQ104" s="3"/>
      <c r="BWR104" s="3"/>
      <c r="BWS104" s="3"/>
      <c r="BWT104" s="3"/>
      <c r="BWU104" s="3"/>
      <c r="BWV104" s="3"/>
      <c r="BWW104" s="3"/>
      <c r="BWX104" s="3"/>
      <c r="BWY104" s="3"/>
      <c r="BWZ104" s="3"/>
      <c r="BXA104" s="3"/>
      <c r="BXB104" s="3"/>
      <c r="BXC104" s="3"/>
      <c r="BXD104" s="3"/>
      <c r="BXE104" s="3"/>
      <c r="BXF104" s="3"/>
      <c r="BXG104" s="3"/>
      <c r="BXH104" s="3"/>
      <c r="BXI104" s="3"/>
      <c r="BXJ104" s="3"/>
      <c r="BXK104" s="3"/>
      <c r="BXL104" s="3"/>
      <c r="BXM104" s="3"/>
      <c r="BXN104" s="3"/>
      <c r="BXO104" s="3"/>
      <c r="BXP104" s="3"/>
      <c r="BXQ104" s="3"/>
      <c r="BXR104" s="3"/>
      <c r="BXS104" s="3"/>
      <c r="BXT104" s="3"/>
      <c r="BXU104" s="3"/>
      <c r="BXV104" s="3"/>
      <c r="BXW104" s="3"/>
      <c r="BXX104" s="3"/>
      <c r="BXY104" s="3"/>
      <c r="BXZ104" s="3"/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/>
      <c r="BYR104" s="3"/>
      <c r="BYS104" s="3"/>
      <c r="BYT104" s="3"/>
      <c r="BYU104" s="3"/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3"/>
      <c r="BZX104" s="3"/>
      <c r="BZY104" s="3"/>
      <c r="BZZ104" s="3"/>
      <c r="CAA104" s="3"/>
      <c r="CAB104" s="3"/>
      <c r="CAC104" s="3"/>
      <c r="CAD104" s="3"/>
      <c r="CAE104" s="3"/>
      <c r="CAF104" s="3"/>
      <c r="CAG104" s="3"/>
      <c r="CAH104" s="3"/>
      <c r="CAI104" s="3"/>
      <c r="CAJ104" s="3"/>
      <c r="CAK104" s="3"/>
      <c r="CAL104" s="3"/>
      <c r="CAM104" s="3"/>
      <c r="CAN104" s="3"/>
      <c r="CAO104" s="3"/>
      <c r="CAP104" s="3"/>
      <c r="CAQ104" s="3"/>
      <c r="CAR104" s="3"/>
      <c r="CAS104" s="3"/>
      <c r="CAT104" s="3"/>
      <c r="CAU104" s="3"/>
      <c r="CAV104" s="3"/>
      <c r="CAW104" s="3"/>
      <c r="CAX104" s="3"/>
      <c r="CAY104" s="3"/>
      <c r="CAZ104" s="3"/>
      <c r="CBA104" s="3"/>
      <c r="CBB104" s="3"/>
      <c r="CBC104" s="3"/>
      <c r="CBD104" s="3"/>
      <c r="CBE104" s="3"/>
      <c r="CBF104" s="3"/>
      <c r="CBG104" s="3"/>
      <c r="CBH104" s="3"/>
      <c r="CBI104" s="3"/>
      <c r="CBJ104" s="3"/>
      <c r="CBK104" s="3"/>
      <c r="CBL104" s="3"/>
      <c r="CBM104" s="3"/>
      <c r="CBN104" s="3"/>
      <c r="CBO104" s="3"/>
      <c r="CBP104" s="3"/>
      <c r="CBQ104" s="3"/>
      <c r="CBR104" s="3"/>
      <c r="CBS104" s="3"/>
      <c r="CBT104" s="3"/>
      <c r="CBU104" s="3"/>
      <c r="CBV104" s="3"/>
      <c r="CBW104" s="3"/>
      <c r="CBX104" s="3"/>
      <c r="CBY104" s="3"/>
      <c r="CBZ104" s="3"/>
      <c r="CCA104" s="3"/>
      <c r="CCB104" s="3"/>
      <c r="CCC104" s="3"/>
      <c r="CCD104" s="3"/>
      <c r="CCE104" s="3"/>
      <c r="CCF104" s="3"/>
      <c r="CCG104" s="3"/>
      <c r="CCH104" s="3"/>
      <c r="CCI104" s="3"/>
      <c r="CCJ104" s="3"/>
      <c r="CCK104" s="3"/>
      <c r="CCL104" s="3"/>
      <c r="CCM104" s="3"/>
      <c r="CCN104" s="3"/>
      <c r="CCO104" s="3"/>
      <c r="CCP104" s="3"/>
      <c r="CCQ104" s="3"/>
      <c r="CCR104" s="3"/>
      <c r="CCS104" s="3"/>
      <c r="CCT104" s="3"/>
      <c r="CCU104" s="3"/>
      <c r="CCV104" s="3"/>
      <c r="CCW104" s="3"/>
      <c r="CCX104" s="3"/>
      <c r="CCY104" s="3"/>
      <c r="CCZ104" s="3"/>
      <c r="CDA104" s="3"/>
      <c r="CDB104" s="3"/>
      <c r="CDC104" s="3"/>
      <c r="CDD104" s="3"/>
      <c r="CDE104" s="3"/>
      <c r="CDF104" s="3"/>
      <c r="CDG104" s="3"/>
      <c r="CDH104" s="3"/>
      <c r="CDI104" s="3"/>
      <c r="CDJ104" s="3"/>
      <c r="CDK104" s="3"/>
      <c r="CDL104" s="3"/>
      <c r="CDM104" s="3"/>
      <c r="CDN104" s="3"/>
      <c r="CDO104" s="3"/>
      <c r="CDP104" s="3"/>
      <c r="CDQ104" s="3"/>
      <c r="CDR104" s="3"/>
      <c r="CDS104" s="3"/>
      <c r="CDT104" s="3"/>
      <c r="CDU104" s="3"/>
      <c r="CDV104" s="3"/>
      <c r="CDW104" s="3"/>
      <c r="CDX104" s="3"/>
      <c r="CDY104" s="3"/>
      <c r="CDZ104" s="3"/>
      <c r="CEA104" s="3"/>
      <c r="CEB104" s="3"/>
      <c r="CEC104" s="3"/>
      <c r="CED104" s="3"/>
      <c r="CEE104" s="3"/>
      <c r="CEF104" s="3"/>
      <c r="CEG104" s="3"/>
      <c r="CEH104" s="3"/>
      <c r="CEI104" s="3"/>
      <c r="CEJ104" s="3"/>
      <c r="CEK104" s="3"/>
      <c r="CEL104" s="3"/>
      <c r="CEM104" s="3"/>
      <c r="CEN104" s="3"/>
      <c r="CEO104" s="3"/>
      <c r="CEP104" s="3"/>
      <c r="CEQ104" s="3"/>
      <c r="CER104" s="3"/>
      <c r="CES104" s="3"/>
      <c r="CET104" s="3"/>
      <c r="CEU104" s="3"/>
      <c r="CEV104" s="3"/>
      <c r="CEW104" s="3"/>
      <c r="CEX104" s="3"/>
      <c r="CEY104" s="3"/>
      <c r="CEZ104" s="3"/>
      <c r="CFA104" s="3"/>
      <c r="CFB104" s="3"/>
      <c r="CFC104" s="3"/>
      <c r="CFD104" s="3"/>
      <c r="CFE104" s="3"/>
      <c r="CFF104" s="3"/>
      <c r="CFG104" s="3"/>
      <c r="CFH104" s="3"/>
      <c r="CFI104" s="3"/>
      <c r="CFJ104" s="3"/>
      <c r="CFK104" s="3"/>
      <c r="CFL104" s="3"/>
      <c r="CFM104" s="3"/>
      <c r="CFN104" s="3"/>
      <c r="CFO104" s="3"/>
      <c r="CFP104" s="3"/>
      <c r="CFQ104" s="3"/>
      <c r="CFR104" s="3"/>
      <c r="CFS104" s="3"/>
      <c r="CFT104" s="3"/>
      <c r="CFU104" s="3"/>
      <c r="CFV104" s="3"/>
      <c r="CFW104" s="3"/>
      <c r="CFX104" s="3"/>
      <c r="CFY104" s="3"/>
      <c r="CFZ104" s="3"/>
      <c r="CGA104" s="3"/>
      <c r="CGB104" s="3"/>
      <c r="CGC104" s="3"/>
      <c r="CGD104" s="3"/>
      <c r="CGE104" s="3"/>
      <c r="CGF104" s="3"/>
      <c r="CGG104" s="3"/>
      <c r="CGH104" s="3"/>
      <c r="CGI104" s="3"/>
      <c r="CGJ104" s="3"/>
      <c r="CGK104" s="3"/>
      <c r="CGL104" s="3"/>
      <c r="CGM104" s="3"/>
      <c r="CGN104" s="3"/>
      <c r="CGO104" s="3"/>
      <c r="CGP104" s="3"/>
      <c r="CGQ104" s="3"/>
      <c r="CGR104" s="3"/>
      <c r="CGS104" s="3"/>
      <c r="CGT104" s="3"/>
      <c r="CGU104" s="3"/>
      <c r="CGV104" s="3"/>
      <c r="CGW104" s="3"/>
      <c r="CGX104" s="3"/>
      <c r="CGY104" s="3"/>
      <c r="CGZ104" s="3"/>
      <c r="CHA104" s="3"/>
      <c r="CHB104" s="3"/>
      <c r="CHC104" s="3"/>
      <c r="CHD104" s="3"/>
      <c r="CHE104" s="3"/>
      <c r="CHF104" s="3"/>
      <c r="CHG104" s="3"/>
      <c r="CHH104" s="3"/>
      <c r="CHI104" s="3"/>
      <c r="CHJ104" s="3"/>
      <c r="CHK104" s="3"/>
      <c r="CHL104" s="3"/>
      <c r="CHM104" s="3"/>
      <c r="CHN104" s="3"/>
      <c r="CHO104" s="3"/>
      <c r="CHP104" s="3"/>
      <c r="CHQ104" s="3"/>
      <c r="CHR104" s="3"/>
      <c r="CHS104" s="3"/>
      <c r="CHT104" s="3"/>
      <c r="CHU104" s="3"/>
      <c r="CHV104" s="3"/>
      <c r="CHW104" s="3"/>
      <c r="CHX104" s="3"/>
      <c r="CHY104" s="3"/>
      <c r="CHZ104" s="3"/>
      <c r="CIA104" s="3"/>
      <c r="CIB104" s="3"/>
      <c r="CIC104" s="3"/>
      <c r="CID104" s="3"/>
      <c r="CIE104" s="3"/>
      <c r="CIF104" s="3"/>
      <c r="CIG104" s="3"/>
      <c r="CIH104" s="3"/>
      <c r="CII104" s="3"/>
      <c r="CIJ104" s="3"/>
      <c r="CIK104" s="3"/>
      <c r="CIL104" s="3"/>
      <c r="CIM104" s="3"/>
      <c r="CIN104" s="3"/>
      <c r="CIO104" s="3"/>
      <c r="CIP104" s="3"/>
      <c r="CIQ104" s="3"/>
      <c r="CIR104" s="3"/>
      <c r="CIS104" s="3"/>
      <c r="CIT104" s="3"/>
      <c r="CIU104" s="3"/>
      <c r="CIV104" s="3"/>
      <c r="CIW104" s="3"/>
      <c r="CIX104" s="3"/>
      <c r="CIY104" s="3"/>
      <c r="CIZ104" s="3"/>
      <c r="CJA104" s="3"/>
      <c r="CJB104" s="3"/>
      <c r="CJC104" s="3"/>
      <c r="CJD104" s="3"/>
      <c r="CJE104" s="3"/>
      <c r="CJF104" s="3"/>
      <c r="CJG104" s="3"/>
      <c r="CJH104" s="3"/>
      <c r="CJI104" s="3"/>
      <c r="CJJ104" s="3"/>
      <c r="CJK104" s="3"/>
      <c r="CJL104" s="3"/>
      <c r="CJM104" s="3"/>
      <c r="CJN104" s="3"/>
      <c r="CJO104" s="3"/>
      <c r="CJP104" s="3"/>
      <c r="CJQ104" s="3"/>
      <c r="CJR104" s="3"/>
      <c r="CJS104" s="3"/>
      <c r="CJT104" s="3"/>
      <c r="CJU104" s="3"/>
      <c r="CJV104" s="3"/>
      <c r="CJW104" s="3"/>
      <c r="CJX104" s="3"/>
      <c r="CJY104" s="3"/>
      <c r="CJZ104" s="3"/>
      <c r="CKA104" s="3"/>
      <c r="CKB104" s="3"/>
      <c r="CKC104" s="3"/>
      <c r="CKD104" s="3"/>
      <c r="CKE104" s="3"/>
      <c r="CKF104" s="3"/>
      <c r="CKG104" s="3"/>
      <c r="CKH104" s="3"/>
      <c r="CKI104" s="3"/>
      <c r="CKJ104" s="3"/>
      <c r="CKK104" s="3"/>
      <c r="CKL104" s="3"/>
      <c r="CKM104" s="3"/>
      <c r="CKN104" s="3"/>
      <c r="CKO104" s="3"/>
      <c r="CKP104" s="3"/>
      <c r="CKQ104" s="3"/>
      <c r="CKR104" s="3"/>
      <c r="CKS104" s="3"/>
      <c r="CKT104" s="3"/>
      <c r="CKU104" s="3"/>
      <c r="CKV104" s="3"/>
      <c r="CKW104" s="3"/>
      <c r="CKX104" s="3"/>
      <c r="CKY104" s="3"/>
      <c r="CKZ104" s="3"/>
      <c r="CLA104" s="3"/>
      <c r="CLB104" s="3"/>
      <c r="CLC104" s="3"/>
      <c r="CLD104" s="3"/>
      <c r="CLE104" s="3"/>
      <c r="CLF104" s="3"/>
      <c r="CLG104" s="3"/>
      <c r="CLH104" s="3"/>
      <c r="CLI104" s="3"/>
      <c r="CLJ104" s="3"/>
      <c r="CLK104" s="3"/>
      <c r="CLL104" s="3"/>
      <c r="CLM104" s="3"/>
      <c r="CLN104" s="3"/>
      <c r="CLO104" s="3"/>
      <c r="CLP104" s="3"/>
      <c r="CLQ104" s="3"/>
      <c r="CLR104" s="3"/>
      <c r="CLS104" s="3"/>
      <c r="CLT104" s="3"/>
      <c r="CLU104" s="3"/>
      <c r="CLV104" s="3"/>
      <c r="CLW104" s="3"/>
      <c r="CLX104" s="3"/>
      <c r="CLY104" s="3"/>
      <c r="CLZ104" s="3"/>
      <c r="CMA104" s="3"/>
      <c r="CMB104" s="3"/>
      <c r="CMC104" s="3"/>
      <c r="CMD104" s="3"/>
      <c r="CME104" s="3"/>
      <c r="CMF104" s="3"/>
      <c r="CMG104" s="3"/>
      <c r="CMH104" s="3"/>
      <c r="CMI104" s="3"/>
      <c r="CMJ104" s="3"/>
      <c r="CMK104" s="3"/>
      <c r="CML104" s="3"/>
      <c r="CMM104" s="3"/>
      <c r="CMN104" s="3"/>
      <c r="CMO104" s="3"/>
      <c r="CMP104" s="3"/>
      <c r="CMQ104" s="3"/>
      <c r="CMR104" s="3"/>
      <c r="CMS104" s="3"/>
      <c r="CMT104" s="3"/>
      <c r="CMU104" s="3"/>
      <c r="CMV104" s="3"/>
      <c r="CMW104" s="3"/>
      <c r="CMX104" s="3"/>
      <c r="CMY104" s="3"/>
      <c r="CMZ104" s="3"/>
      <c r="CNA104" s="3"/>
      <c r="CNB104" s="3"/>
      <c r="CNC104" s="3"/>
      <c r="CND104" s="3"/>
      <c r="CNE104" s="3"/>
      <c r="CNF104" s="3"/>
      <c r="CNG104" s="3"/>
      <c r="CNH104" s="3"/>
      <c r="CNI104" s="3"/>
      <c r="CNJ104" s="3"/>
      <c r="CNK104" s="3"/>
      <c r="CNL104" s="3"/>
      <c r="CNM104" s="3"/>
      <c r="CNN104" s="3"/>
      <c r="CNO104" s="3"/>
      <c r="CNP104" s="3"/>
      <c r="CNQ104" s="3"/>
      <c r="CNR104" s="3"/>
      <c r="CNS104" s="3"/>
      <c r="CNT104" s="3"/>
      <c r="CNU104" s="3"/>
      <c r="CNV104" s="3"/>
      <c r="CNW104" s="3"/>
      <c r="CNX104" s="3"/>
      <c r="CNY104" s="3"/>
      <c r="CNZ104" s="3"/>
      <c r="COA104" s="3"/>
      <c r="COB104" s="3"/>
      <c r="COC104" s="3"/>
      <c r="COD104" s="3"/>
      <c r="COE104" s="3"/>
      <c r="COF104" s="3"/>
      <c r="COG104" s="3"/>
      <c r="COH104" s="3"/>
      <c r="COI104" s="3"/>
      <c r="COJ104" s="3"/>
      <c r="COK104" s="3"/>
      <c r="COL104" s="3"/>
      <c r="COM104" s="3"/>
      <c r="CON104" s="3"/>
      <c r="COO104" s="3"/>
      <c r="COP104" s="3"/>
      <c r="COQ104" s="3"/>
      <c r="COR104" s="3"/>
      <c r="COS104" s="3"/>
      <c r="COT104" s="3"/>
      <c r="COU104" s="3"/>
      <c r="COV104" s="3"/>
      <c r="COW104" s="3"/>
      <c r="COX104" s="3"/>
      <c r="COY104" s="3"/>
      <c r="COZ104" s="3"/>
      <c r="CPA104" s="3"/>
      <c r="CPB104" s="3"/>
      <c r="CPC104" s="3"/>
      <c r="CPD104" s="3"/>
      <c r="CPE104" s="3"/>
      <c r="CPF104" s="3"/>
      <c r="CPG104" s="3"/>
      <c r="CPH104" s="3"/>
      <c r="CPI104" s="3"/>
      <c r="CPJ104" s="3"/>
      <c r="CPK104" s="3"/>
      <c r="CPL104" s="3"/>
      <c r="CPM104" s="3"/>
      <c r="CPN104" s="3"/>
      <c r="CPO104" s="3"/>
      <c r="CPP104" s="3"/>
      <c r="CPQ104" s="3"/>
      <c r="CPR104" s="3"/>
      <c r="CPS104" s="3"/>
      <c r="CPT104" s="3"/>
      <c r="CPU104" s="3"/>
      <c r="CPV104" s="3"/>
      <c r="CPW104" s="3"/>
      <c r="CPX104" s="3"/>
      <c r="CPY104" s="3"/>
      <c r="CPZ104" s="3"/>
      <c r="CQA104" s="3"/>
      <c r="CQB104" s="3"/>
      <c r="CQC104" s="3"/>
      <c r="CQD104" s="3"/>
      <c r="CQE104" s="3"/>
      <c r="CQF104" s="3"/>
      <c r="CQG104" s="3"/>
      <c r="CQH104" s="3"/>
      <c r="CQI104" s="3"/>
      <c r="CQJ104" s="3"/>
      <c r="CQK104" s="3"/>
      <c r="CQL104" s="3"/>
      <c r="CQM104" s="3"/>
      <c r="CQN104" s="3"/>
      <c r="CQO104" s="3"/>
      <c r="CQP104" s="3"/>
      <c r="CQQ104" s="3"/>
      <c r="CQR104" s="3"/>
      <c r="CQS104" s="3"/>
      <c r="CQT104" s="3"/>
      <c r="CQU104" s="3"/>
      <c r="CQV104" s="3"/>
      <c r="CQW104" s="3"/>
      <c r="CQX104" s="3"/>
      <c r="CQY104" s="3"/>
      <c r="CQZ104" s="3"/>
      <c r="CRA104" s="3"/>
      <c r="CRB104" s="3"/>
      <c r="CRC104" s="3"/>
      <c r="CRD104" s="3"/>
      <c r="CRE104" s="3"/>
      <c r="CRF104" s="3"/>
      <c r="CRG104" s="3"/>
      <c r="CRH104" s="3"/>
      <c r="CRI104" s="3"/>
      <c r="CRJ104" s="3"/>
      <c r="CRK104" s="3"/>
      <c r="CRL104" s="3"/>
      <c r="CRM104" s="3"/>
      <c r="CRN104" s="3"/>
      <c r="CRO104" s="3"/>
      <c r="CRP104" s="3"/>
      <c r="CRQ104" s="3"/>
      <c r="CRR104" s="3"/>
      <c r="CRS104" s="3"/>
      <c r="CRT104" s="3"/>
      <c r="CRU104" s="3"/>
      <c r="CRV104" s="3"/>
      <c r="CRW104" s="3"/>
      <c r="CRX104" s="3"/>
      <c r="CRY104" s="3"/>
      <c r="CRZ104" s="3"/>
      <c r="CSA104" s="3"/>
      <c r="CSB104" s="3"/>
      <c r="CSC104" s="3"/>
      <c r="CSD104" s="3"/>
      <c r="CSE104" s="3"/>
      <c r="CSF104" s="3"/>
      <c r="CSG104" s="3"/>
      <c r="CSH104" s="3"/>
      <c r="CSI104" s="3"/>
      <c r="CSJ104" s="3"/>
      <c r="CSK104" s="3"/>
      <c r="CSL104" s="3"/>
      <c r="CSM104" s="3"/>
      <c r="CSN104" s="3"/>
      <c r="CSO104" s="3"/>
      <c r="CSP104" s="3"/>
      <c r="CSQ104" s="3"/>
      <c r="CSR104" s="3"/>
      <c r="CSS104" s="3"/>
      <c r="CST104" s="3"/>
      <c r="CSU104" s="3"/>
      <c r="CSV104" s="3"/>
      <c r="CSW104" s="3"/>
      <c r="CSX104" s="3"/>
      <c r="CSY104" s="3"/>
      <c r="CSZ104" s="3"/>
      <c r="CTA104" s="3"/>
      <c r="CTB104" s="3"/>
      <c r="CTC104" s="3"/>
      <c r="CTD104" s="3"/>
      <c r="CTE104" s="3"/>
      <c r="CTF104" s="3"/>
      <c r="CTG104" s="3"/>
      <c r="CTH104" s="3"/>
      <c r="CTI104" s="3"/>
      <c r="CTJ104" s="3"/>
      <c r="CTK104" s="3"/>
      <c r="CTL104" s="3"/>
      <c r="CTM104" s="3"/>
      <c r="CTN104" s="3"/>
      <c r="CTO104" s="3"/>
      <c r="CTP104" s="3"/>
      <c r="CTQ104" s="3"/>
      <c r="CTR104" s="3"/>
      <c r="CTS104" s="3"/>
      <c r="CTT104" s="3"/>
      <c r="CTU104" s="3"/>
      <c r="CTV104" s="3"/>
      <c r="CTW104" s="3"/>
      <c r="CTX104" s="3"/>
      <c r="CTY104" s="3"/>
      <c r="CTZ104" s="3"/>
      <c r="CUA104" s="3"/>
      <c r="CUB104" s="3"/>
      <c r="CUC104" s="3"/>
      <c r="CUD104" s="3"/>
      <c r="CUE104" s="3"/>
      <c r="CUF104" s="3"/>
      <c r="CUG104" s="3"/>
      <c r="CUH104" s="3"/>
      <c r="CUI104" s="3"/>
      <c r="CUJ104" s="3"/>
      <c r="CUK104" s="3"/>
      <c r="CUL104" s="3"/>
      <c r="CUM104" s="3"/>
      <c r="CUN104" s="3"/>
      <c r="CUO104" s="3"/>
      <c r="CUP104" s="3"/>
      <c r="CUQ104" s="3"/>
      <c r="CUR104" s="3"/>
      <c r="CUS104" s="3"/>
      <c r="CUT104" s="3"/>
      <c r="CUU104" s="3"/>
      <c r="CUV104" s="3"/>
      <c r="CUW104" s="3"/>
      <c r="CUX104" s="3"/>
      <c r="CUY104" s="3"/>
      <c r="CUZ104" s="3"/>
      <c r="CVA104" s="3"/>
      <c r="CVB104" s="3"/>
      <c r="CVC104" s="3"/>
      <c r="CVD104" s="3"/>
      <c r="CVE104" s="3"/>
      <c r="CVF104" s="3"/>
      <c r="CVG104" s="3"/>
      <c r="CVH104" s="3"/>
      <c r="CVI104" s="3"/>
      <c r="CVJ104" s="3"/>
      <c r="CVK104" s="3"/>
      <c r="CVL104" s="3"/>
      <c r="CVM104" s="3"/>
      <c r="CVN104" s="3"/>
      <c r="CVO104" s="3"/>
      <c r="CVP104" s="3"/>
      <c r="CVQ104" s="3"/>
      <c r="CVR104" s="3"/>
      <c r="CVS104" s="3"/>
      <c r="CVT104" s="3"/>
      <c r="CVU104" s="3"/>
      <c r="CVV104" s="3"/>
      <c r="CVW104" s="3"/>
      <c r="CVX104" s="3"/>
      <c r="CVY104" s="3"/>
      <c r="CVZ104" s="3"/>
      <c r="CWA104" s="3"/>
      <c r="CWB104" s="3"/>
      <c r="CWC104" s="3"/>
      <c r="CWD104" s="3"/>
      <c r="CWE104" s="3"/>
      <c r="CWF104" s="3"/>
      <c r="CWG104" s="3"/>
      <c r="CWH104" s="3"/>
      <c r="CWI104" s="3"/>
      <c r="CWJ104" s="3"/>
      <c r="CWK104" s="3"/>
      <c r="CWL104" s="3"/>
      <c r="CWM104" s="3"/>
      <c r="CWN104" s="3"/>
      <c r="CWO104" s="3"/>
      <c r="CWP104" s="3"/>
      <c r="CWQ104" s="3"/>
      <c r="CWR104" s="3"/>
      <c r="CWS104" s="3"/>
      <c r="CWT104" s="3"/>
      <c r="CWU104" s="3"/>
      <c r="CWV104" s="3"/>
      <c r="CWW104" s="3"/>
      <c r="CWX104" s="3"/>
      <c r="CWY104" s="3"/>
      <c r="CWZ104" s="3"/>
      <c r="CXA104" s="3"/>
      <c r="CXB104" s="3"/>
      <c r="CXC104" s="3"/>
      <c r="CXD104" s="3"/>
      <c r="CXE104" s="3"/>
      <c r="CXF104" s="3"/>
      <c r="CXG104" s="3"/>
      <c r="CXH104" s="3"/>
      <c r="CXI104" s="3"/>
      <c r="CXJ104" s="3"/>
      <c r="CXK104" s="3"/>
      <c r="CXL104" s="3"/>
      <c r="CXM104" s="3"/>
      <c r="CXN104" s="3"/>
      <c r="CXO104" s="3"/>
      <c r="CXP104" s="3"/>
      <c r="CXQ104" s="3"/>
      <c r="CXR104" s="3"/>
      <c r="CXS104" s="3"/>
      <c r="CXT104" s="3"/>
      <c r="CXU104" s="3"/>
      <c r="CXV104" s="3"/>
      <c r="CXW104" s="3"/>
      <c r="CXX104" s="3"/>
      <c r="CXY104" s="3"/>
      <c r="CXZ104" s="3"/>
      <c r="CYA104" s="3"/>
      <c r="CYB104" s="3"/>
      <c r="CYC104" s="3"/>
      <c r="CYD104" s="3"/>
      <c r="CYE104" s="3"/>
      <c r="CYF104" s="3"/>
      <c r="CYG104" s="3"/>
      <c r="CYH104" s="3"/>
      <c r="CYI104" s="3"/>
      <c r="CYJ104" s="3"/>
      <c r="CYK104" s="3"/>
      <c r="CYL104" s="3"/>
      <c r="CYM104" s="3"/>
      <c r="CYN104" s="3"/>
      <c r="CYO104" s="3"/>
      <c r="CYP104" s="3"/>
      <c r="CYQ104" s="3"/>
      <c r="CYR104" s="3"/>
      <c r="CYS104" s="3"/>
      <c r="CYT104" s="3"/>
      <c r="CYU104" s="3"/>
      <c r="CYV104" s="3"/>
      <c r="CYW104" s="3"/>
      <c r="CYX104" s="3"/>
      <c r="CYY104" s="3"/>
      <c r="CYZ104" s="3"/>
      <c r="CZA104" s="3"/>
      <c r="CZB104" s="3"/>
      <c r="CZC104" s="3"/>
      <c r="CZD104" s="3"/>
      <c r="CZE104" s="3"/>
      <c r="CZF104" s="3"/>
      <c r="CZG104" s="3"/>
      <c r="CZH104" s="3"/>
      <c r="CZI104" s="3"/>
      <c r="CZJ104" s="3"/>
      <c r="CZK104" s="3"/>
      <c r="CZL104" s="3"/>
      <c r="CZM104" s="3"/>
      <c r="CZN104" s="3"/>
      <c r="CZO104" s="3"/>
      <c r="CZP104" s="3"/>
      <c r="CZQ104" s="3"/>
      <c r="CZR104" s="3"/>
      <c r="CZS104" s="3"/>
      <c r="CZT104" s="3"/>
      <c r="CZU104" s="3"/>
      <c r="CZV104" s="3"/>
      <c r="CZW104" s="3"/>
      <c r="CZX104" s="3"/>
      <c r="CZY104" s="3"/>
      <c r="CZZ104" s="3"/>
      <c r="DAA104" s="3"/>
      <c r="DAB104" s="3"/>
      <c r="DAC104" s="3"/>
      <c r="DAD104" s="3"/>
      <c r="DAE104" s="3"/>
      <c r="DAF104" s="3"/>
      <c r="DAG104" s="3"/>
      <c r="DAH104" s="3"/>
      <c r="DAI104" s="3"/>
      <c r="DAJ104" s="3"/>
      <c r="DAK104" s="3"/>
      <c r="DAL104" s="3"/>
      <c r="DAM104" s="3"/>
      <c r="DAN104" s="3"/>
      <c r="DAO104" s="3"/>
      <c r="DAP104" s="3"/>
      <c r="DAQ104" s="3"/>
      <c r="DAR104" s="3"/>
      <c r="DAS104" s="3"/>
      <c r="DAT104" s="3"/>
      <c r="DAU104" s="3"/>
      <c r="DAV104" s="3"/>
      <c r="DAW104" s="3"/>
      <c r="DAX104" s="3"/>
      <c r="DAY104" s="3"/>
      <c r="DAZ104" s="3"/>
      <c r="DBA104" s="3"/>
      <c r="DBB104" s="3"/>
      <c r="DBC104" s="3"/>
      <c r="DBD104" s="3"/>
      <c r="DBE104" s="3"/>
      <c r="DBF104" s="3"/>
      <c r="DBG104" s="3"/>
      <c r="DBH104" s="3"/>
      <c r="DBI104" s="3"/>
      <c r="DBJ104" s="3"/>
      <c r="DBK104" s="3"/>
      <c r="DBL104" s="3"/>
      <c r="DBM104" s="3"/>
      <c r="DBN104" s="3"/>
      <c r="DBO104" s="3"/>
      <c r="DBP104" s="3"/>
      <c r="DBQ104" s="3"/>
      <c r="DBR104" s="3"/>
      <c r="DBS104" s="3"/>
      <c r="DBT104" s="3"/>
      <c r="DBU104" s="3"/>
      <c r="DBV104" s="3"/>
      <c r="DBW104" s="3"/>
      <c r="DBX104" s="3"/>
      <c r="DBY104" s="3"/>
      <c r="DBZ104" s="3"/>
      <c r="DCA104" s="3"/>
      <c r="DCB104" s="3"/>
      <c r="DCC104" s="3"/>
      <c r="DCD104" s="3"/>
      <c r="DCE104" s="3"/>
      <c r="DCF104" s="3"/>
      <c r="DCG104" s="3"/>
      <c r="DCH104" s="3"/>
      <c r="DCI104" s="3"/>
      <c r="DCJ104" s="3"/>
      <c r="DCK104" s="3"/>
      <c r="DCL104" s="3"/>
      <c r="DCM104" s="3"/>
      <c r="DCN104" s="3"/>
      <c r="DCO104" s="3"/>
      <c r="DCP104" s="3"/>
      <c r="DCQ104" s="3"/>
      <c r="DCR104" s="3"/>
      <c r="DCS104" s="3"/>
      <c r="DCT104" s="3"/>
      <c r="DCU104" s="3"/>
      <c r="DCV104" s="3"/>
      <c r="DCW104" s="3"/>
      <c r="DCX104" s="3"/>
      <c r="DCY104" s="3"/>
      <c r="DCZ104" s="3"/>
      <c r="DDA104" s="3"/>
      <c r="DDB104" s="3"/>
      <c r="DDC104" s="3"/>
      <c r="DDD104" s="3"/>
      <c r="DDE104" s="3"/>
      <c r="DDF104" s="3"/>
      <c r="DDG104" s="3"/>
      <c r="DDH104" s="3"/>
      <c r="DDI104" s="3"/>
      <c r="DDJ104" s="3"/>
      <c r="DDK104" s="3"/>
      <c r="DDL104" s="3"/>
      <c r="DDM104" s="3"/>
      <c r="DDN104" s="3"/>
      <c r="DDO104" s="3"/>
      <c r="DDP104" s="3"/>
      <c r="DDQ104" s="3"/>
      <c r="DDR104" s="3"/>
      <c r="DDS104" s="3"/>
      <c r="DDT104" s="3"/>
      <c r="DDU104" s="3"/>
      <c r="DDV104" s="3"/>
      <c r="DDW104" s="3"/>
      <c r="DDX104" s="3"/>
      <c r="DDY104" s="3"/>
      <c r="DDZ104" s="3"/>
      <c r="DEA104" s="3"/>
      <c r="DEB104" s="3"/>
      <c r="DEC104" s="3"/>
      <c r="DED104" s="3"/>
      <c r="DEE104" s="3"/>
      <c r="DEF104" s="3"/>
      <c r="DEG104" s="3"/>
      <c r="DEH104" s="3"/>
      <c r="DEI104" s="3"/>
      <c r="DEJ104" s="3"/>
      <c r="DEK104" s="3"/>
      <c r="DEL104" s="3"/>
      <c r="DEM104" s="3"/>
      <c r="DEN104" s="3"/>
      <c r="DEO104" s="3"/>
      <c r="DEP104" s="3"/>
      <c r="DEQ104" s="3"/>
      <c r="DER104" s="3"/>
      <c r="DES104" s="3"/>
      <c r="DET104" s="3"/>
      <c r="DEU104" s="3"/>
      <c r="DEV104" s="3"/>
      <c r="DEW104" s="3"/>
      <c r="DEX104" s="3"/>
      <c r="DEY104" s="3"/>
      <c r="DEZ104" s="3"/>
      <c r="DFA104" s="3"/>
      <c r="DFB104" s="3"/>
      <c r="DFC104" s="3"/>
      <c r="DFD104" s="3"/>
      <c r="DFE104" s="3"/>
      <c r="DFF104" s="3"/>
      <c r="DFG104" s="3"/>
      <c r="DFH104" s="3"/>
      <c r="DFI104" s="3"/>
      <c r="DFJ104" s="3"/>
      <c r="DFK104" s="3"/>
      <c r="DFL104" s="3"/>
      <c r="DFM104" s="3"/>
      <c r="DFN104" s="3"/>
      <c r="DFO104" s="3"/>
      <c r="DFP104" s="3"/>
      <c r="DFQ104" s="3"/>
      <c r="DFR104" s="3"/>
      <c r="DFS104" s="3"/>
      <c r="DFT104" s="3"/>
      <c r="DFU104" s="3"/>
      <c r="DFV104" s="3"/>
      <c r="DFW104" s="3"/>
      <c r="DFX104" s="3"/>
      <c r="DFY104" s="3"/>
      <c r="DFZ104" s="3"/>
      <c r="DGA104" s="3"/>
      <c r="DGB104" s="3"/>
      <c r="DGC104" s="3"/>
      <c r="DGD104" s="3"/>
      <c r="DGE104" s="3"/>
      <c r="DGF104" s="3"/>
      <c r="DGG104" s="3"/>
      <c r="DGH104" s="3"/>
      <c r="DGI104" s="3"/>
      <c r="DGJ104" s="3"/>
      <c r="DGK104" s="3"/>
      <c r="DGL104" s="3"/>
      <c r="DGM104" s="3"/>
      <c r="DGN104" s="3"/>
      <c r="DGO104" s="3"/>
      <c r="DGP104" s="3"/>
      <c r="DGQ104" s="3"/>
      <c r="DGR104" s="3"/>
      <c r="DGS104" s="3"/>
      <c r="DGT104" s="3"/>
      <c r="DGU104" s="3"/>
      <c r="DGV104" s="3"/>
      <c r="DGW104" s="3"/>
      <c r="DGX104" s="3"/>
      <c r="DGY104" s="3"/>
      <c r="DGZ104" s="3"/>
      <c r="DHA104" s="3"/>
      <c r="DHB104" s="3"/>
      <c r="DHC104" s="3"/>
      <c r="DHD104" s="3"/>
      <c r="DHE104" s="3"/>
      <c r="DHF104" s="3"/>
      <c r="DHG104" s="3"/>
      <c r="DHH104" s="3"/>
      <c r="DHI104" s="3"/>
      <c r="DHJ104" s="3"/>
      <c r="DHK104" s="3"/>
      <c r="DHL104" s="3"/>
      <c r="DHM104" s="3"/>
      <c r="DHN104" s="3"/>
      <c r="DHO104" s="3"/>
      <c r="DHP104" s="3"/>
      <c r="DHQ104" s="3"/>
      <c r="DHR104" s="3"/>
      <c r="DHS104" s="3"/>
      <c r="DHT104" s="3"/>
      <c r="DHU104" s="3"/>
      <c r="DHV104" s="3"/>
      <c r="DHW104" s="3"/>
      <c r="DHX104" s="3"/>
      <c r="DHY104" s="3"/>
      <c r="DHZ104" s="3"/>
      <c r="DIA104" s="3"/>
      <c r="DIB104" s="3"/>
      <c r="DIC104" s="3"/>
      <c r="DID104" s="3"/>
      <c r="DIE104" s="3"/>
      <c r="DIF104" s="3"/>
      <c r="DIG104" s="3"/>
      <c r="DIH104" s="3"/>
      <c r="DII104" s="3"/>
      <c r="DIJ104" s="3"/>
      <c r="DIK104" s="3"/>
      <c r="DIL104" s="3"/>
      <c r="DIM104" s="3"/>
      <c r="DIN104" s="3"/>
      <c r="DIO104" s="3"/>
      <c r="DIP104" s="3"/>
      <c r="DIQ104" s="3"/>
      <c r="DIR104" s="3"/>
      <c r="DIS104" s="3"/>
      <c r="DIT104" s="3"/>
      <c r="DIU104" s="3"/>
      <c r="DIV104" s="3"/>
      <c r="DIW104" s="3"/>
      <c r="DIX104" s="3"/>
      <c r="DIY104" s="3"/>
      <c r="DIZ104" s="3"/>
      <c r="DJA104" s="3"/>
      <c r="DJB104" s="3"/>
      <c r="DJC104" s="3"/>
      <c r="DJD104" s="3"/>
      <c r="DJE104" s="3"/>
      <c r="DJF104" s="3"/>
      <c r="DJG104" s="3"/>
      <c r="DJH104" s="3"/>
      <c r="DJI104" s="3"/>
      <c r="DJJ104" s="3"/>
      <c r="DJK104" s="3"/>
      <c r="DJL104" s="3"/>
      <c r="DJM104" s="3"/>
      <c r="DJN104" s="3"/>
      <c r="DJO104" s="3"/>
      <c r="DJP104" s="3"/>
      <c r="DJQ104" s="3"/>
      <c r="DJR104" s="3"/>
      <c r="DJS104" s="3"/>
      <c r="DJT104" s="3"/>
      <c r="DJU104" s="3"/>
      <c r="DJV104" s="3"/>
      <c r="DJW104" s="3"/>
      <c r="DJX104" s="3"/>
      <c r="DJY104" s="3"/>
      <c r="DJZ104" s="3"/>
      <c r="DKA104" s="3"/>
      <c r="DKB104" s="3"/>
      <c r="DKC104" s="3"/>
      <c r="DKD104" s="3"/>
      <c r="DKE104" s="3"/>
      <c r="DKF104" s="3"/>
      <c r="DKG104" s="3"/>
      <c r="DKH104" s="3"/>
      <c r="DKI104" s="3"/>
      <c r="DKJ104" s="3"/>
      <c r="DKK104" s="3"/>
      <c r="DKL104" s="3"/>
      <c r="DKM104" s="3"/>
      <c r="DKN104" s="3"/>
      <c r="DKO104" s="3"/>
      <c r="DKP104" s="3"/>
      <c r="DKQ104" s="3"/>
      <c r="DKR104" s="3"/>
      <c r="DKS104" s="3"/>
      <c r="DKT104" s="3"/>
      <c r="DKU104" s="3"/>
      <c r="DKV104" s="3"/>
      <c r="DKW104" s="3"/>
      <c r="DKX104" s="3"/>
      <c r="DKY104" s="3"/>
      <c r="DKZ104" s="3"/>
      <c r="DLA104" s="3"/>
      <c r="DLB104" s="3"/>
      <c r="DLC104" s="3"/>
      <c r="DLD104" s="3"/>
      <c r="DLE104" s="3"/>
      <c r="DLF104" s="3"/>
      <c r="DLG104" s="3"/>
      <c r="DLH104" s="3"/>
      <c r="DLI104" s="3"/>
      <c r="DLJ104" s="3"/>
      <c r="DLK104" s="3"/>
      <c r="DLL104" s="3"/>
      <c r="DLM104" s="3"/>
      <c r="DLN104" s="3"/>
      <c r="DLO104" s="3"/>
      <c r="DLP104" s="3"/>
      <c r="DLQ104" s="3"/>
      <c r="DLR104" s="3"/>
      <c r="DLS104" s="3"/>
      <c r="DLT104" s="3"/>
      <c r="DLU104" s="3"/>
      <c r="DLV104" s="3"/>
      <c r="DLW104" s="3"/>
      <c r="DLX104" s="3"/>
      <c r="DLY104" s="3"/>
      <c r="DLZ104" s="3"/>
      <c r="DMA104" s="3"/>
      <c r="DMB104" s="3"/>
      <c r="DMC104" s="3"/>
      <c r="DMD104" s="3"/>
      <c r="DME104" s="3"/>
      <c r="DMF104" s="3"/>
      <c r="DMG104" s="3"/>
      <c r="DMH104" s="3"/>
      <c r="DMI104" s="3"/>
      <c r="DMJ104" s="3"/>
      <c r="DMK104" s="3"/>
      <c r="DML104" s="3"/>
      <c r="DMM104" s="3"/>
      <c r="DMN104" s="3"/>
      <c r="DMO104" s="3"/>
      <c r="DMP104" s="3"/>
      <c r="DMQ104" s="3"/>
      <c r="DMR104" s="3"/>
      <c r="DMS104" s="3"/>
      <c r="DMT104" s="3"/>
      <c r="DMU104" s="3"/>
      <c r="DMV104" s="3"/>
      <c r="DMW104" s="3"/>
      <c r="DMX104" s="3"/>
      <c r="DMY104" s="3"/>
      <c r="DMZ104" s="3"/>
      <c r="DNA104" s="3"/>
      <c r="DNB104" s="3"/>
      <c r="DNC104" s="3"/>
      <c r="DND104" s="3"/>
      <c r="DNE104" s="3"/>
      <c r="DNF104" s="3"/>
      <c r="DNG104" s="3"/>
      <c r="DNH104" s="3"/>
      <c r="DNI104" s="3"/>
      <c r="DNJ104" s="3"/>
      <c r="DNK104" s="3"/>
      <c r="DNL104" s="3"/>
      <c r="DNM104" s="3"/>
      <c r="DNN104" s="3"/>
      <c r="DNO104" s="3"/>
      <c r="DNP104" s="3"/>
      <c r="DNQ104" s="3"/>
      <c r="DNR104" s="3"/>
      <c r="DNS104" s="3"/>
      <c r="DNT104" s="3"/>
      <c r="DNU104" s="3"/>
      <c r="DNV104" s="3"/>
      <c r="DNW104" s="3"/>
      <c r="DNX104" s="3"/>
      <c r="DNY104" s="3"/>
      <c r="DNZ104" s="3"/>
      <c r="DOA104" s="3"/>
      <c r="DOB104" s="3"/>
      <c r="DOC104" s="3"/>
      <c r="DOD104" s="3"/>
      <c r="DOE104" s="3"/>
      <c r="DOF104" s="3"/>
      <c r="DOG104" s="3"/>
      <c r="DOH104" s="3"/>
      <c r="DOI104" s="3"/>
      <c r="DOJ104" s="3"/>
      <c r="DOK104" s="3"/>
      <c r="DOL104" s="3"/>
      <c r="DOM104" s="3"/>
      <c r="DON104" s="3"/>
      <c r="DOO104" s="3"/>
      <c r="DOP104" s="3"/>
      <c r="DOQ104" s="3"/>
      <c r="DOR104" s="3"/>
      <c r="DOS104" s="3"/>
      <c r="DOT104" s="3"/>
      <c r="DOU104" s="3"/>
      <c r="DOV104" s="3"/>
      <c r="DOW104" s="3"/>
      <c r="DOX104" s="3"/>
      <c r="DOY104" s="3"/>
      <c r="DOZ104" s="3"/>
      <c r="DPA104" s="3"/>
      <c r="DPB104" s="3"/>
      <c r="DPC104" s="3"/>
      <c r="DPD104" s="3"/>
      <c r="DPE104" s="3"/>
      <c r="DPF104" s="3"/>
      <c r="DPG104" s="3"/>
      <c r="DPH104" s="3"/>
      <c r="DPI104" s="3"/>
      <c r="DPJ104" s="3"/>
      <c r="DPK104" s="3"/>
      <c r="DPL104" s="3"/>
      <c r="DPM104" s="3"/>
      <c r="DPN104" s="3"/>
      <c r="DPO104" s="3"/>
      <c r="DPP104" s="3"/>
      <c r="DPQ104" s="3"/>
      <c r="DPR104" s="3"/>
      <c r="DPS104" s="3"/>
      <c r="DPT104" s="3"/>
      <c r="DPU104" s="3"/>
      <c r="DPV104" s="3"/>
      <c r="DPW104" s="3"/>
      <c r="DPX104" s="3"/>
      <c r="DPY104" s="3"/>
      <c r="DPZ104" s="3"/>
      <c r="DQA104" s="3"/>
      <c r="DQB104" s="3"/>
      <c r="DQC104" s="3"/>
      <c r="DQD104" s="3"/>
      <c r="DQE104" s="3"/>
      <c r="DQF104" s="3"/>
      <c r="DQG104" s="3"/>
      <c r="DQH104" s="3"/>
      <c r="DQI104" s="3"/>
      <c r="DQJ104" s="3"/>
      <c r="DQK104" s="3"/>
      <c r="DQL104" s="3"/>
      <c r="DQM104" s="3"/>
      <c r="DQN104" s="3"/>
      <c r="DQO104" s="3"/>
      <c r="DQP104" s="3"/>
      <c r="DQQ104" s="3"/>
      <c r="DQR104" s="3"/>
      <c r="DQS104" s="3"/>
      <c r="DQT104" s="3"/>
      <c r="DQU104" s="3"/>
      <c r="DQV104" s="3"/>
      <c r="DQW104" s="3"/>
      <c r="DQX104" s="3"/>
      <c r="DQY104" s="3"/>
      <c r="DQZ104" s="3"/>
      <c r="DRA104" s="3"/>
      <c r="DRB104" s="3"/>
      <c r="DRC104" s="3"/>
      <c r="DRD104" s="3"/>
      <c r="DRE104" s="3"/>
      <c r="DRF104" s="3"/>
      <c r="DRG104" s="3"/>
      <c r="DRH104" s="3"/>
      <c r="DRI104" s="3"/>
      <c r="DRJ104" s="3"/>
      <c r="DRK104" s="3"/>
      <c r="DRL104" s="3"/>
      <c r="DRM104" s="3"/>
      <c r="DRN104" s="3"/>
      <c r="DRO104" s="3"/>
      <c r="DRP104" s="3"/>
      <c r="DRQ104" s="3"/>
      <c r="DRR104" s="3"/>
      <c r="DRS104" s="3"/>
      <c r="DRT104" s="3"/>
      <c r="DRU104" s="3"/>
      <c r="DRV104" s="3"/>
      <c r="DRW104" s="3"/>
      <c r="DRX104" s="3"/>
      <c r="DRY104" s="3"/>
      <c r="DRZ104" s="3"/>
      <c r="DSA104" s="3"/>
      <c r="DSB104" s="3"/>
      <c r="DSC104" s="3"/>
      <c r="DSD104" s="3"/>
      <c r="DSE104" s="3"/>
      <c r="DSF104" s="3"/>
      <c r="DSG104" s="3"/>
      <c r="DSH104" s="3"/>
      <c r="DSI104" s="3"/>
      <c r="DSJ104" s="3"/>
      <c r="DSK104" s="3"/>
      <c r="DSL104" s="3"/>
      <c r="DSM104" s="3"/>
      <c r="DSN104" s="3"/>
      <c r="DSO104" s="3"/>
      <c r="DSP104" s="3"/>
      <c r="DSQ104" s="3"/>
      <c r="DSR104" s="3"/>
      <c r="DSS104" s="3"/>
      <c r="DST104" s="3"/>
      <c r="DSU104" s="3"/>
      <c r="DSV104" s="3"/>
      <c r="DSW104" s="3"/>
      <c r="DSX104" s="3"/>
      <c r="DSY104" s="3"/>
      <c r="DSZ104" s="3"/>
      <c r="DTA104" s="3"/>
      <c r="DTB104" s="3"/>
      <c r="DTC104" s="3"/>
      <c r="DTD104" s="3"/>
      <c r="DTE104" s="3"/>
      <c r="DTF104" s="3"/>
      <c r="DTG104" s="3"/>
      <c r="DTH104" s="3"/>
      <c r="DTI104" s="3"/>
      <c r="DTJ104" s="3"/>
      <c r="DTK104" s="3"/>
      <c r="DTL104" s="3"/>
      <c r="DTM104" s="3"/>
      <c r="DTN104" s="3"/>
      <c r="DTO104" s="3"/>
      <c r="DTP104" s="3"/>
      <c r="DTQ104" s="3"/>
      <c r="DTR104" s="3"/>
      <c r="DTS104" s="3"/>
      <c r="DTT104" s="3"/>
      <c r="DTU104" s="3"/>
      <c r="DTV104" s="3"/>
      <c r="DTW104" s="3"/>
      <c r="DTX104" s="3"/>
      <c r="DTY104" s="3"/>
      <c r="DTZ104" s="3"/>
      <c r="DUA104" s="3"/>
      <c r="DUB104" s="3"/>
      <c r="DUC104" s="3"/>
      <c r="DUD104" s="3"/>
      <c r="DUE104" s="3"/>
      <c r="DUF104" s="3"/>
      <c r="DUG104" s="3"/>
      <c r="DUH104" s="3"/>
      <c r="DUI104" s="3"/>
      <c r="DUJ104" s="3"/>
      <c r="DUK104" s="3"/>
      <c r="DUL104" s="3"/>
      <c r="DUM104" s="3"/>
      <c r="DUN104" s="3"/>
      <c r="DUO104" s="3"/>
      <c r="DUP104" s="3"/>
      <c r="DUQ104" s="3"/>
      <c r="DUR104" s="3"/>
      <c r="DUS104" s="3"/>
      <c r="DUT104" s="3"/>
      <c r="DUU104" s="3"/>
      <c r="DUV104" s="3"/>
      <c r="DUW104" s="3"/>
      <c r="DUX104" s="3"/>
      <c r="DUY104" s="3"/>
      <c r="DUZ104" s="3"/>
      <c r="DVA104" s="3"/>
      <c r="DVB104" s="3"/>
      <c r="DVC104" s="3"/>
      <c r="DVD104" s="3"/>
      <c r="DVE104" s="3"/>
      <c r="DVF104" s="3"/>
      <c r="DVG104" s="3"/>
      <c r="DVH104" s="3"/>
      <c r="DVI104" s="3"/>
      <c r="DVJ104" s="3"/>
      <c r="DVK104" s="3"/>
      <c r="DVL104" s="3"/>
      <c r="DVM104" s="3"/>
      <c r="DVN104" s="3"/>
      <c r="DVO104" s="3"/>
      <c r="DVP104" s="3"/>
      <c r="DVQ104" s="3"/>
      <c r="DVR104" s="3"/>
      <c r="DVS104" s="3"/>
      <c r="DVT104" s="3"/>
      <c r="DVU104" s="3"/>
      <c r="DVV104" s="3"/>
      <c r="DVW104" s="3"/>
      <c r="DVX104" s="3"/>
      <c r="DVY104" s="3"/>
      <c r="DVZ104" s="3"/>
      <c r="DWA104" s="3"/>
      <c r="DWB104" s="3"/>
      <c r="DWC104" s="3"/>
      <c r="DWD104" s="3"/>
      <c r="DWE104" s="3"/>
      <c r="DWF104" s="3"/>
      <c r="DWG104" s="3"/>
      <c r="DWH104" s="3"/>
      <c r="DWI104" s="3"/>
      <c r="DWJ104" s="3"/>
      <c r="DWK104" s="3"/>
      <c r="DWL104" s="3"/>
      <c r="DWM104" s="3"/>
      <c r="DWN104" s="3"/>
      <c r="DWO104" s="3"/>
      <c r="DWP104" s="3"/>
      <c r="DWQ104" s="3"/>
      <c r="DWR104" s="3"/>
      <c r="DWS104" s="3"/>
      <c r="DWT104" s="3"/>
      <c r="DWU104" s="3"/>
      <c r="DWV104" s="3"/>
      <c r="DWW104" s="3"/>
      <c r="DWX104" s="3"/>
      <c r="DWY104" s="3"/>
      <c r="DWZ104" s="3"/>
      <c r="DXA104" s="3"/>
      <c r="DXB104" s="3"/>
      <c r="DXC104" s="3"/>
      <c r="DXD104" s="3"/>
      <c r="DXE104" s="3"/>
      <c r="DXF104" s="3"/>
      <c r="DXG104" s="3"/>
      <c r="DXH104" s="3"/>
      <c r="DXI104" s="3"/>
      <c r="DXJ104" s="3"/>
      <c r="DXK104" s="3"/>
      <c r="DXL104" s="3"/>
      <c r="DXM104" s="3"/>
      <c r="DXN104" s="3"/>
      <c r="DXO104" s="3"/>
      <c r="DXP104" s="3"/>
      <c r="DXQ104" s="3"/>
      <c r="DXR104" s="3"/>
      <c r="DXS104" s="3"/>
      <c r="DXT104" s="3"/>
      <c r="DXU104" s="3"/>
      <c r="DXV104" s="3"/>
      <c r="DXW104" s="3"/>
      <c r="DXX104" s="3"/>
      <c r="DXY104" s="3"/>
      <c r="DXZ104" s="3"/>
      <c r="DYA104" s="3"/>
      <c r="DYB104" s="3"/>
      <c r="DYC104" s="3"/>
      <c r="DYD104" s="3"/>
      <c r="DYE104" s="3"/>
      <c r="DYF104" s="3"/>
      <c r="DYG104" s="3"/>
      <c r="DYH104" s="3"/>
      <c r="DYI104" s="3"/>
      <c r="DYJ104" s="3"/>
      <c r="DYK104" s="3"/>
      <c r="DYL104" s="3"/>
      <c r="DYM104" s="3"/>
      <c r="DYN104" s="3"/>
      <c r="DYO104" s="3"/>
      <c r="DYP104" s="3"/>
      <c r="DYQ104" s="3"/>
      <c r="DYR104" s="3"/>
      <c r="DYS104" s="3"/>
      <c r="DYT104" s="3"/>
      <c r="DYU104" s="3"/>
      <c r="DYV104" s="3"/>
      <c r="DYW104" s="3"/>
      <c r="DYX104" s="3"/>
      <c r="DYY104" s="3"/>
      <c r="DYZ104" s="3"/>
      <c r="DZA104" s="3"/>
      <c r="DZB104" s="3"/>
      <c r="DZC104" s="3"/>
      <c r="DZD104" s="3"/>
      <c r="DZE104" s="3"/>
      <c r="DZF104" s="3"/>
      <c r="DZG104" s="3"/>
      <c r="DZH104" s="3"/>
      <c r="DZI104" s="3"/>
      <c r="DZJ104" s="3"/>
      <c r="DZK104" s="3"/>
      <c r="DZL104" s="3"/>
      <c r="DZM104" s="3"/>
      <c r="DZN104" s="3"/>
      <c r="DZO104" s="3"/>
      <c r="DZP104" s="3"/>
      <c r="DZQ104" s="3"/>
      <c r="DZR104" s="3"/>
      <c r="DZS104" s="3"/>
      <c r="DZT104" s="3"/>
      <c r="DZU104" s="3"/>
      <c r="DZV104" s="3"/>
      <c r="DZW104" s="3"/>
      <c r="DZX104" s="3"/>
      <c r="DZY104" s="3"/>
      <c r="DZZ104" s="3"/>
      <c r="EAA104" s="3"/>
      <c r="EAB104" s="3"/>
      <c r="EAC104" s="3"/>
      <c r="EAD104" s="3"/>
      <c r="EAE104" s="3"/>
      <c r="EAF104" s="3"/>
      <c r="EAG104" s="3"/>
      <c r="EAH104" s="3"/>
      <c r="EAI104" s="3"/>
      <c r="EAJ104" s="3"/>
      <c r="EAK104" s="3"/>
      <c r="EAL104" s="3"/>
      <c r="EAM104" s="3"/>
      <c r="EAN104" s="3"/>
      <c r="EAO104" s="3"/>
      <c r="EAP104" s="3"/>
      <c r="EAQ104" s="3"/>
      <c r="EAR104" s="3"/>
      <c r="EAS104" s="3"/>
      <c r="EAT104" s="3"/>
      <c r="EAU104" s="3"/>
      <c r="EAV104" s="3"/>
      <c r="EAW104" s="3"/>
      <c r="EAX104" s="3"/>
      <c r="EAY104" s="3"/>
      <c r="EAZ104" s="3"/>
      <c r="EBA104" s="3"/>
      <c r="EBB104" s="3"/>
      <c r="EBC104" s="3"/>
      <c r="EBD104" s="3"/>
      <c r="EBE104" s="3"/>
      <c r="EBF104" s="3"/>
      <c r="EBG104" s="3"/>
      <c r="EBH104" s="3"/>
      <c r="EBI104" s="3"/>
      <c r="EBJ104" s="3"/>
      <c r="EBK104" s="3"/>
      <c r="EBL104" s="3"/>
      <c r="EBM104" s="3"/>
      <c r="EBN104" s="3"/>
      <c r="EBO104" s="3"/>
      <c r="EBP104" s="3"/>
      <c r="EBQ104" s="3"/>
      <c r="EBR104" s="3"/>
      <c r="EBS104" s="3"/>
      <c r="EBT104" s="3"/>
      <c r="EBU104" s="3"/>
      <c r="EBV104" s="3"/>
      <c r="EBW104" s="3"/>
      <c r="EBX104" s="3"/>
      <c r="EBY104" s="3"/>
      <c r="EBZ104" s="3"/>
      <c r="ECA104" s="3"/>
      <c r="ECB104" s="3"/>
      <c r="ECC104" s="3"/>
      <c r="ECD104" s="3"/>
      <c r="ECE104" s="3"/>
      <c r="ECF104" s="3"/>
      <c r="ECG104" s="3"/>
      <c r="ECH104" s="3"/>
      <c r="ECI104" s="3"/>
      <c r="ECJ104" s="3"/>
      <c r="ECK104" s="3"/>
      <c r="ECL104" s="3"/>
      <c r="ECM104" s="3"/>
      <c r="ECN104" s="3"/>
      <c r="ECO104" s="3"/>
      <c r="ECP104" s="3"/>
      <c r="ECQ104" s="3"/>
      <c r="ECR104" s="3"/>
      <c r="ECS104" s="3"/>
      <c r="ECT104" s="3"/>
      <c r="ECU104" s="3"/>
      <c r="ECV104" s="3"/>
      <c r="ECW104" s="3"/>
      <c r="ECX104" s="3"/>
      <c r="ECY104" s="3"/>
      <c r="ECZ104" s="3"/>
      <c r="EDA104" s="3"/>
      <c r="EDB104" s="3"/>
      <c r="EDC104" s="3"/>
      <c r="EDD104" s="3"/>
      <c r="EDE104" s="3"/>
      <c r="EDF104" s="3"/>
      <c r="EDG104" s="3"/>
      <c r="EDH104" s="3"/>
      <c r="EDI104" s="3"/>
      <c r="EDJ104" s="3"/>
      <c r="EDK104" s="3"/>
      <c r="EDL104" s="3"/>
      <c r="EDM104" s="3"/>
      <c r="EDN104" s="3"/>
      <c r="EDO104" s="3"/>
      <c r="EDP104" s="3"/>
      <c r="EDQ104" s="3"/>
      <c r="EDR104" s="3"/>
      <c r="EDS104" s="3"/>
      <c r="EDT104" s="3"/>
      <c r="EDU104" s="3"/>
      <c r="EDV104" s="3"/>
      <c r="EDW104" s="3"/>
      <c r="EDX104" s="3"/>
      <c r="EDY104" s="3"/>
      <c r="EDZ104" s="3"/>
      <c r="EEA104" s="3"/>
      <c r="EEB104" s="3"/>
      <c r="EEC104" s="3"/>
      <c r="EED104" s="3"/>
      <c r="EEE104" s="3"/>
      <c r="EEF104" s="3"/>
      <c r="EEG104" s="3"/>
      <c r="EEH104" s="3"/>
      <c r="EEI104" s="3"/>
      <c r="EEJ104" s="3"/>
      <c r="EEK104" s="3"/>
      <c r="EEL104" s="3"/>
      <c r="EEM104" s="3"/>
      <c r="EEN104" s="3"/>
      <c r="EEO104" s="3"/>
      <c r="EEP104" s="3"/>
      <c r="EEQ104" s="3"/>
      <c r="EER104" s="3"/>
      <c r="EES104" s="3"/>
      <c r="EET104" s="3"/>
      <c r="EEU104" s="3"/>
      <c r="EEV104" s="3"/>
      <c r="EEW104" s="3"/>
      <c r="EEX104" s="3"/>
      <c r="EEY104" s="3"/>
      <c r="EEZ104" s="3"/>
      <c r="EFA104" s="3"/>
      <c r="EFB104" s="3"/>
      <c r="EFC104" s="3"/>
      <c r="EFD104" s="3"/>
      <c r="EFE104" s="3"/>
      <c r="EFF104" s="3"/>
      <c r="EFG104" s="3"/>
      <c r="EFH104" s="3"/>
      <c r="EFI104" s="3"/>
      <c r="EFJ104" s="3"/>
      <c r="EFK104" s="3"/>
      <c r="EFL104" s="3"/>
      <c r="EFM104" s="3"/>
      <c r="EFN104" s="3"/>
      <c r="EFO104" s="3"/>
      <c r="EFP104" s="3"/>
      <c r="EFQ104" s="3"/>
      <c r="EFR104" s="3"/>
      <c r="EFS104" s="3"/>
      <c r="EFT104" s="3"/>
      <c r="EFU104" s="3"/>
      <c r="EFV104" s="3"/>
      <c r="EFW104" s="3"/>
      <c r="EFX104" s="3"/>
      <c r="EFY104" s="3"/>
      <c r="EFZ104" s="3"/>
      <c r="EGA104" s="3"/>
      <c r="EGB104" s="3"/>
      <c r="EGC104" s="3"/>
      <c r="EGD104" s="3"/>
      <c r="EGE104" s="3"/>
      <c r="EGF104" s="3"/>
      <c r="EGG104" s="3"/>
      <c r="EGH104" s="3"/>
      <c r="EGI104" s="3"/>
      <c r="EGJ104" s="3"/>
      <c r="EGK104" s="3"/>
      <c r="EGL104" s="3"/>
      <c r="EGM104" s="3"/>
      <c r="EGN104" s="3"/>
      <c r="EGO104" s="3"/>
      <c r="EGP104" s="3"/>
      <c r="EGQ104" s="3"/>
      <c r="EGR104" s="3"/>
      <c r="EGS104" s="3"/>
      <c r="EGT104" s="3"/>
      <c r="EGU104" s="3"/>
      <c r="EGV104" s="3"/>
      <c r="EGW104" s="3"/>
      <c r="EGX104" s="3"/>
      <c r="EGY104" s="3"/>
      <c r="EGZ104" s="3"/>
      <c r="EHA104" s="3"/>
      <c r="EHB104" s="3"/>
      <c r="EHC104" s="3"/>
      <c r="EHD104" s="3"/>
      <c r="EHE104" s="3"/>
      <c r="EHF104" s="3"/>
      <c r="EHG104" s="3"/>
      <c r="EHH104" s="3"/>
      <c r="EHI104" s="3"/>
      <c r="EHJ104" s="3"/>
      <c r="EHK104" s="3"/>
      <c r="EHL104" s="3"/>
      <c r="EHM104" s="3"/>
      <c r="EHN104" s="3"/>
      <c r="EHO104" s="3"/>
      <c r="EHP104" s="3"/>
      <c r="EHQ104" s="3"/>
      <c r="EHR104" s="3"/>
      <c r="EHS104" s="3"/>
      <c r="EHT104" s="3"/>
      <c r="EHU104" s="3"/>
      <c r="EHV104" s="3"/>
      <c r="EHW104" s="3"/>
      <c r="EHX104" s="3"/>
      <c r="EHY104" s="3"/>
      <c r="EHZ104" s="3"/>
      <c r="EIA104" s="3"/>
      <c r="EIB104" s="3"/>
      <c r="EIC104" s="3"/>
      <c r="EID104" s="3"/>
      <c r="EIE104" s="3"/>
      <c r="EIF104" s="3"/>
      <c r="EIG104" s="3"/>
      <c r="EIH104" s="3"/>
      <c r="EII104" s="3"/>
      <c r="EIJ104" s="3"/>
      <c r="EIK104" s="3"/>
      <c r="EIL104" s="3"/>
      <c r="EIM104" s="3"/>
      <c r="EIN104" s="3"/>
      <c r="EIO104" s="3"/>
      <c r="EIP104" s="3"/>
      <c r="EIQ104" s="3"/>
      <c r="EIR104" s="3"/>
      <c r="EIS104" s="3"/>
      <c r="EIT104" s="3"/>
      <c r="EIU104" s="3"/>
      <c r="EIV104" s="3"/>
      <c r="EIW104" s="3"/>
      <c r="EIX104" s="3"/>
      <c r="EIY104" s="3"/>
      <c r="EIZ104" s="3"/>
      <c r="EJA104" s="3"/>
      <c r="EJB104" s="3"/>
      <c r="EJC104" s="3"/>
      <c r="EJD104" s="3"/>
      <c r="EJE104" s="3"/>
      <c r="EJF104" s="3"/>
      <c r="EJG104" s="3"/>
      <c r="EJH104" s="3"/>
      <c r="EJI104" s="3"/>
      <c r="EJJ104" s="3"/>
      <c r="EJK104" s="3"/>
      <c r="EJL104" s="3"/>
      <c r="EJM104" s="3"/>
      <c r="EJN104" s="3"/>
      <c r="EJO104" s="3"/>
      <c r="EJP104" s="3"/>
      <c r="EJQ104" s="3"/>
      <c r="EJR104" s="3"/>
      <c r="EJS104" s="3"/>
      <c r="EJT104" s="3"/>
      <c r="EJU104" s="3"/>
      <c r="EJV104" s="3"/>
      <c r="EJW104" s="3"/>
      <c r="EJX104" s="3"/>
      <c r="EJY104" s="3"/>
      <c r="EJZ104" s="3"/>
      <c r="EKA104" s="3"/>
      <c r="EKB104" s="3"/>
      <c r="EKC104" s="3"/>
      <c r="EKD104" s="3"/>
      <c r="EKE104" s="3"/>
      <c r="EKF104" s="3"/>
      <c r="EKG104" s="3"/>
      <c r="EKH104" s="3"/>
      <c r="EKI104" s="3"/>
      <c r="EKJ104" s="3"/>
      <c r="EKK104" s="3"/>
      <c r="EKL104" s="3"/>
      <c r="EKM104" s="3"/>
      <c r="EKN104" s="3"/>
      <c r="EKO104" s="3"/>
      <c r="EKP104" s="3"/>
      <c r="EKQ104" s="3"/>
      <c r="EKR104" s="3"/>
      <c r="EKS104" s="3"/>
      <c r="EKT104" s="3"/>
      <c r="EKU104" s="3"/>
      <c r="EKV104" s="3"/>
      <c r="EKW104" s="3"/>
      <c r="EKX104" s="3"/>
      <c r="EKY104" s="3"/>
      <c r="EKZ104" s="3"/>
      <c r="ELA104" s="3"/>
      <c r="ELB104" s="3"/>
      <c r="ELC104" s="3"/>
      <c r="ELD104" s="3"/>
      <c r="ELE104" s="3"/>
      <c r="ELF104" s="3"/>
      <c r="ELG104" s="3"/>
      <c r="ELH104" s="3"/>
      <c r="ELI104" s="3"/>
      <c r="ELJ104" s="3"/>
      <c r="ELK104" s="3"/>
      <c r="ELL104" s="3"/>
      <c r="ELM104" s="3"/>
      <c r="ELN104" s="3"/>
      <c r="ELO104" s="3"/>
      <c r="ELP104" s="3"/>
      <c r="ELQ104" s="3"/>
      <c r="ELR104" s="3"/>
      <c r="ELS104" s="3"/>
      <c r="ELT104" s="3"/>
      <c r="ELU104" s="3"/>
      <c r="ELV104" s="3"/>
      <c r="ELW104" s="3"/>
      <c r="ELX104" s="3"/>
      <c r="ELY104" s="3"/>
      <c r="ELZ104" s="3"/>
      <c r="EMA104" s="3"/>
      <c r="EMB104" s="3"/>
      <c r="EMC104" s="3"/>
      <c r="EMD104" s="3"/>
      <c r="EME104" s="3"/>
      <c r="EMF104" s="3"/>
      <c r="EMG104" s="3"/>
      <c r="EMH104" s="3"/>
      <c r="EMI104" s="3"/>
      <c r="EMJ104" s="3"/>
      <c r="EMK104" s="3"/>
      <c r="EML104" s="3"/>
      <c r="EMM104" s="3"/>
      <c r="EMN104" s="3"/>
      <c r="EMO104" s="3"/>
      <c r="EMP104" s="3"/>
      <c r="EMQ104" s="3"/>
      <c r="EMR104" s="3"/>
      <c r="EMS104" s="3"/>
      <c r="EMT104" s="3"/>
      <c r="EMU104" s="3"/>
      <c r="EMV104" s="3"/>
      <c r="EMW104" s="3"/>
      <c r="EMX104" s="3"/>
      <c r="EMY104" s="3"/>
      <c r="EMZ104" s="3"/>
      <c r="ENA104" s="3"/>
      <c r="ENB104" s="3"/>
      <c r="ENC104" s="3"/>
      <c r="END104" s="3"/>
      <c r="ENE104" s="3"/>
      <c r="ENF104" s="3"/>
      <c r="ENG104" s="3"/>
      <c r="ENH104" s="3"/>
      <c r="ENI104" s="3"/>
      <c r="ENJ104" s="3"/>
      <c r="ENK104" s="3"/>
      <c r="ENL104" s="3"/>
      <c r="ENM104" s="3"/>
      <c r="ENN104" s="3"/>
      <c r="ENO104" s="3"/>
      <c r="ENP104" s="3"/>
      <c r="ENQ104" s="3"/>
      <c r="ENR104" s="3"/>
      <c r="ENS104" s="3"/>
      <c r="ENT104" s="3"/>
      <c r="ENU104" s="3"/>
      <c r="ENV104" s="3"/>
      <c r="ENW104" s="3"/>
      <c r="ENX104" s="3"/>
      <c r="ENY104" s="3"/>
      <c r="ENZ104" s="3"/>
      <c r="EOA104" s="3"/>
      <c r="EOB104" s="3"/>
      <c r="EOC104" s="3"/>
      <c r="EOD104" s="3"/>
      <c r="EOE104" s="3"/>
      <c r="EOF104" s="3"/>
      <c r="EOG104" s="3"/>
      <c r="EOH104" s="3"/>
      <c r="EOI104" s="3"/>
      <c r="EOJ104" s="3"/>
      <c r="EOK104" s="3"/>
      <c r="EOL104" s="3"/>
      <c r="EOM104" s="3"/>
      <c r="EON104" s="3"/>
      <c r="EOO104" s="3"/>
      <c r="EOP104" s="3"/>
      <c r="EOQ104" s="3"/>
      <c r="EOR104" s="3"/>
      <c r="EOS104" s="3"/>
      <c r="EOT104" s="3"/>
      <c r="EOU104" s="3"/>
      <c r="EOV104" s="3"/>
      <c r="EOW104" s="3"/>
      <c r="EOX104" s="3"/>
      <c r="EOY104" s="3"/>
      <c r="EOZ104" s="3"/>
      <c r="EPA104" s="3"/>
      <c r="EPB104" s="3"/>
      <c r="EPC104" s="3"/>
      <c r="EPD104" s="3"/>
      <c r="EPE104" s="3"/>
      <c r="EPF104" s="3"/>
      <c r="EPG104" s="3"/>
      <c r="EPH104" s="3"/>
      <c r="EPI104" s="3"/>
      <c r="EPJ104" s="3"/>
      <c r="EPK104" s="3"/>
      <c r="EPL104" s="3"/>
      <c r="EPM104" s="3"/>
      <c r="EPN104" s="3"/>
      <c r="EPO104" s="3"/>
      <c r="EPP104" s="3"/>
      <c r="EPQ104" s="3"/>
      <c r="EPR104" s="3"/>
      <c r="EPS104" s="3"/>
      <c r="EPT104" s="3"/>
      <c r="EPU104" s="3"/>
      <c r="EPV104" s="3"/>
      <c r="EPW104" s="3"/>
      <c r="EPX104" s="3"/>
      <c r="EPY104" s="3"/>
      <c r="EPZ104" s="3"/>
      <c r="EQA104" s="3"/>
      <c r="EQB104" s="3"/>
      <c r="EQC104" s="3"/>
      <c r="EQD104" s="3"/>
      <c r="EQE104" s="3"/>
      <c r="EQF104" s="3"/>
      <c r="EQG104" s="3"/>
      <c r="EQH104" s="3"/>
      <c r="EQI104" s="3"/>
      <c r="EQJ104" s="3"/>
      <c r="EQK104" s="3"/>
      <c r="EQL104" s="3"/>
      <c r="EQM104" s="3"/>
      <c r="EQN104" s="3"/>
      <c r="EQO104" s="3"/>
      <c r="EQP104" s="3"/>
      <c r="EQQ104" s="3"/>
      <c r="EQR104" s="3"/>
      <c r="EQS104" s="3"/>
      <c r="EQT104" s="3"/>
      <c r="EQU104" s="3"/>
      <c r="EQV104" s="3"/>
      <c r="EQW104" s="3"/>
      <c r="EQX104" s="3"/>
      <c r="EQY104" s="3"/>
      <c r="EQZ104" s="3"/>
      <c r="ERA104" s="3"/>
      <c r="ERB104" s="3"/>
      <c r="ERC104" s="3"/>
      <c r="ERD104" s="3"/>
      <c r="ERE104" s="3"/>
      <c r="ERF104" s="3"/>
      <c r="ERG104" s="3"/>
      <c r="ERH104" s="3"/>
      <c r="ERI104" s="3"/>
      <c r="ERJ104" s="3"/>
      <c r="ERK104" s="3"/>
      <c r="ERL104" s="3"/>
      <c r="ERM104" s="3"/>
      <c r="ERN104" s="3"/>
      <c r="ERO104" s="3"/>
      <c r="ERP104" s="3"/>
      <c r="ERQ104" s="3"/>
      <c r="ERR104" s="3"/>
      <c r="ERS104" s="3"/>
      <c r="ERT104" s="3"/>
      <c r="ERU104" s="3"/>
      <c r="ERV104" s="3"/>
      <c r="ERW104" s="3"/>
      <c r="ERX104" s="3"/>
      <c r="ERY104" s="3"/>
      <c r="ERZ104" s="3"/>
      <c r="ESA104" s="3"/>
      <c r="ESB104" s="3"/>
      <c r="ESC104" s="3"/>
      <c r="ESD104" s="3"/>
      <c r="ESE104" s="3"/>
      <c r="ESF104" s="3"/>
      <c r="ESG104" s="3"/>
      <c r="ESH104" s="3"/>
      <c r="ESI104" s="3"/>
      <c r="ESJ104" s="3"/>
      <c r="ESK104" s="3"/>
      <c r="ESL104" s="3"/>
      <c r="ESM104" s="3"/>
      <c r="ESN104" s="3"/>
      <c r="ESO104" s="3"/>
      <c r="ESP104" s="3"/>
      <c r="ESQ104" s="3"/>
      <c r="ESR104" s="3"/>
      <c r="ESS104" s="3"/>
      <c r="EST104" s="3"/>
      <c r="ESU104" s="3"/>
      <c r="ESV104" s="3"/>
      <c r="ESW104" s="3"/>
      <c r="ESX104" s="3"/>
      <c r="ESY104" s="3"/>
      <c r="ESZ104" s="3"/>
      <c r="ETA104" s="3"/>
      <c r="ETB104" s="3"/>
      <c r="ETC104" s="3"/>
      <c r="ETD104" s="3"/>
      <c r="ETE104" s="3"/>
      <c r="ETF104" s="3"/>
      <c r="ETG104" s="3"/>
      <c r="ETH104" s="3"/>
      <c r="ETI104" s="3"/>
      <c r="ETJ104" s="3"/>
      <c r="ETK104" s="3"/>
      <c r="ETL104" s="3"/>
      <c r="ETM104" s="3"/>
      <c r="ETN104" s="3"/>
      <c r="ETO104" s="3"/>
      <c r="ETP104" s="3"/>
      <c r="ETQ104" s="3"/>
      <c r="ETR104" s="3"/>
      <c r="ETS104" s="3"/>
      <c r="ETT104" s="3"/>
      <c r="ETU104" s="3"/>
      <c r="ETV104" s="3"/>
      <c r="ETW104" s="3"/>
      <c r="ETX104" s="3"/>
      <c r="ETY104" s="3"/>
      <c r="ETZ104" s="3"/>
      <c r="EUA104" s="3"/>
      <c r="EUB104" s="3"/>
      <c r="EUC104" s="3"/>
      <c r="EUD104" s="3"/>
      <c r="EUE104" s="3"/>
      <c r="EUF104" s="3"/>
      <c r="EUG104" s="3"/>
      <c r="EUH104" s="3"/>
      <c r="EUI104" s="3"/>
      <c r="EUJ104" s="3"/>
      <c r="EUK104" s="3"/>
      <c r="EUL104" s="3"/>
      <c r="EUM104" s="3"/>
      <c r="EUN104" s="3"/>
      <c r="EUO104" s="3"/>
      <c r="EUP104" s="3"/>
      <c r="EUQ104" s="3"/>
      <c r="EUR104" s="3"/>
      <c r="EUS104" s="3"/>
      <c r="EUT104" s="3"/>
      <c r="EUU104" s="3"/>
      <c r="EUV104" s="3"/>
      <c r="EUW104" s="3"/>
      <c r="EUX104" s="3"/>
      <c r="EUY104" s="3"/>
      <c r="EUZ104" s="3"/>
      <c r="EVA104" s="3"/>
      <c r="EVB104" s="3"/>
      <c r="EVC104" s="3"/>
      <c r="EVD104" s="3"/>
      <c r="EVE104" s="3"/>
      <c r="EVF104" s="3"/>
      <c r="EVG104" s="3"/>
      <c r="EVH104" s="3"/>
      <c r="EVI104" s="3"/>
      <c r="EVJ104" s="3"/>
      <c r="EVK104" s="3"/>
      <c r="EVL104" s="3"/>
      <c r="EVM104" s="3"/>
      <c r="EVN104" s="3"/>
      <c r="EVO104" s="3"/>
      <c r="EVP104" s="3"/>
      <c r="EVQ104" s="3"/>
      <c r="EVR104" s="3"/>
      <c r="EVS104" s="3"/>
      <c r="EVT104" s="3"/>
      <c r="EVU104" s="3"/>
      <c r="EVV104" s="3"/>
      <c r="EVW104" s="3"/>
      <c r="EVX104" s="3"/>
      <c r="EVY104" s="3"/>
      <c r="EVZ104" s="3"/>
      <c r="EWA104" s="3"/>
      <c r="EWB104" s="3"/>
      <c r="EWC104" s="3"/>
      <c r="EWD104" s="3"/>
      <c r="EWE104" s="3"/>
      <c r="EWF104" s="3"/>
      <c r="EWG104" s="3"/>
      <c r="EWH104" s="3"/>
      <c r="EWI104" s="3"/>
      <c r="EWJ104" s="3"/>
      <c r="EWK104" s="3"/>
      <c r="EWL104" s="3"/>
      <c r="EWM104" s="3"/>
      <c r="EWN104" s="3"/>
      <c r="EWO104" s="3"/>
      <c r="EWP104" s="3"/>
      <c r="EWQ104" s="3"/>
      <c r="EWR104" s="3"/>
      <c r="EWS104" s="3"/>
      <c r="EWT104" s="3"/>
      <c r="EWU104" s="3"/>
      <c r="EWV104" s="3"/>
      <c r="EWW104" s="3"/>
      <c r="EWX104" s="3"/>
      <c r="EWY104" s="3"/>
      <c r="EWZ104" s="3"/>
      <c r="EXA104" s="3"/>
      <c r="EXB104" s="3"/>
      <c r="EXC104" s="3"/>
      <c r="EXD104" s="3"/>
      <c r="EXE104" s="3"/>
      <c r="EXF104" s="3"/>
      <c r="EXG104" s="3"/>
      <c r="EXH104" s="3"/>
      <c r="EXI104" s="3"/>
      <c r="EXJ104" s="3"/>
      <c r="EXK104" s="3"/>
      <c r="EXL104" s="3"/>
      <c r="EXM104" s="3"/>
      <c r="EXN104" s="3"/>
      <c r="EXO104" s="3"/>
      <c r="EXP104" s="3"/>
      <c r="EXQ104" s="3"/>
      <c r="EXR104" s="3"/>
      <c r="EXS104" s="3"/>
      <c r="EXT104" s="3"/>
      <c r="EXU104" s="3"/>
      <c r="EXV104" s="3"/>
      <c r="EXW104" s="3"/>
      <c r="EXX104" s="3"/>
      <c r="EXY104" s="3"/>
      <c r="EXZ104" s="3"/>
      <c r="EYA104" s="3"/>
      <c r="EYB104" s="3"/>
      <c r="EYC104" s="3"/>
      <c r="EYD104" s="3"/>
      <c r="EYE104" s="3"/>
      <c r="EYF104" s="3"/>
      <c r="EYG104" s="3"/>
      <c r="EYH104" s="3"/>
      <c r="EYI104" s="3"/>
      <c r="EYJ104" s="3"/>
      <c r="EYK104" s="3"/>
      <c r="EYL104" s="3"/>
      <c r="EYM104" s="3"/>
      <c r="EYN104" s="3"/>
      <c r="EYO104" s="3"/>
      <c r="EYP104" s="3"/>
      <c r="EYQ104" s="3"/>
      <c r="EYR104" s="3"/>
      <c r="EYS104" s="3"/>
      <c r="EYT104" s="3"/>
      <c r="EYU104" s="3"/>
      <c r="EYV104" s="3"/>
      <c r="EYW104" s="3"/>
      <c r="EYX104" s="3"/>
      <c r="EYY104" s="3"/>
      <c r="EYZ104" s="3"/>
      <c r="EZA104" s="3"/>
      <c r="EZB104" s="3"/>
      <c r="EZC104" s="3"/>
      <c r="EZD104" s="3"/>
      <c r="EZE104" s="3"/>
      <c r="EZF104" s="3"/>
      <c r="EZG104" s="3"/>
      <c r="EZH104" s="3"/>
      <c r="EZI104" s="3"/>
      <c r="EZJ104" s="3"/>
      <c r="EZK104" s="3"/>
      <c r="EZL104" s="3"/>
      <c r="EZM104" s="3"/>
      <c r="EZN104" s="3"/>
      <c r="EZO104" s="3"/>
      <c r="EZP104" s="3"/>
      <c r="EZQ104" s="3"/>
      <c r="EZR104" s="3"/>
      <c r="EZS104" s="3"/>
      <c r="EZT104" s="3"/>
      <c r="EZU104" s="3"/>
      <c r="EZV104" s="3"/>
      <c r="EZW104" s="3"/>
      <c r="EZX104" s="3"/>
      <c r="EZY104" s="3"/>
      <c r="EZZ104" s="3"/>
      <c r="FAA104" s="3"/>
      <c r="FAB104" s="3"/>
      <c r="FAC104" s="3"/>
      <c r="FAD104" s="3"/>
      <c r="FAE104" s="3"/>
      <c r="FAF104" s="3"/>
      <c r="FAG104" s="3"/>
      <c r="FAH104" s="3"/>
      <c r="FAI104" s="3"/>
      <c r="FAJ104" s="3"/>
      <c r="FAK104" s="3"/>
      <c r="FAL104" s="3"/>
      <c r="FAM104" s="3"/>
      <c r="FAN104" s="3"/>
      <c r="FAO104" s="3"/>
      <c r="FAP104" s="3"/>
      <c r="FAQ104" s="3"/>
      <c r="FAR104" s="3"/>
      <c r="FAS104" s="3"/>
      <c r="FAT104" s="3"/>
      <c r="FAU104" s="3"/>
      <c r="FAV104" s="3"/>
      <c r="FAW104" s="3"/>
      <c r="FAX104" s="3"/>
      <c r="FAY104" s="3"/>
      <c r="FAZ104" s="3"/>
      <c r="FBA104" s="3"/>
      <c r="FBB104" s="3"/>
      <c r="FBC104" s="3"/>
      <c r="FBD104" s="3"/>
      <c r="FBE104" s="3"/>
      <c r="FBF104" s="3"/>
      <c r="FBG104" s="3"/>
      <c r="FBH104" s="3"/>
      <c r="FBI104" s="3"/>
      <c r="FBJ104" s="3"/>
      <c r="FBK104" s="3"/>
      <c r="FBL104" s="3"/>
      <c r="FBM104" s="3"/>
      <c r="FBN104" s="3"/>
      <c r="FBO104" s="3"/>
      <c r="FBP104" s="3"/>
      <c r="FBQ104" s="3"/>
      <c r="FBR104" s="3"/>
      <c r="FBS104" s="3"/>
      <c r="FBT104" s="3"/>
      <c r="FBU104" s="3"/>
      <c r="FBV104" s="3"/>
      <c r="FBW104" s="3"/>
      <c r="FBX104" s="3"/>
      <c r="FBY104" s="3"/>
      <c r="FBZ104" s="3"/>
      <c r="FCA104" s="3"/>
      <c r="FCB104" s="3"/>
      <c r="FCC104" s="3"/>
      <c r="FCD104" s="3"/>
      <c r="FCE104" s="3"/>
      <c r="FCF104" s="3"/>
      <c r="FCG104" s="3"/>
      <c r="FCH104" s="3"/>
      <c r="FCI104" s="3"/>
      <c r="FCJ104" s="3"/>
      <c r="FCK104" s="3"/>
      <c r="FCL104" s="3"/>
      <c r="FCM104" s="3"/>
      <c r="FCN104" s="3"/>
      <c r="FCO104" s="3"/>
      <c r="FCP104" s="3"/>
      <c r="FCQ104" s="3"/>
      <c r="FCR104" s="3"/>
      <c r="FCS104" s="3"/>
      <c r="FCT104" s="3"/>
      <c r="FCU104" s="3"/>
      <c r="FCV104" s="3"/>
      <c r="FCW104" s="3"/>
      <c r="FCX104" s="3"/>
      <c r="FCY104" s="3"/>
      <c r="FCZ104" s="3"/>
      <c r="FDA104" s="3"/>
      <c r="FDB104" s="3"/>
      <c r="FDC104" s="3"/>
      <c r="FDD104" s="3"/>
      <c r="FDE104" s="3"/>
      <c r="FDF104" s="3"/>
      <c r="FDG104" s="3"/>
      <c r="FDH104" s="3"/>
      <c r="FDI104" s="3"/>
      <c r="FDJ104" s="3"/>
      <c r="FDK104" s="3"/>
      <c r="FDL104" s="3"/>
      <c r="FDM104" s="3"/>
      <c r="FDN104" s="3"/>
      <c r="FDO104" s="3"/>
      <c r="FDP104" s="3"/>
      <c r="FDQ104" s="3"/>
      <c r="FDR104" s="3"/>
      <c r="FDS104" s="3"/>
      <c r="FDT104" s="3"/>
      <c r="FDU104" s="3"/>
      <c r="FDV104" s="3"/>
      <c r="FDW104" s="3"/>
      <c r="FDX104" s="3"/>
      <c r="FDY104" s="3"/>
      <c r="FDZ104" s="3"/>
      <c r="FEA104" s="3"/>
      <c r="FEB104" s="3"/>
      <c r="FEC104" s="3"/>
      <c r="FED104" s="3"/>
      <c r="FEE104" s="3"/>
      <c r="FEF104" s="3"/>
      <c r="FEG104" s="3"/>
      <c r="FEH104" s="3"/>
      <c r="FEI104" s="3"/>
      <c r="FEJ104" s="3"/>
      <c r="FEK104" s="3"/>
      <c r="FEL104" s="3"/>
      <c r="FEM104" s="3"/>
      <c r="FEN104" s="3"/>
      <c r="FEO104" s="3"/>
      <c r="FEP104" s="3"/>
      <c r="FEQ104" s="3"/>
      <c r="FER104" s="3"/>
      <c r="FES104" s="3"/>
      <c r="FET104" s="3"/>
      <c r="FEU104" s="3"/>
      <c r="FEV104" s="3"/>
      <c r="FEW104" s="3"/>
      <c r="FEX104" s="3"/>
      <c r="FEY104" s="3"/>
      <c r="FEZ104" s="3"/>
      <c r="FFA104" s="3"/>
      <c r="FFB104" s="3"/>
      <c r="FFC104" s="3"/>
      <c r="FFD104" s="3"/>
      <c r="FFE104" s="3"/>
      <c r="FFF104" s="3"/>
      <c r="FFG104" s="3"/>
      <c r="FFH104" s="3"/>
      <c r="FFI104" s="3"/>
      <c r="FFJ104" s="3"/>
      <c r="FFK104" s="3"/>
      <c r="FFL104" s="3"/>
      <c r="FFM104" s="3"/>
      <c r="FFN104" s="3"/>
      <c r="FFO104" s="3"/>
      <c r="FFP104" s="3"/>
      <c r="FFQ104" s="3"/>
      <c r="FFR104" s="3"/>
      <c r="FFS104" s="3"/>
      <c r="FFT104" s="3"/>
      <c r="FFU104" s="3"/>
      <c r="FFV104" s="3"/>
      <c r="FFW104" s="3"/>
      <c r="FFX104" s="3"/>
      <c r="FFY104" s="3"/>
      <c r="FFZ104" s="3"/>
      <c r="FGA104" s="3"/>
      <c r="FGB104" s="3"/>
      <c r="FGC104" s="3"/>
      <c r="FGD104" s="3"/>
      <c r="FGE104" s="3"/>
      <c r="FGF104" s="3"/>
      <c r="FGG104" s="3"/>
      <c r="FGH104" s="3"/>
      <c r="FGI104" s="3"/>
      <c r="FGJ104" s="3"/>
      <c r="FGK104" s="3"/>
      <c r="FGL104" s="3"/>
      <c r="FGM104" s="3"/>
      <c r="FGN104" s="3"/>
      <c r="FGO104" s="3"/>
      <c r="FGP104" s="3"/>
      <c r="FGQ104" s="3"/>
      <c r="FGR104" s="3"/>
      <c r="FGS104" s="3"/>
      <c r="FGT104" s="3"/>
      <c r="FGU104" s="3"/>
      <c r="FGV104" s="3"/>
      <c r="FGW104" s="3"/>
      <c r="FGX104" s="3"/>
      <c r="FGY104" s="3"/>
      <c r="FGZ104" s="3"/>
      <c r="FHA104" s="3"/>
      <c r="FHB104" s="3"/>
      <c r="FHC104" s="3"/>
      <c r="FHD104" s="3"/>
      <c r="FHE104" s="3"/>
      <c r="FHF104" s="3"/>
      <c r="FHG104" s="3"/>
      <c r="FHH104" s="3"/>
      <c r="FHI104" s="3"/>
      <c r="FHJ104" s="3"/>
      <c r="FHK104" s="3"/>
      <c r="FHL104" s="3"/>
      <c r="FHM104" s="3"/>
      <c r="FHN104" s="3"/>
      <c r="FHO104" s="3"/>
      <c r="FHP104" s="3"/>
      <c r="FHQ104" s="3"/>
      <c r="FHR104" s="3"/>
      <c r="FHS104" s="3"/>
      <c r="FHT104" s="3"/>
      <c r="FHU104" s="3"/>
      <c r="FHV104" s="3"/>
      <c r="FHW104" s="3"/>
      <c r="FHX104" s="3"/>
      <c r="FHY104" s="3"/>
      <c r="FHZ104" s="3"/>
      <c r="FIA104" s="3"/>
      <c r="FIB104" s="3"/>
      <c r="FIC104" s="3"/>
      <c r="FID104" s="3"/>
      <c r="FIE104" s="3"/>
      <c r="FIF104" s="3"/>
      <c r="FIG104" s="3"/>
      <c r="FIH104" s="3"/>
      <c r="FII104" s="3"/>
      <c r="FIJ104" s="3"/>
      <c r="FIK104" s="3"/>
      <c r="FIL104" s="3"/>
      <c r="FIM104" s="3"/>
      <c r="FIN104" s="3"/>
      <c r="FIO104" s="3"/>
      <c r="FIP104" s="3"/>
      <c r="FIQ104" s="3"/>
      <c r="FIR104" s="3"/>
      <c r="FIS104" s="3"/>
      <c r="FIT104" s="3"/>
      <c r="FIU104" s="3"/>
      <c r="FIV104" s="3"/>
      <c r="FIW104" s="3"/>
      <c r="FIX104" s="3"/>
      <c r="FIY104" s="3"/>
      <c r="FIZ104" s="3"/>
      <c r="FJA104" s="3"/>
      <c r="FJB104" s="3"/>
      <c r="FJC104" s="3"/>
      <c r="FJD104" s="3"/>
      <c r="FJE104" s="3"/>
      <c r="FJF104" s="3"/>
      <c r="FJG104" s="3"/>
      <c r="FJH104" s="3"/>
      <c r="FJI104" s="3"/>
      <c r="FJJ104" s="3"/>
      <c r="FJK104" s="3"/>
      <c r="FJL104" s="3"/>
      <c r="FJM104" s="3"/>
      <c r="FJN104" s="3"/>
      <c r="FJO104" s="3"/>
      <c r="FJP104" s="3"/>
      <c r="FJQ104" s="3"/>
      <c r="FJR104" s="3"/>
      <c r="FJS104" s="3"/>
      <c r="FJT104" s="3"/>
      <c r="FJU104" s="3"/>
      <c r="FJV104" s="3"/>
      <c r="FJW104" s="3"/>
      <c r="FJX104" s="3"/>
      <c r="FJY104" s="3"/>
      <c r="FJZ104" s="3"/>
      <c r="FKA104" s="3"/>
      <c r="FKB104" s="3"/>
      <c r="FKC104" s="3"/>
      <c r="FKD104" s="3"/>
      <c r="FKE104" s="3"/>
      <c r="FKF104" s="3"/>
      <c r="FKG104" s="3"/>
      <c r="FKH104" s="3"/>
      <c r="FKI104" s="3"/>
      <c r="FKJ104" s="3"/>
      <c r="FKK104" s="3"/>
      <c r="FKL104" s="3"/>
      <c r="FKM104" s="3"/>
      <c r="FKN104" s="3"/>
      <c r="FKO104" s="3"/>
      <c r="FKP104" s="3"/>
      <c r="FKQ104" s="3"/>
      <c r="FKR104" s="3"/>
      <c r="FKS104" s="3"/>
      <c r="FKT104" s="3"/>
      <c r="FKU104" s="3"/>
      <c r="FKV104" s="3"/>
      <c r="FKW104" s="3"/>
      <c r="FKX104" s="3"/>
      <c r="FKY104" s="3"/>
      <c r="FKZ104" s="3"/>
      <c r="FLA104" s="3"/>
      <c r="FLB104" s="3"/>
      <c r="FLC104" s="3"/>
      <c r="FLD104" s="3"/>
      <c r="FLE104" s="3"/>
      <c r="FLF104" s="3"/>
      <c r="FLG104" s="3"/>
      <c r="FLH104" s="3"/>
      <c r="FLI104" s="3"/>
      <c r="FLJ104" s="3"/>
      <c r="FLK104" s="3"/>
      <c r="FLL104" s="3"/>
      <c r="FLM104" s="3"/>
      <c r="FLN104" s="3"/>
      <c r="FLO104" s="3"/>
      <c r="FLP104" s="3"/>
      <c r="FLQ104" s="3"/>
      <c r="FLR104" s="3"/>
      <c r="FLS104" s="3"/>
      <c r="FLT104" s="3"/>
      <c r="FLU104" s="3"/>
      <c r="FLV104" s="3"/>
      <c r="FLW104" s="3"/>
      <c r="FLX104" s="3"/>
      <c r="FLY104" s="3"/>
      <c r="FLZ104" s="3"/>
      <c r="FMA104" s="3"/>
      <c r="FMB104" s="3"/>
      <c r="FMC104" s="3"/>
      <c r="FMD104" s="3"/>
      <c r="FME104" s="3"/>
      <c r="FMF104" s="3"/>
      <c r="FMG104" s="3"/>
      <c r="FMH104" s="3"/>
      <c r="FMI104" s="3"/>
      <c r="FMJ104" s="3"/>
      <c r="FMK104" s="3"/>
      <c r="FML104" s="3"/>
      <c r="FMM104" s="3"/>
      <c r="FMN104" s="3"/>
      <c r="FMO104" s="3"/>
      <c r="FMP104" s="3"/>
      <c r="FMQ104" s="3"/>
      <c r="FMR104" s="3"/>
      <c r="FMS104" s="3"/>
      <c r="FMT104" s="3"/>
      <c r="FMU104" s="3"/>
      <c r="FMV104" s="3"/>
      <c r="FMW104" s="3"/>
      <c r="FMX104" s="3"/>
      <c r="FMY104" s="3"/>
      <c r="FMZ104" s="3"/>
      <c r="FNA104" s="3"/>
      <c r="FNB104" s="3"/>
      <c r="FNC104" s="3"/>
      <c r="FND104" s="3"/>
      <c r="FNE104" s="3"/>
      <c r="FNF104" s="3"/>
      <c r="FNG104" s="3"/>
      <c r="FNH104" s="3"/>
      <c r="FNI104" s="3"/>
      <c r="FNJ104" s="3"/>
      <c r="FNK104" s="3"/>
      <c r="FNL104" s="3"/>
      <c r="FNM104" s="3"/>
      <c r="FNN104" s="3"/>
      <c r="FNO104" s="3"/>
      <c r="FNP104" s="3"/>
      <c r="FNQ104" s="3"/>
      <c r="FNR104" s="3"/>
      <c r="FNS104" s="3"/>
      <c r="FNT104" s="3"/>
      <c r="FNU104" s="3"/>
      <c r="FNV104" s="3"/>
      <c r="FNW104" s="3"/>
      <c r="FNX104" s="3"/>
      <c r="FNY104" s="3"/>
      <c r="FNZ104" s="3"/>
      <c r="FOA104" s="3"/>
      <c r="FOB104" s="3"/>
      <c r="FOC104" s="3"/>
      <c r="FOD104" s="3"/>
      <c r="FOE104" s="3"/>
      <c r="FOF104" s="3"/>
      <c r="FOG104" s="3"/>
      <c r="FOH104" s="3"/>
      <c r="FOI104" s="3"/>
      <c r="FOJ104" s="3"/>
      <c r="FOK104" s="3"/>
      <c r="FOL104" s="3"/>
      <c r="FOM104" s="3"/>
      <c r="FON104" s="3"/>
      <c r="FOO104" s="3"/>
      <c r="FOP104" s="3"/>
      <c r="FOQ104" s="3"/>
      <c r="FOR104" s="3"/>
      <c r="FOS104" s="3"/>
      <c r="FOT104" s="3"/>
      <c r="FOU104" s="3"/>
      <c r="FOV104" s="3"/>
      <c r="FOW104" s="3"/>
      <c r="FOX104" s="3"/>
      <c r="FOY104" s="3"/>
      <c r="FOZ104" s="3"/>
      <c r="FPA104" s="3"/>
      <c r="FPB104" s="3"/>
      <c r="FPC104" s="3"/>
      <c r="FPD104" s="3"/>
      <c r="FPE104" s="3"/>
      <c r="FPF104" s="3"/>
      <c r="FPG104" s="3"/>
      <c r="FPH104" s="3"/>
      <c r="FPI104" s="3"/>
      <c r="FPJ104" s="3"/>
      <c r="FPK104" s="3"/>
      <c r="FPL104" s="3"/>
      <c r="FPM104" s="3"/>
      <c r="FPN104" s="3"/>
      <c r="FPO104" s="3"/>
      <c r="FPP104" s="3"/>
      <c r="FPQ104" s="3"/>
      <c r="FPR104" s="3"/>
      <c r="FPS104" s="3"/>
      <c r="FPT104" s="3"/>
      <c r="FPU104" s="3"/>
      <c r="FPV104" s="3"/>
      <c r="FPW104" s="3"/>
      <c r="FPX104" s="3"/>
      <c r="FPY104" s="3"/>
      <c r="FPZ104" s="3"/>
      <c r="FQA104" s="3"/>
      <c r="FQB104" s="3"/>
      <c r="FQC104" s="3"/>
      <c r="FQD104" s="3"/>
      <c r="FQE104" s="3"/>
      <c r="FQF104" s="3"/>
      <c r="FQG104" s="3"/>
      <c r="FQH104" s="3"/>
      <c r="FQI104" s="3"/>
      <c r="FQJ104" s="3"/>
      <c r="FQK104" s="3"/>
      <c r="FQL104" s="3"/>
      <c r="FQM104" s="3"/>
      <c r="FQN104" s="3"/>
      <c r="FQO104" s="3"/>
      <c r="FQP104" s="3"/>
      <c r="FQQ104" s="3"/>
      <c r="FQR104" s="3"/>
      <c r="FQS104" s="3"/>
      <c r="FQT104" s="3"/>
      <c r="FQU104" s="3"/>
      <c r="FQV104" s="3"/>
      <c r="FQW104" s="3"/>
      <c r="FQX104" s="3"/>
      <c r="FQY104" s="3"/>
      <c r="FQZ104" s="3"/>
      <c r="FRA104" s="3"/>
      <c r="FRB104" s="3"/>
      <c r="FRC104" s="3"/>
      <c r="FRD104" s="3"/>
      <c r="FRE104" s="3"/>
      <c r="FRF104" s="3"/>
      <c r="FRG104" s="3"/>
      <c r="FRH104" s="3"/>
      <c r="FRI104" s="3"/>
      <c r="FRJ104" s="3"/>
      <c r="FRK104" s="3"/>
      <c r="FRL104" s="3"/>
      <c r="FRM104" s="3"/>
      <c r="FRN104" s="3"/>
      <c r="FRO104" s="3"/>
      <c r="FRP104" s="3"/>
      <c r="FRQ104" s="3"/>
      <c r="FRR104" s="3"/>
      <c r="FRS104" s="3"/>
      <c r="FRT104" s="3"/>
      <c r="FRU104" s="3"/>
      <c r="FRV104" s="3"/>
      <c r="FRW104" s="3"/>
      <c r="FRX104" s="3"/>
      <c r="FRY104" s="3"/>
      <c r="FRZ104" s="3"/>
      <c r="FSA104" s="3"/>
      <c r="FSB104" s="3"/>
      <c r="FSC104" s="3"/>
      <c r="FSD104" s="3"/>
      <c r="FSE104" s="3"/>
      <c r="FSF104" s="3"/>
      <c r="FSG104" s="3"/>
      <c r="FSH104" s="3"/>
      <c r="FSI104" s="3"/>
      <c r="FSJ104" s="3"/>
      <c r="FSK104" s="3"/>
      <c r="FSL104" s="3"/>
      <c r="FSM104" s="3"/>
      <c r="FSN104" s="3"/>
      <c r="FSO104" s="3"/>
      <c r="FSP104" s="3"/>
      <c r="FSQ104" s="3"/>
      <c r="FSR104" s="3"/>
      <c r="FSS104" s="3"/>
      <c r="FST104" s="3"/>
      <c r="FSU104" s="3"/>
      <c r="FSV104" s="3"/>
      <c r="FSW104" s="3"/>
      <c r="FSX104" s="3"/>
      <c r="FSY104" s="3"/>
      <c r="FSZ104" s="3"/>
      <c r="FTA104" s="3"/>
      <c r="FTB104" s="3"/>
      <c r="FTC104" s="3"/>
      <c r="FTD104" s="3"/>
      <c r="FTE104" s="3"/>
      <c r="FTF104" s="3"/>
      <c r="FTG104" s="3"/>
      <c r="FTH104" s="3"/>
      <c r="FTI104" s="3"/>
      <c r="FTJ104" s="3"/>
      <c r="FTK104" s="3"/>
      <c r="FTL104" s="3"/>
      <c r="FTM104" s="3"/>
      <c r="FTN104" s="3"/>
      <c r="FTO104" s="3"/>
      <c r="FTP104" s="3"/>
      <c r="FTQ104" s="3"/>
      <c r="FTR104" s="3"/>
      <c r="FTS104" s="3"/>
      <c r="FTT104" s="3"/>
      <c r="FTU104" s="3"/>
      <c r="FTV104" s="3"/>
      <c r="FTW104" s="3"/>
      <c r="FTX104" s="3"/>
      <c r="FTY104" s="3"/>
      <c r="FTZ104" s="3"/>
      <c r="FUA104" s="3"/>
      <c r="FUB104" s="3"/>
      <c r="FUC104" s="3"/>
      <c r="FUD104" s="3"/>
      <c r="FUE104" s="3"/>
      <c r="FUF104" s="3"/>
      <c r="FUG104" s="3"/>
      <c r="FUH104" s="3"/>
      <c r="FUI104" s="3"/>
      <c r="FUJ104" s="3"/>
      <c r="FUK104" s="3"/>
      <c r="FUL104" s="3"/>
      <c r="FUM104" s="3"/>
      <c r="FUN104" s="3"/>
      <c r="FUO104" s="3"/>
      <c r="FUP104" s="3"/>
      <c r="FUQ104" s="3"/>
      <c r="FUR104" s="3"/>
      <c r="FUS104" s="3"/>
      <c r="FUT104" s="3"/>
      <c r="FUU104" s="3"/>
      <c r="FUV104" s="3"/>
      <c r="FUW104" s="3"/>
      <c r="FUX104" s="3"/>
      <c r="FUY104" s="3"/>
      <c r="FUZ104" s="3"/>
      <c r="FVA104" s="3"/>
      <c r="FVB104" s="3"/>
      <c r="FVC104" s="3"/>
      <c r="FVD104" s="3"/>
      <c r="FVE104" s="3"/>
      <c r="FVF104" s="3"/>
      <c r="FVG104" s="3"/>
      <c r="FVH104" s="3"/>
      <c r="FVI104" s="3"/>
      <c r="FVJ104" s="3"/>
      <c r="FVK104" s="3"/>
      <c r="FVL104" s="3"/>
      <c r="FVM104" s="3"/>
      <c r="FVN104" s="3"/>
      <c r="FVO104" s="3"/>
      <c r="FVP104" s="3"/>
      <c r="FVQ104" s="3"/>
      <c r="FVR104" s="3"/>
      <c r="FVS104" s="3"/>
      <c r="FVT104" s="3"/>
      <c r="FVU104" s="3"/>
      <c r="FVV104" s="3"/>
      <c r="FVW104" s="3"/>
      <c r="FVX104" s="3"/>
      <c r="FVY104" s="3"/>
      <c r="FVZ104" s="3"/>
      <c r="FWA104" s="3"/>
      <c r="FWB104" s="3"/>
      <c r="FWC104" s="3"/>
      <c r="FWD104" s="3"/>
      <c r="FWE104" s="3"/>
      <c r="FWF104" s="3"/>
      <c r="FWG104" s="3"/>
      <c r="FWH104" s="3"/>
      <c r="FWI104" s="3"/>
      <c r="FWJ104" s="3"/>
      <c r="FWK104" s="3"/>
      <c r="FWL104" s="3"/>
      <c r="FWM104" s="3"/>
      <c r="FWN104" s="3"/>
      <c r="FWO104" s="3"/>
      <c r="FWP104" s="3"/>
      <c r="FWQ104" s="3"/>
      <c r="FWR104" s="3"/>
      <c r="FWS104" s="3"/>
      <c r="FWT104" s="3"/>
      <c r="FWU104" s="3"/>
      <c r="FWV104" s="3"/>
      <c r="FWW104" s="3"/>
      <c r="FWX104" s="3"/>
      <c r="FWY104" s="3"/>
      <c r="FWZ104" s="3"/>
      <c r="FXA104" s="3"/>
      <c r="FXB104" s="3"/>
      <c r="FXC104" s="3"/>
      <c r="FXD104" s="3"/>
      <c r="FXE104" s="3"/>
      <c r="FXF104" s="3"/>
      <c r="FXG104" s="3"/>
      <c r="FXH104" s="3"/>
      <c r="FXI104" s="3"/>
      <c r="FXJ104" s="3"/>
      <c r="FXK104" s="3"/>
      <c r="FXL104" s="3"/>
      <c r="FXM104" s="3"/>
      <c r="FXN104" s="3"/>
      <c r="FXO104" s="3"/>
      <c r="FXP104" s="3"/>
      <c r="FXQ104" s="3"/>
      <c r="FXR104" s="3"/>
      <c r="FXS104" s="3"/>
      <c r="FXT104" s="3"/>
      <c r="FXU104" s="3"/>
      <c r="FXV104" s="3"/>
      <c r="FXW104" s="3"/>
      <c r="FXX104" s="3"/>
      <c r="FXY104" s="3"/>
      <c r="FXZ104" s="3"/>
      <c r="FYA104" s="3"/>
      <c r="FYB104" s="3"/>
      <c r="FYC104" s="3"/>
      <c r="FYD104" s="3"/>
      <c r="FYE104" s="3"/>
      <c r="FYF104" s="3"/>
      <c r="FYG104" s="3"/>
      <c r="FYH104" s="3"/>
      <c r="FYI104" s="3"/>
      <c r="FYJ104" s="3"/>
      <c r="FYK104" s="3"/>
      <c r="FYL104" s="3"/>
      <c r="FYM104" s="3"/>
      <c r="FYN104" s="3"/>
      <c r="FYO104" s="3"/>
      <c r="FYP104" s="3"/>
      <c r="FYQ104" s="3"/>
      <c r="FYR104" s="3"/>
      <c r="FYS104" s="3"/>
      <c r="FYT104" s="3"/>
      <c r="FYU104" s="3"/>
      <c r="FYV104" s="3"/>
      <c r="FYW104" s="3"/>
      <c r="FYX104" s="3"/>
      <c r="FYY104" s="3"/>
      <c r="FYZ104" s="3"/>
      <c r="FZA104" s="3"/>
      <c r="FZB104" s="3"/>
      <c r="FZC104" s="3"/>
      <c r="FZD104" s="3"/>
      <c r="FZE104" s="3"/>
      <c r="FZF104" s="3"/>
      <c r="FZG104" s="3"/>
      <c r="FZH104" s="3"/>
      <c r="FZI104" s="3"/>
      <c r="FZJ104" s="3"/>
      <c r="FZK104" s="3"/>
      <c r="FZL104" s="3"/>
      <c r="FZM104" s="3"/>
      <c r="FZN104" s="3"/>
      <c r="FZO104" s="3"/>
      <c r="FZP104" s="3"/>
      <c r="FZQ104" s="3"/>
      <c r="FZR104" s="3"/>
      <c r="FZS104" s="3"/>
      <c r="FZT104" s="3"/>
      <c r="FZU104" s="3"/>
      <c r="FZV104" s="3"/>
      <c r="FZW104" s="3"/>
      <c r="FZX104" s="3"/>
      <c r="FZY104" s="3"/>
      <c r="FZZ104" s="3"/>
      <c r="GAA104" s="3"/>
      <c r="GAB104" s="3"/>
      <c r="GAC104" s="3"/>
      <c r="GAD104" s="3"/>
      <c r="GAE104" s="3"/>
      <c r="GAF104" s="3"/>
      <c r="GAG104" s="3"/>
      <c r="GAH104" s="3"/>
      <c r="GAI104" s="3"/>
      <c r="GAJ104" s="3"/>
      <c r="GAK104" s="3"/>
      <c r="GAL104" s="3"/>
      <c r="GAM104" s="3"/>
      <c r="GAN104" s="3"/>
      <c r="GAO104" s="3"/>
      <c r="GAP104" s="3"/>
      <c r="GAQ104" s="3"/>
      <c r="GAR104" s="3"/>
      <c r="GAS104" s="3"/>
      <c r="GAT104" s="3"/>
      <c r="GAU104" s="3"/>
      <c r="GAV104" s="3"/>
      <c r="GAW104" s="3"/>
      <c r="GAX104" s="3"/>
      <c r="GAY104" s="3"/>
      <c r="GAZ104" s="3"/>
      <c r="GBA104" s="3"/>
      <c r="GBB104" s="3"/>
      <c r="GBC104" s="3"/>
      <c r="GBD104" s="3"/>
      <c r="GBE104" s="3"/>
      <c r="GBF104" s="3"/>
      <c r="GBG104" s="3"/>
      <c r="GBH104" s="3"/>
      <c r="GBI104" s="3"/>
      <c r="GBJ104" s="3"/>
      <c r="GBK104" s="3"/>
      <c r="GBL104" s="3"/>
      <c r="GBM104" s="3"/>
      <c r="GBN104" s="3"/>
      <c r="GBO104" s="3"/>
      <c r="GBP104" s="3"/>
      <c r="GBQ104" s="3"/>
      <c r="GBR104" s="3"/>
      <c r="GBS104" s="3"/>
      <c r="GBT104" s="3"/>
      <c r="GBU104" s="3"/>
      <c r="GBV104" s="3"/>
      <c r="GBW104" s="3"/>
      <c r="GBX104" s="3"/>
      <c r="GBY104" s="3"/>
      <c r="GBZ104" s="3"/>
      <c r="GCA104" s="3"/>
      <c r="GCB104" s="3"/>
      <c r="GCC104" s="3"/>
      <c r="GCD104" s="3"/>
      <c r="GCE104" s="3"/>
      <c r="GCF104" s="3"/>
      <c r="GCG104" s="3"/>
      <c r="GCH104" s="3"/>
      <c r="GCI104" s="3"/>
      <c r="GCJ104" s="3"/>
      <c r="GCK104" s="3"/>
      <c r="GCL104" s="3"/>
      <c r="GCM104" s="3"/>
      <c r="GCN104" s="3"/>
      <c r="GCO104" s="3"/>
      <c r="GCP104" s="3"/>
      <c r="GCQ104" s="3"/>
      <c r="GCR104" s="3"/>
      <c r="GCS104" s="3"/>
      <c r="GCT104" s="3"/>
      <c r="GCU104" s="3"/>
      <c r="GCV104" s="3"/>
      <c r="GCW104" s="3"/>
      <c r="GCX104" s="3"/>
      <c r="GCY104" s="3"/>
      <c r="GCZ104" s="3"/>
      <c r="GDA104" s="3"/>
      <c r="GDB104" s="3"/>
      <c r="GDC104" s="3"/>
      <c r="GDD104" s="3"/>
      <c r="GDE104" s="3"/>
      <c r="GDF104" s="3"/>
      <c r="GDG104" s="3"/>
      <c r="GDH104" s="3"/>
      <c r="GDI104" s="3"/>
      <c r="GDJ104" s="3"/>
      <c r="GDK104" s="3"/>
      <c r="GDL104" s="3"/>
      <c r="GDM104" s="3"/>
      <c r="GDN104" s="3"/>
      <c r="GDO104" s="3"/>
      <c r="GDP104" s="3"/>
      <c r="GDQ104" s="3"/>
      <c r="GDR104" s="3"/>
      <c r="GDS104" s="3"/>
      <c r="GDT104" s="3"/>
      <c r="GDU104" s="3"/>
      <c r="GDV104" s="3"/>
      <c r="GDW104" s="3"/>
      <c r="GDX104" s="3"/>
      <c r="GDY104" s="3"/>
      <c r="GDZ104" s="3"/>
      <c r="GEA104" s="3"/>
      <c r="GEB104" s="3"/>
      <c r="GEC104" s="3"/>
      <c r="GED104" s="3"/>
      <c r="GEE104" s="3"/>
      <c r="GEF104" s="3"/>
      <c r="GEG104" s="3"/>
      <c r="GEH104" s="3"/>
      <c r="GEI104" s="3"/>
      <c r="GEJ104" s="3"/>
      <c r="GEK104" s="3"/>
      <c r="GEL104" s="3"/>
      <c r="GEM104" s="3"/>
      <c r="GEN104" s="3"/>
      <c r="GEO104" s="3"/>
      <c r="GEP104" s="3"/>
      <c r="GEQ104" s="3"/>
      <c r="GER104" s="3"/>
      <c r="GES104" s="3"/>
      <c r="GET104" s="3"/>
      <c r="GEU104" s="3"/>
      <c r="GEV104" s="3"/>
      <c r="GEW104" s="3"/>
      <c r="GEX104" s="3"/>
      <c r="GEY104" s="3"/>
      <c r="GEZ104" s="3"/>
      <c r="GFA104" s="3"/>
      <c r="GFB104" s="3"/>
      <c r="GFC104" s="3"/>
      <c r="GFD104" s="3"/>
      <c r="GFE104" s="3"/>
      <c r="GFF104" s="3"/>
      <c r="GFG104" s="3"/>
      <c r="GFH104" s="3"/>
      <c r="GFI104" s="3"/>
      <c r="GFJ104" s="3"/>
      <c r="GFK104" s="3"/>
      <c r="GFL104" s="3"/>
      <c r="GFM104" s="3"/>
      <c r="GFN104" s="3"/>
      <c r="GFO104" s="3"/>
      <c r="GFP104" s="3"/>
      <c r="GFQ104" s="3"/>
      <c r="GFR104" s="3"/>
      <c r="GFS104" s="3"/>
      <c r="GFT104" s="3"/>
      <c r="GFU104" s="3"/>
      <c r="GFV104" s="3"/>
      <c r="GFW104" s="3"/>
      <c r="GFX104" s="3"/>
      <c r="GFY104" s="3"/>
      <c r="GFZ104" s="3"/>
      <c r="GGA104" s="3"/>
      <c r="GGB104" s="3"/>
      <c r="GGC104" s="3"/>
      <c r="GGD104" s="3"/>
      <c r="GGE104" s="3"/>
      <c r="GGF104" s="3"/>
      <c r="GGG104" s="3"/>
      <c r="GGH104" s="3"/>
      <c r="GGI104" s="3"/>
      <c r="GGJ104" s="3"/>
      <c r="GGK104" s="3"/>
      <c r="GGL104" s="3"/>
      <c r="GGM104" s="3"/>
      <c r="GGN104" s="3"/>
      <c r="GGO104" s="3"/>
      <c r="GGP104" s="3"/>
      <c r="GGQ104" s="3"/>
      <c r="GGR104" s="3"/>
      <c r="GGS104" s="3"/>
      <c r="GGT104" s="3"/>
      <c r="GGU104" s="3"/>
      <c r="GGV104" s="3"/>
      <c r="GGW104" s="3"/>
      <c r="GGX104" s="3"/>
      <c r="GGY104" s="3"/>
      <c r="GGZ104" s="3"/>
      <c r="GHA104" s="3"/>
      <c r="GHB104" s="3"/>
      <c r="GHC104" s="3"/>
      <c r="GHD104" s="3"/>
      <c r="GHE104" s="3"/>
      <c r="GHF104" s="3"/>
      <c r="GHG104" s="3"/>
      <c r="GHH104" s="3"/>
      <c r="GHI104" s="3"/>
      <c r="GHJ104" s="3"/>
      <c r="GHK104" s="3"/>
      <c r="GHL104" s="3"/>
      <c r="GHM104" s="3"/>
      <c r="GHN104" s="3"/>
      <c r="GHO104" s="3"/>
      <c r="GHP104" s="3"/>
      <c r="GHQ104" s="3"/>
      <c r="GHR104" s="3"/>
      <c r="GHS104" s="3"/>
      <c r="GHT104" s="3"/>
      <c r="GHU104" s="3"/>
      <c r="GHV104" s="3"/>
      <c r="GHW104" s="3"/>
      <c r="GHX104" s="3"/>
      <c r="GHY104" s="3"/>
      <c r="GHZ104" s="3"/>
      <c r="GIA104" s="3"/>
      <c r="GIB104" s="3"/>
      <c r="GIC104" s="3"/>
      <c r="GID104" s="3"/>
      <c r="GIE104" s="3"/>
      <c r="GIF104" s="3"/>
      <c r="GIG104" s="3"/>
      <c r="GIH104" s="3"/>
      <c r="GII104" s="3"/>
      <c r="GIJ104" s="3"/>
      <c r="GIK104" s="3"/>
      <c r="GIL104" s="3"/>
      <c r="GIM104" s="3"/>
      <c r="GIN104" s="3"/>
      <c r="GIO104" s="3"/>
      <c r="GIP104" s="3"/>
      <c r="GIQ104" s="3"/>
      <c r="GIR104" s="3"/>
      <c r="GIS104" s="3"/>
      <c r="GIT104" s="3"/>
      <c r="GIU104" s="3"/>
      <c r="GIV104" s="3"/>
      <c r="GIW104" s="3"/>
      <c r="GIX104" s="3"/>
      <c r="GIY104" s="3"/>
      <c r="GIZ104" s="3"/>
      <c r="GJA104" s="3"/>
      <c r="GJB104" s="3"/>
      <c r="GJC104" s="3"/>
      <c r="GJD104" s="3"/>
      <c r="GJE104" s="3"/>
      <c r="GJF104" s="3"/>
      <c r="GJG104" s="3"/>
      <c r="GJH104" s="3"/>
      <c r="GJI104" s="3"/>
      <c r="GJJ104" s="3"/>
      <c r="GJK104" s="3"/>
      <c r="GJL104" s="3"/>
      <c r="GJM104" s="3"/>
      <c r="GJN104" s="3"/>
      <c r="GJO104" s="3"/>
      <c r="GJP104" s="3"/>
      <c r="GJQ104" s="3"/>
      <c r="GJR104" s="3"/>
      <c r="GJS104" s="3"/>
      <c r="GJT104" s="3"/>
      <c r="GJU104" s="3"/>
      <c r="GJV104" s="3"/>
      <c r="GJW104" s="3"/>
      <c r="GJX104" s="3"/>
      <c r="GJY104" s="3"/>
      <c r="GJZ104" s="3"/>
      <c r="GKA104" s="3"/>
      <c r="GKB104" s="3"/>
      <c r="GKC104" s="3"/>
      <c r="GKD104" s="3"/>
      <c r="GKE104" s="3"/>
      <c r="GKF104" s="3"/>
      <c r="GKG104" s="3"/>
      <c r="GKH104" s="3"/>
      <c r="GKI104" s="3"/>
      <c r="GKJ104" s="3"/>
      <c r="GKK104" s="3"/>
      <c r="GKL104" s="3"/>
      <c r="GKM104" s="3"/>
      <c r="GKN104" s="3"/>
      <c r="GKO104" s="3"/>
      <c r="GKP104" s="3"/>
      <c r="GKQ104" s="3"/>
      <c r="GKR104" s="3"/>
      <c r="GKS104" s="3"/>
      <c r="GKT104" s="3"/>
      <c r="GKU104" s="3"/>
      <c r="GKV104" s="3"/>
      <c r="GKW104" s="3"/>
      <c r="GKX104" s="3"/>
      <c r="GKY104" s="3"/>
      <c r="GKZ104" s="3"/>
      <c r="GLA104" s="3"/>
      <c r="GLB104" s="3"/>
      <c r="GLC104" s="3"/>
      <c r="GLD104" s="3"/>
      <c r="GLE104" s="3"/>
      <c r="GLF104" s="3"/>
      <c r="GLG104" s="3"/>
      <c r="GLH104" s="3"/>
      <c r="GLI104" s="3"/>
      <c r="GLJ104" s="3"/>
      <c r="GLK104" s="3"/>
      <c r="GLL104" s="3"/>
      <c r="GLM104" s="3"/>
      <c r="GLN104" s="3"/>
      <c r="GLO104" s="3"/>
      <c r="GLP104" s="3"/>
      <c r="GLQ104" s="3"/>
      <c r="GLR104" s="3"/>
      <c r="GLS104" s="3"/>
      <c r="GLT104" s="3"/>
      <c r="GLU104" s="3"/>
      <c r="GLV104" s="3"/>
      <c r="GLW104" s="3"/>
      <c r="GLX104" s="3"/>
      <c r="GLY104" s="3"/>
      <c r="GLZ104" s="3"/>
      <c r="GMA104" s="3"/>
      <c r="GMB104" s="3"/>
      <c r="GMC104" s="3"/>
      <c r="GMD104" s="3"/>
      <c r="GME104" s="3"/>
      <c r="GMF104" s="3"/>
      <c r="GMG104" s="3"/>
      <c r="GMH104" s="3"/>
      <c r="GMI104" s="3"/>
      <c r="GMJ104" s="3"/>
      <c r="GMK104" s="3"/>
      <c r="GML104" s="3"/>
      <c r="GMM104" s="3"/>
      <c r="GMN104" s="3"/>
      <c r="GMO104" s="3"/>
      <c r="GMP104" s="3"/>
      <c r="GMQ104" s="3"/>
      <c r="GMR104" s="3"/>
      <c r="GMS104" s="3"/>
      <c r="GMT104" s="3"/>
      <c r="GMU104" s="3"/>
      <c r="GMV104" s="3"/>
      <c r="GMW104" s="3"/>
      <c r="GMX104" s="3"/>
      <c r="GMY104" s="3"/>
      <c r="GMZ104" s="3"/>
      <c r="GNA104" s="3"/>
      <c r="GNB104" s="3"/>
      <c r="GNC104" s="3"/>
      <c r="GND104" s="3"/>
      <c r="GNE104" s="3"/>
      <c r="GNF104" s="3"/>
      <c r="GNG104" s="3"/>
      <c r="GNH104" s="3"/>
      <c r="GNI104" s="3"/>
      <c r="GNJ104" s="3"/>
      <c r="GNK104" s="3"/>
      <c r="GNL104" s="3"/>
      <c r="GNM104" s="3"/>
      <c r="GNN104" s="3"/>
      <c r="GNO104" s="3"/>
      <c r="GNP104" s="3"/>
      <c r="GNQ104" s="3"/>
      <c r="GNR104" s="3"/>
      <c r="GNS104" s="3"/>
      <c r="GNT104" s="3"/>
      <c r="GNU104" s="3"/>
      <c r="GNV104" s="3"/>
      <c r="GNW104" s="3"/>
      <c r="GNX104" s="3"/>
      <c r="GNY104" s="3"/>
      <c r="GNZ104" s="3"/>
      <c r="GOA104" s="3"/>
      <c r="GOB104" s="3"/>
      <c r="GOC104" s="3"/>
      <c r="GOD104" s="3"/>
      <c r="GOE104" s="3"/>
      <c r="GOF104" s="3"/>
      <c r="GOG104" s="3"/>
      <c r="GOH104" s="3"/>
      <c r="GOI104" s="3"/>
      <c r="GOJ104" s="3"/>
      <c r="GOK104" s="3"/>
      <c r="GOL104" s="3"/>
      <c r="GOM104" s="3"/>
      <c r="GON104" s="3"/>
      <c r="GOO104" s="3"/>
      <c r="GOP104" s="3"/>
      <c r="GOQ104" s="3"/>
      <c r="GOR104" s="3"/>
      <c r="GOS104" s="3"/>
      <c r="GOT104" s="3"/>
      <c r="GOU104" s="3"/>
      <c r="GOV104" s="3"/>
      <c r="GOW104" s="3"/>
      <c r="GOX104" s="3"/>
      <c r="GOY104" s="3"/>
      <c r="GOZ104" s="3"/>
      <c r="GPA104" s="3"/>
      <c r="GPB104" s="3"/>
      <c r="GPC104" s="3"/>
      <c r="GPD104" s="3"/>
      <c r="GPE104" s="3"/>
      <c r="GPF104" s="3"/>
      <c r="GPG104" s="3"/>
      <c r="GPH104" s="3"/>
      <c r="GPI104" s="3"/>
      <c r="GPJ104" s="3"/>
      <c r="GPK104" s="3"/>
      <c r="GPL104" s="3"/>
      <c r="GPM104" s="3"/>
      <c r="GPN104" s="3"/>
      <c r="GPO104" s="3"/>
      <c r="GPP104" s="3"/>
      <c r="GPQ104" s="3"/>
      <c r="GPR104" s="3"/>
      <c r="GPS104" s="3"/>
      <c r="GPT104" s="3"/>
      <c r="GPU104" s="3"/>
      <c r="GPV104" s="3"/>
      <c r="GPW104" s="3"/>
      <c r="GPX104" s="3"/>
      <c r="GPY104" s="3"/>
      <c r="GPZ104" s="3"/>
      <c r="GQA104" s="3"/>
      <c r="GQB104" s="3"/>
      <c r="GQC104" s="3"/>
      <c r="GQD104" s="3"/>
      <c r="GQE104" s="3"/>
      <c r="GQF104" s="3"/>
      <c r="GQG104" s="3"/>
      <c r="GQH104" s="3"/>
      <c r="GQI104" s="3"/>
      <c r="GQJ104" s="3"/>
      <c r="GQK104" s="3"/>
      <c r="GQL104" s="3"/>
      <c r="GQM104" s="3"/>
      <c r="GQN104" s="3"/>
      <c r="GQO104" s="3"/>
      <c r="GQP104" s="3"/>
      <c r="GQQ104" s="3"/>
      <c r="GQR104" s="3"/>
      <c r="GQS104" s="3"/>
      <c r="GQT104" s="3"/>
      <c r="GQU104" s="3"/>
      <c r="GQV104" s="3"/>
      <c r="GQW104" s="3"/>
      <c r="GQX104" s="3"/>
      <c r="GQY104" s="3"/>
      <c r="GQZ104" s="3"/>
      <c r="GRA104" s="3"/>
      <c r="GRB104" s="3"/>
      <c r="GRC104" s="3"/>
      <c r="GRD104" s="3"/>
      <c r="GRE104" s="3"/>
      <c r="GRF104" s="3"/>
      <c r="GRG104" s="3"/>
      <c r="GRH104" s="3"/>
      <c r="GRI104" s="3"/>
      <c r="GRJ104" s="3"/>
      <c r="GRK104" s="3"/>
      <c r="GRL104" s="3"/>
      <c r="GRM104" s="3"/>
      <c r="GRN104" s="3"/>
      <c r="GRO104" s="3"/>
      <c r="GRP104" s="3"/>
      <c r="GRQ104" s="3"/>
      <c r="GRR104" s="3"/>
      <c r="GRS104" s="3"/>
      <c r="GRT104" s="3"/>
      <c r="GRU104" s="3"/>
      <c r="GRV104" s="3"/>
      <c r="GRW104" s="3"/>
      <c r="GRX104" s="3"/>
      <c r="GRY104" s="3"/>
      <c r="GRZ104" s="3"/>
      <c r="GSA104" s="3"/>
      <c r="GSB104" s="3"/>
      <c r="GSC104" s="3"/>
      <c r="GSD104" s="3"/>
      <c r="GSE104" s="3"/>
      <c r="GSF104" s="3"/>
      <c r="GSG104" s="3"/>
      <c r="GSH104" s="3"/>
      <c r="GSI104" s="3"/>
      <c r="GSJ104" s="3"/>
      <c r="GSK104" s="3"/>
      <c r="GSL104" s="3"/>
      <c r="GSM104" s="3"/>
      <c r="GSN104" s="3"/>
      <c r="GSO104" s="3"/>
      <c r="GSP104" s="3"/>
      <c r="GSQ104" s="3"/>
      <c r="GSR104" s="3"/>
      <c r="GSS104" s="3"/>
      <c r="GST104" s="3"/>
      <c r="GSU104" s="3"/>
      <c r="GSV104" s="3"/>
      <c r="GSW104" s="3"/>
      <c r="GSX104" s="3"/>
      <c r="GSY104" s="3"/>
      <c r="GSZ104" s="3"/>
      <c r="GTA104" s="3"/>
      <c r="GTB104" s="3"/>
      <c r="GTC104" s="3"/>
      <c r="GTD104" s="3"/>
      <c r="GTE104" s="3"/>
      <c r="GTF104" s="3"/>
      <c r="GTG104" s="3"/>
      <c r="GTH104" s="3"/>
      <c r="GTI104" s="3"/>
      <c r="GTJ104" s="3"/>
      <c r="GTK104" s="3"/>
      <c r="GTL104" s="3"/>
      <c r="GTM104" s="3"/>
      <c r="GTN104" s="3"/>
      <c r="GTO104" s="3"/>
      <c r="GTP104" s="3"/>
      <c r="GTQ104" s="3"/>
      <c r="GTR104" s="3"/>
      <c r="GTS104" s="3"/>
      <c r="GTT104" s="3"/>
      <c r="GTU104" s="3"/>
      <c r="GTV104" s="3"/>
      <c r="GTW104" s="3"/>
      <c r="GTX104" s="3"/>
      <c r="GTY104" s="3"/>
      <c r="GTZ104" s="3"/>
      <c r="GUA104" s="3"/>
      <c r="GUB104" s="3"/>
      <c r="GUC104" s="3"/>
      <c r="GUD104" s="3"/>
      <c r="GUE104" s="3"/>
      <c r="GUF104" s="3"/>
      <c r="GUG104" s="3"/>
      <c r="GUH104" s="3"/>
      <c r="GUI104" s="3"/>
      <c r="GUJ104" s="3"/>
      <c r="GUK104" s="3"/>
      <c r="GUL104" s="3"/>
      <c r="GUM104" s="3"/>
      <c r="GUN104" s="3"/>
      <c r="GUO104" s="3"/>
      <c r="GUP104" s="3"/>
      <c r="GUQ104" s="3"/>
      <c r="GUR104" s="3"/>
      <c r="GUS104" s="3"/>
      <c r="GUT104" s="3"/>
      <c r="GUU104" s="3"/>
      <c r="GUV104" s="3"/>
      <c r="GUW104" s="3"/>
      <c r="GUX104" s="3"/>
      <c r="GUY104" s="3"/>
      <c r="GUZ104" s="3"/>
      <c r="GVA104" s="3"/>
      <c r="GVB104" s="3"/>
      <c r="GVC104" s="3"/>
      <c r="GVD104" s="3"/>
      <c r="GVE104" s="3"/>
      <c r="GVF104" s="3"/>
      <c r="GVG104" s="3"/>
      <c r="GVH104" s="3"/>
      <c r="GVI104" s="3"/>
      <c r="GVJ104" s="3"/>
      <c r="GVK104" s="3"/>
      <c r="GVL104" s="3"/>
      <c r="GVM104" s="3"/>
      <c r="GVN104" s="3"/>
      <c r="GVO104" s="3"/>
      <c r="GVP104" s="3"/>
      <c r="GVQ104" s="3"/>
      <c r="GVR104" s="3"/>
      <c r="GVS104" s="3"/>
      <c r="GVT104" s="3"/>
      <c r="GVU104" s="3"/>
      <c r="GVV104" s="3"/>
      <c r="GVW104" s="3"/>
      <c r="GVX104" s="3"/>
      <c r="GVY104" s="3"/>
      <c r="GVZ104" s="3"/>
      <c r="GWA104" s="3"/>
      <c r="GWB104" s="3"/>
      <c r="GWC104" s="3"/>
      <c r="GWD104" s="3"/>
      <c r="GWE104" s="3"/>
      <c r="GWF104" s="3"/>
      <c r="GWG104" s="3"/>
      <c r="GWH104" s="3"/>
      <c r="GWI104" s="3"/>
      <c r="GWJ104" s="3"/>
      <c r="GWK104" s="3"/>
      <c r="GWL104" s="3"/>
      <c r="GWM104" s="3"/>
      <c r="GWN104" s="3"/>
      <c r="GWO104" s="3"/>
      <c r="GWP104" s="3"/>
      <c r="GWQ104" s="3"/>
      <c r="GWR104" s="3"/>
      <c r="GWS104" s="3"/>
      <c r="GWT104" s="3"/>
      <c r="GWU104" s="3"/>
      <c r="GWV104" s="3"/>
      <c r="GWW104" s="3"/>
      <c r="GWX104" s="3"/>
      <c r="GWY104" s="3"/>
      <c r="GWZ104" s="3"/>
      <c r="GXA104" s="3"/>
      <c r="GXB104" s="3"/>
      <c r="GXC104" s="3"/>
      <c r="GXD104" s="3"/>
      <c r="GXE104" s="3"/>
      <c r="GXF104" s="3"/>
      <c r="GXG104" s="3"/>
      <c r="GXH104" s="3"/>
      <c r="GXI104" s="3"/>
      <c r="GXJ104" s="3"/>
      <c r="GXK104" s="3"/>
      <c r="GXL104" s="3"/>
      <c r="GXM104" s="3"/>
      <c r="GXN104" s="3"/>
      <c r="GXO104" s="3"/>
      <c r="GXP104" s="3"/>
      <c r="GXQ104" s="3"/>
      <c r="GXR104" s="3"/>
      <c r="GXS104" s="3"/>
      <c r="GXT104" s="3"/>
      <c r="GXU104" s="3"/>
      <c r="GXV104" s="3"/>
      <c r="GXW104" s="3"/>
      <c r="GXX104" s="3"/>
      <c r="GXY104" s="3"/>
      <c r="GXZ104" s="3"/>
      <c r="GYA104" s="3"/>
      <c r="GYB104" s="3"/>
      <c r="GYC104" s="3"/>
      <c r="GYD104" s="3"/>
      <c r="GYE104" s="3"/>
      <c r="GYF104" s="3"/>
      <c r="GYG104" s="3"/>
      <c r="GYH104" s="3"/>
      <c r="GYI104" s="3"/>
      <c r="GYJ104" s="3"/>
      <c r="GYK104" s="3"/>
      <c r="GYL104" s="3"/>
      <c r="GYM104" s="3"/>
      <c r="GYN104" s="3"/>
      <c r="GYO104" s="3"/>
      <c r="GYP104" s="3"/>
      <c r="GYQ104" s="3"/>
      <c r="GYR104" s="3"/>
      <c r="GYS104" s="3"/>
      <c r="GYT104" s="3"/>
      <c r="GYU104" s="3"/>
      <c r="GYV104" s="3"/>
      <c r="GYW104" s="3"/>
      <c r="GYX104" s="3"/>
      <c r="GYY104" s="3"/>
      <c r="GYZ104" s="3"/>
      <c r="GZA104" s="3"/>
      <c r="GZB104" s="3"/>
      <c r="GZC104" s="3"/>
      <c r="GZD104" s="3"/>
      <c r="GZE104" s="3"/>
      <c r="GZF104" s="3"/>
      <c r="GZG104" s="3"/>
      <c r="GZH104" s="3"/>
      <c r="GZI104" s="3"/>
      <c r="GZJ104" s="3"/>
      <c r="GZK104" s="3"/>
      <c r="GZL104" s="3"/>
      <c r="GZM104" s="3"/>
      <c r="GZN104" s="3"/>
      <c r="GZO104" s="3"/>
      <c r="GZP104" s="3"/>
      <c r="GZQ104" s="3"/>
      <c r="GZR104" s="3"/>
      <c r="GZS104" s="3"/>
      <c r="GZT104" s="3"/>
      <c r="GZU104" s="3"/>
      <c r="GZV104" s="3"/>
      <c r="GZW104" s="3"/>
      <c r="GZX104" s="3"/>
      <c r="GZY104" s="3"/>
      <c r="GZZ104" s="3"/>
      <c r="HAA104" s="3"/>
      <c r="HAB104" s="3"/>
      <c r="HAC104" s="3"/>
      <c r="HAD104" s="3"/>
      <c r="HAE104" s="3"/>
      <c r="HAF104" s="3"/>
      <c r="HAG104" s="3"/>
      <c r="HAH104" s="3"/>
      <c r="HAI104" s="3"/>
      <c r="HAJ104" s="3"/>
      <c r="HAK104" s="3"/>
      <c r="HAL104" s="3"/>
      <c r="HAM104" s="3"/>
      <c r="HAN104" s="3"/>
      <c r="HAO104" s="3"/>
      <c r="HAP104" s="3"/>
      <c r="HAQ104" s="3"/>
      <c r="HAR104" s="3"/>
      <c r="HAS104" s="3"/>
      <c r="HAT104" s="3"/>
      <c r="HAU104" s="3"/>
      <c r="HAV104" s="3"/>
      <c r="HAW104" s="3"/>
      <c r="HAX104" s="3"/>
      <c r="HAY104" s="3"/>
      <c r="HAZ104" s="3"/>
      <c r="HBA104" s="3"/>
      <c r="HBB104" s="3"/>
      <c r="HBC104" s="3"/>
      <c r="HBD104" s="3"/>
      <c r="HBE104" s="3"/>
      <c r="HBF104" s="3"/>
      <c r="HBG104" s="3"/>
      <c r="HBH104" s="3"/>
      <c r="HBI104" s="3"/>
      <c r="HBJ104" s="3"/>
      <c r="HBK104" s="3"/>
      <c r="HBL104" s="3"/>
      <c r="HBM104" s="3"/>
      <c r="HBN104" s="3"/>
      <c r="HBO104" s="3"/>
      <c r="HBP104" s="3"/>
      <c r="HBQ104" s="3"/>
      <c r="HBR104" s="3"/>
      <c r="HBS104" s="3"/>
      <c r="HBT104" s="3"/>
      <c r="HBU104" s="3"/>
      <c r="HBV104" s="3"/>
      <c r="HBW104" s="3"/>
      <c r="HBX104" s="3"/>
      <c r="HBY104" s="3"/>
      <c r="HBZ104" s="3"/>
      <c r="HCA104" s="3"/>
      <c r="HCB104" s="3"/>
      <c r="HCC104" s="3"/>
      <c r="HCD104" s="3"/>
      <c r="HCE104" s="3"/>
      <c r="HCF104" s="3"/>
      <c r="HCG104" s="3"/>
      <c r="HCH104" s="3"/>
      <c r="HCI104" s="3"/>
      <c r="HCJ104" s="3"/>
      <c r="HCK104" s="3"/>
      <c r="HCL104" s="3"/>
      <c r="HCM104" s="3"/>
      <c r="HCN104" s="3"/>
      <c r="HCO104" s="3"/>
      <c r="HCP104" s="3"/>
      <c r="HCQ104" s="3"/>
      <c r="HCR104" s="3"/>
      <c r="HCS104" s="3"/>
      <c r="HCT104" s="3"/>
      <c r="HCU104" s="3"/>
      <c r="HCV104" s="3"/>
      <c r="HCW104" s="3"/>
      <c r="HCX104" s="3"/>
      <c r="HCY104" s="3"/>
      <c r="HCZ104" s="3"/>
      <c r="HDA104" s="3"/>
      <c r="HDB104" s="3"/>
      <c r="HDC104" s="3"/>
      <c r="HDD104" s="3"/>
      <c r="HDE104" s="3"/>
      <c r="HDF104" s="3"/>
      <c r="HDG104" s="3"/>
      <c r="HDH104" s="3"/>
      <c r="HDI104" s="3"/>
      <c r="HDJ104" s="3"/>
      <c r="HDK104" s="3"/>
      <c r="HDL104" s="3"/>
      <c r="HDM104" s="3"/>
      <c r="HDN104" s="3"/>
      <c r="HDO104" s="3"/>
      <c r="HDP104" s="3"/>
      <c r="HDQ104" s="3"/>
      <c r="HDR104" s="3"/>
      <c r="HDS104" s="3"/>
      <c r="HDT104" s="3"/>
      <c r="HDU104" s="3"/>
      <c r="HDV104" s="3"/>
      <c r="HDW104" s="3"/>
      <c r="HDX104" s="3"/>
      <c r="HDY104" s="3"/>
      <c r="HDZ104" s="3"/>
      <c r="HEA104" s="3"/>
      <c r="HEB104" s="3"/>
      <c r="HEC104" s="3"/>
      <c r="HED104" s="3"/>
      <c r="HEE104" s="3"/>
      <c r="HEF104" s="3"/>
      <c r="HEG104" s="3"/>
      <c r="HEH104" s="3"/>
      <c r="HEI104" s="3"/>
      <c r="HEJ104" s="3"/>
      <c r="HEK104" s="3"/>
      <c r="HEL104" s="3"/>
      <c r="HEM104" s="3"/>
      <c r="HEN104" s="3"/>
      <c r="HEO104" s="3"/>
      <c r="HEP104" s="3"/>
      <c r="HEQ104" s="3"/>
      <c r="HER104" s="3"/>
      <c r="HES104" s="3"/>
      <c r="HET104" s="3"/>
      <c r="HEU104" s="3"/>
      <c r="HEV104" s="3"/>
      <c r="HEW104" s="3"/>
      <c r="HEX104" s="3"/>
      <c r="HEY104" s="3"/>
      <c r="HEZ104" s="3"/>
      <c r="HFA104" s="3"/>
      <c r="HFB104" s="3"/>
      <c r="HFC104" s="3"/>
      <c r="HFD104" s="3"/>
      <c r="HFE104" s="3"/>
      <c r="HFF104" s="3"/>
      <c r="HFG104" s="3"/>
      <c r="HFH104" s="3"/>
      <c r="HFI104" s="3"/>
      <c r="HFJ104" s="3"/>
      <c r="HFK104" s="3"/>
      <c r="HFL104" s="3"/>
      <c r="HFM104" s="3"/>
      <c r="HFN104" s="3"/>
      <c r="HFO104" s="3"/>
      <c r="HFP104" s="3"/>
      <c r="HFQ104" s="3"/>
      <c r="HFR104" s="3"/>
      <c r="HFS104" s="3"/>
      <c r="HFT104" s="3"/>
      <c r="HFU104" s="3"/>
      <c r="HFV104" s="3"/>
      <c r="HFW104" s="3"/>
      <c r="HFX104" s="3"/>
      <c r="HFY104" s="3"/>
      <c r="HFZ104" s="3"/>
      <c r="HGA104" s="3"/>
      <c r="HGB104" s="3"/>
      <c r="HGC104" s="3"/>
      <c r="HGD104" s="3"/>
      <c r="HGE104" s="3"/>
      <c r="HGF104" s="3"/>
      <c r="HGG104" s="3"/>
      <c r="HGH104" s="3"/>
      <c r="HGI104" s="3"/>
      <c r="HGJ104" s="3"/>
      <c r="HGK104" s="3"/>
      <c r="HGL104" s="3"/>
      <c r="HGM104" s="3"/>
      <c r="HGN104" s="3"/>
      <c r="HGO104" s="3"/>
      <c r="HGP104" s="3"/>
      <c r="HGQ104" s="3"/>
      <c r="HGR104" s="3"/>
      <c r="HGS104" s="3"/>
      <c r="HGT104" s="3"/>
      <c r="HGU104" s="3"/>
      <c r="HGV104" s="3"/>
      <c r="HGW104" s="3"/>
      <c r="HGX104" s="3"/>
      <c r="HGY104" s="3"/>
      <c r="HGZ104" s="3"/>
      <c r="HHA104" s="3"/>
      <c r="HHB104" s="3"/>
      <c r="HHC104" s="3"/>
      <c r="HHD104" s="3"/>
      <c r="HHE104" s="3"/>
      <c r="HHF104" s="3"/>
      <c r="HHG104" s="3"/>
      <c r="HHH104" s="3"/>
      <c r="HHI104" s="3"/>
      <c r="HHJ104" s="3"/>
      <c r="HHK104" s="3"/>
      <c r="HHL104" s="3"/>
      <c r="HHM104" s="3"/>
      <c r="HHN104" s="3"/>
      <c r="HHO104" s="3"/>
      <c r="HHP104" s="3"/>
      <c r="HHQ104" s="3"/>
      <c r="HHR104" s="3"/>
      <c r="HHS104" s="3"/>
      <c r="HHT104" s="3"/>
      <c r="HHU104" s="3"/>
      <c r="HHV104" s="3"/>
      <c r="HHW104" s="3"/>
      <c r="HHX104" s="3"/>
      <c r="HHY104" s="3"/>
      <c r="HHZ104" s="3"/>
      <c r="HIA104" s="3"/>
      <c r="HIB104" s="3"/>
      <c r="HIC104" s="3"/>
      <c r="HID104" s="3"/>
      <c r="HIE104" s="3"/>
      <c r="HIF104" s="3"/>
      <c r="HIG104" s="3"/>
      <c r="HIH104" s="3"/>
      <c r="HII104" s="3"/>
      <c r="HIJ104" s="3"/>
      <c r="HIK104" s="3"/>
      <c r="HIL104" s="3"/>
      <c r="HIM104" s="3"/>
      <c r="HIN104" s="3"/>
      <c r="HIO104" s="3"/>
      <c r="HIP104" s="3"/>
      <c r="HIQ104" s="3"/>
      <c r="HIR104" s="3"/>
      <c r="HIS104" s="3"/>
      <c r="HIT104" s="3"/>
      <c r="HIU104" s="3"/>
      <c r="HIV104" s="3"/>
      <c r="HIW104" s="3"/>
      <c r="HIX104" s="3"/>
      <c r="HIY104" s="3"/>
      <c r="HIZ104" s="3"/>
      <c r="HJA104" s="3"/>
      <c r="HJB104" s="3"/>
      <c r="HJC104" s="3"/>
      <c r="HJD104" s="3"/>
      <c r="HJE104" s="3"/>
      <c r="HJF104" s="3"/>
      <c r="HJG104" s="3"/>
      <c r="HJH104" s="3"/>
      <c r="HJI104" s="3"/>
      <c r="HJJ104" s="3"/>
      <c r="HJK104" s="3"/>
      <c r="HJL104" s="3"/>
      <c r="HJM104" s="3"/>
      <c r="HJN104" s="3"/>
      <c r="HJO104" s="3"/>
      <c r="HJP104" s="3"/>
      <c r="HJQ104" s="3"/>
      <c r="HJR104" s="3"/>
      <c r="HJS104" s="3"/>
      <c r="HJT104" s="3"/>
      <c r="HJU104" s="3"/>
      <c r="HJV104" s="3"/>
      <c r="HJW104" s="3"/>
      <c r="HJX104" s="3"/>
      <c r="HJY104" s="3"/>
      <c r="HJZ104" s="3"/>
      <c r="HKA104" s="3"/>
      <c r="HKB104" s="3"/>
      <c r="HKC104" s="3"/>
      <c r="HKD104" s="3"/>
      <c r="HKE104" s="3"/>
      <c r="HKF104" s="3"/>
      <c r="HKG104" s="3"/>
      <c r="HKH104" s="3"/>
      <c r="HKI104" s="3"/>
      <c r="HKJ104" s="3"/>
      <c r="HKK104" s="3"/>
      <c r="HKL104" s="3"/>
      <c r="HKM104" s="3"/>
      <c r="HKN104" s="3"/>
      <c r="HKO104" s="3"/>
      <c r="HKP104" s="3"/>
      <c r="HKQ104" s="3"/>
      <c r="HKR104" s="3"/>
      <c r="HKS104" s="3"/>
      <c r="HKT104" s="3"/>
      <c r="HKU104" s="3"/>
      <c r="HKV104" s="3"/>
      <c r="HKW104" s="3"/>
      <c r="HKX104" s="3"/>
      <c r="HKY104" s="3"/>
      <c r="HKZ104" s="3"/>
      <c r="HLA104" s="3"/>
      <c r="HLB104" s="3"/>
      <c r="HLC104" s="3"/>
      <c r="HLD104" s="3"/>
      <c r="HLE104" s="3"/>
      <c r="HLF104" s="3"/>
      <c r="HLG104" s="3"/>
      <c r="HLH104" s="3"/>
      <c r="HLI104" s="3"/>
      <c r="HLJ104" s="3"/>
      <c r="HLK104" s="3"/>
      <c r="HLL104" s="3"/>
      <c r="HLM104" s="3"/>
      <c r="HLN104" s="3"/>
      <c r="HLO104" s="3"/>
      <c r="HLP104" s="3"/>
      <c r="HLQ104" s="3"/>
      <c r="HLR104" s="3"/>
      <c r="HLS104" s="3"/>
      <c r="HLT104" s="3"/>
      <c r="HLU104" s="3"/>
      <c r="HLV104" s="3"/>
      <c r="HLW104" s="3"/>
      <c r="HLX104" s="3"/>
      <c r="HLY104" s="3"/>
      <c r="HLZ104" s="3"/>
      <c r="HMA104" s="3"/>
      <c r="HMB104" s="3"/>
      <c r="HMC104" s="3"/>
      <c r="HMD104" s="3"/>
      <c r="HME104" s="3"/>
      <c r="HMF104" s="3"/>
      <c r="HMG104" s="3"/>
      <c r="HMH104" s="3"/>
      <c r="HMI104" s="3"/>
      <c r="HMJ104" s="3"/>
      <c r="HMK104" s="3"/>
      <c r="HML104" s="3"/>
      <c r="HMM104" s="3"/>
      <c r="HMN104" s="3"/>
      <c r="HMO104" s="3"/>
      <c r="HMP104" s="3"/>
      <c r="HMQ104" s="3"/>
      <c r="HMR104" s="3"/>
      <c r="HMS104" s="3"/>
      <c r="HMT104" s="3"/>
      <c r="HMU104" s="3"/>
      <c r="HMV104" s="3"/>
      <c r="HMW104" s="3"/>
      <c r="HMX104" s="3"/>
      <c r="HMY104" s="3"/>
      <c r="HMZ104" s="3"/>
      <c r="HNA104" s="3"/>
      <c r="HNB104" s="3"/>
      <c r="HNC104" s="3"/>
      <c r="HND104" s="3"/>
      <c r="HNE104" s="3"/>
      <c r="HNF104" s="3"/>
      <c r="HNG104" s="3"/>
      <c r="HNH104" s="3"/>
      <c r="HNI104" s="3"/>
      <c r="HNJ104" s="3"/>
      <c r="HNK104" s="3"/>
      <c r="HNL104" s="3"/>
      <c r="HNM104" s="3"/>
      <c r="HNN104" s="3"/>
      <c r="HNO104" s="3"/>
      <c r="HNP104" s="3"/>
      <c r="HNQ104" s="3"/>
      <c r="HNR104" s="3"/>
      <c r="HNS104" s="3"/>
      <c r="HNT104" s="3"/>
      <c r="HNU104" s="3"/>
      <c r="HNV104" s="3"/>
      <c r="HNW104" s="3"/>
      <c r="HNX104" s="3"/>
      <c r="HNY104" s="3"/>
      <c r="HNZ104" s="3"/>
      <c r="HOA104" s="3"/>
      <c r="HOB104" s="3"/>
      <c r="HOC104" s="3"/>
      <c r="HOD104" s="3"/>
      <c r="HOE104" s="3"/>
      <c r="HOF104" s="3"/>
      <c r="HOG104" s="3"/>
      <c r="HOH104" s="3"/>
      <c r="HOI104" s="3"/>
      <c r="HOJ104" s="3"/>
      <c r="HOK104" s="3"/>
      <c r="HOL104" s="3"/>
      <c r="HOM104" s="3"/>
      <c r="HON104" s="3"/>
      <c r="HOO104" s="3"/>
      <c r="HOP104" s="3"/>
      <c r="HOQ104" s="3"/>
      <c r="HOR104" s="3"/>
      <c r="HOS104" s="3"/>
      <c r="HOT104" s="3"/>
      <c r="HOU104" s="3"/>
      <c r="HOV104" s="3"/>
      <c r="HOW104" s="3"/>
      <c r="HOX104" s="3"/>
      <c r="HOY104" s="3"/>
      <c r="HOZ104" s="3"/>
      <c r="HPA104" s="3"/>
      <c r="HPB104" s="3"/>
      <c r="HPC104" s="3"/>
      <c r="HPD104" s="3"/>
      <c r="HPE104" s="3"/>
      <c r="HPF104" s="3"/>
      <c r="HPG104" s="3"/>
      <c r="HPH104" s="3"/>
      <c r="HPI104" s="3"/>
      <c r="HPJ104" s="3"/>
      <c r="HPK104" s="3"/>
      <c r="HPL104" s="3"/>
      <c r="HPM104" s="3"/>
      <c r="HPN104" s="3"/>
      <c r="HPO104" s="3"/>
      <c r="HPP104" s="3"/>
      <c r="HPQ104" s="3"/>
      <c r="HPR104" s="3"/>
      <c r="HPS104" s="3"/>
      <c r="HPT104" s="3"/>
      <c r="HPU104" s="3"/>
      <c r="HPV104" s="3"/>
      <c r="HPW104" s="3"/>
      <c r="HPX104" s="3"/>
      <c r="HPY104" s="3"/>
      <c r="HPZ104" s="3"/>
      <c r="HQA104" s="3"/>
      <c r="HQB104" s="3"/>
      <c r="HQC104" s="3"/>
      <c r="HQD104" s="3"/>
      <c r="HQE104" s="3"/>
      <c r="HQF104" s="3"/>
      <c r="HQG104" s="3"/>
      <c r="HQH104" s="3"/>
      <c r="HQI104" s="3"/>
      <c r="HQJ104" s="3"/>
      <c r="HQK104" s="3"/>
      <c r="HQL104" s="3"/>
      <c r="HQM104" s="3"/>
      <c r="HQN104" s="3"/>
      <c r="HQO104" s="3"/>
      <c r="HQP104" s="3"/>
      <c r="HQQ104" s="3"/>
      <c r="HQR104" s="3"/>
      <c r="HQS104" s="3"/>
      <c r="HQT104" s="3"/>
      <c r="HQU104" s="3"/>
      <c r="HQV104" s="3"/>
      <c r="HQW104" s="3"/>
      <c r="HQX104" s="3"/>
      <c r="HQY104" s="3"/>
      <c r="HQZ104" s="3"/>
      <c r="HRA104" s="3"/>
      <c r="HRB104" s="3"/>
      <c r="HRC104" s="3"/>
      <c r="HRD104" s="3"/>
      <c r="HRE104" s="3"/>
      <c r="HRF104" s="3"/>
      <c r="HRG104" s="3"/>
      <c r="HRH104" s="3"/>
      <c r="HRI104" s="3"/>
      <c r="HRJ104" s="3"/>
      <c r="HRK104" s="3"/>
      <c r="HRL104" s="3"/>
      <c r="HRM104" s="3"/>
      <c r="HRN104" s="3"/>
      <c r="HRO104" s="3"/>
      <c r="HRP104" s="3"/>
      <c r="HRQ104" s="3"/>
      <c r="HRR104" s="3"/>
      <c r="HRS104" s="3"/>
      <c r="HRT104" s="3"/>
      <c r="HRU104" s="3"/>
      <c r="HRV104" s="3"/>
      <c r="HRW104" s="3"/>
      <c r="HRX104" s="3"/>
      <c r="HRY104" s="3"/>
      <c r="HRZ104" s="3"/>
      <c r="HSA104" s="3"/>
      <c r="HSB104" s="3"/>
      <c r="HSC104" s="3"/>
      <c r="HSD104" s="3"/>
      <c r="HSE104" s="3"/>
      <c r="HSF104" s="3"/>
      <c r="HSG104" s="3"/>
      <c r="HSH104" s="3"/>
      <c r="HSI104" s="3"/>
      <c r="HSJ104" s="3"/>
      <c r="HSK104" s="3"/>
      <c r="HSL104" s="3"/>
      <c r="HSM104" s="3"/>
      <c r="HSN104" s="3"/>
      <c r="HSO104" s="3"/>
      <c r="HSP104" s="3"/>
      <c r="HSQ104" s="3"/>
      <c r="HSR104" s="3"/>
      <c r="HSS104" s="3"/>
      <c r="HST104" s="3"/>
      <c r="HSU104" s="3"/>
      <c r="HSV104" s="3"/>
      <c r="HSW104" s="3"/>
      <c r="HSX104" s="3"/>
      <c r="HSY104" s="3"/>
      <c r="HSZ104" s="3"/>
      <c r="HTA104" s="3"/>
      <c r="HTB104" s="3"/>
      <c r="HTC104" s="3"/>
      <c r="HTD104" s="3"/>
      <c r="HTE104" s="3"/>
      <c r="HTF104" s="3"/>
      <c r="HTG104" s="3"/>
      <c r="HTH104" s="3"/>
      <c r="HTI104" s="3"/>
      <c r="HTJ104" s="3"/>
      <c r="HTK104" s="3"/>
      <c r="HTL104" s="3"/>
      <c r="HTM104" s="3"/>
      <c r="HTN104" s="3"/>
      <c r="HTO104" s="3"/>
      <c r="HTP104" s="3"/>
      <c r="HTQ104" s="3"/>
      <c r="HTR104" s="3"/>
      <c r="HTS104" s="3"/>
      <c r="HTT104" s="3"/>
      <c r="HTU104" s="3"/>
      <c r="HTV104" s="3"/>
      <c r="HTW104" s="3"/>
      <c r="HTX104" s="3"/>
      <c r="HTY104" s="3"/>
      <c r="HTZ104" s="3"/>
      <c r="HUA104" s="3"/>
      <c r="HUB104" s="3"/>
      <c r="HUC104" s="3"/>
      <c r="HUD104" s="3"/>
      <c r="HUE104" s="3"/>
      <c r="HUF104" s="3"/>
      <c r="HUG104" s="3"/>
      <c r="HUH104" s="3"/>
      <c r="HUI104" s="3"/>
      <c r="HUJ104" s="3"/>
      <c r="HUK104" s="3"/>
      <c r="HUL104" s="3"/>
      <c r="HUM104" s="3"/>
      <c r="HUN104" s="3"/>
      <c r="HUO104" s="3"/>
      <c r="HUP104" s="3"/>
      <c r="HUQ104" s="3"/>
      <c r="HUR104" s="3"/>
      <c r="HUS104" s="3"/>
      <c r="HUT104" s="3"/>
      <c r="HUU104" s="3"/>
      <c r="HUV104" s="3"/>
      <c r="HUW104" s="3"/>
      <c r="HUX104" s="3"/>
      <c r="HUY104" s="3"/>
      <c r="HUZ104" s="3"/>
      <c r="HVA104" s="3"/>
      <c r="HVB104" s="3"/>
      <c r="HVC104" s="3"/>
      <c r="HVD104" s="3"/>
      <c r="HVE104" s="3"/>
      <c r="HVF104" s="3"/>
      <c r="HVG104" s="3"/>
      <c r="HVH104" s="3"/>
      <c r="HVI104" s="3"/>
      <c r="HVJ104" s="3"/>
      <c r="HVK104" s="3"/>
      <c r="HVL104" s="3"/>
      <c r="HVM104" s="3"/>
      <c r="HVN104" s="3"/>
      <c r="HVO104" s="3"/>
      <c r="HVP104" s="3"/>
      <c r="HVQ104" s="3"/>
      <c r="HVR104" s="3"/>
      <c r="HVS104" s="3"/>
      <c r="HVT104" s="3"/>
      <c r="HVU104" s="3"/>
      <c r="HVV104" s="3"/>
      <c r="HVW104" s="3"/>
      <c r="HVX104" s="3"/>
      <c r="HVY104" s="3"/>
      <c r="HVZ104" s="3"/>
      <c r="HWA104" s="3"/>
      <c r="HWB104" s="3"/>
      <c r="HWC104" s="3"/>
      <c r="HWD104" s="3"/>
      <c r="HWE104" s="3"/>
      <c r="HWF104" s="3"/>
      <c r="HWG104" s="3"/>
      <c r="HWH104" s="3"/>
      <c r="HWI104" s="3"/>
      <c r="HWJ104" s="3"/>
      <c r="HWK104" s="3"/>
      <c r="HWL104" s="3"/>
      <c r="HWM104" s="3"/>
      <c r="HWN104" s="3"/>
      <c r="HWO104" s="3"/>
      <c r="HWP104" s="3"/>
      <c r="HWQ104" s="3"/>
      <c r="HWR104" s="3"/>
      <c r="HWS104" s="3"/>
      <c r="HWT104" s="3"/>
      <c r="HWU104" s="3"/>
      <c r="HWV104" s="3"/>
      <c r="HWW104" s="3"/>
      <c r="HWX104" s="3"/>
      <c r="HWY104" s="3"/>
      <c r="HWZ104" s="3"/>
      <c r="HXA104" s="3"/>
      <c r="HXB104" s="3"/>
      <c r="HXC104" s="3"/>
      <c r="HXD104" s="3"/>
      <c r="HXE104" s="3"/>
      <c r="HXF104" s="3"/>
      <c r="HXG104" s="3"/>
      <c r="HXH104" s="3"/>
      <c r="HXI104" s="3"/>
      <c r="HXJ104" s="3"/>
      <c r="HXK104" s="3"/>
      <c r="HXL104" s="3"/>
      <c r="HXM104" s="3"/>
      <c r="HXN104" s="3"/>
      <c r="HXO104" s="3"/>
      <c r="HXP104" s="3"/>
      <c r="HXQ104" s="3"/>
      <c r="HXR104" s="3"/>
      <c r="HXS104" s="3"/>
      <c r="HXT104" s="3"/>
      <c r="HXU104" s="3"/>
      <c r="HXV104" s="3"/>
      <c r="HXW104" s="3"/>
      <c r="HXX104" s="3"/>
      <c r="HXY104" s="3"/>
      <c r="HXZ104" s="3"/>
      <c r="HYA104" s="3"/>
      <c r="HYB104" s="3"/>
      <c r="HYC104" s="3"/>
      <c r="HYD104" s="3"/>
      <c r="HYE104" s="3"/>
      <c r="HYF104" s="3"/>
      <c r="HYG104" s="3"/>
      <c r="HYH104" s="3"/>
      <c r="HYI104" s="3"/>
      <c r="HYJ104" s="3"/>
      <c r="HYK104" s="3"/>
      <c r="HYL104" s="3"/>
      <c r="HYM104" s="3"/>
      <c r="HYN104" s="3"/>
      <c r="HYO104" s="3"/>
      <c r="HYP104" s="3"/>
      <c r="HYQ104" s="3"/>
      <c r="HYR104" s="3"/>
      <c r="HYS104" s="3"/>
      <c r="HYT104" s="3"/>
      <c r="HYU104" s="3"/>
      <c r="HYV104" s="3"/>
      <c r="HYW104" s="3"/>
      <c r="HYX104" s="3"/>
      <c r="HYY104" s="3"/>
      <c r="HYZ104" s="3"/>
      <c r="HZA104" s="3"/>
      <c r="HZB104" s="3"/>
      <c r="HZC104" s="3"/>
      <c r="HZD104" s="3"/>
      <c r="HZE104" s="3"/>
      <c r="HZF104" s="3"/>
      <c r="HZG104" s="3"/>
      <c r="HZH104" s="3"/>
      <c r="HZI104" s="3"/>
      <c r="HZJ104" s="3"/>
      <c r="HZK104" s="3"/>
      <c r="HZL104" s="3"/>
      <c r="HZM104" s="3"/>
      <c r="HZN104" s="3"/>
      <c r="HZO104" s="3"/>
      <c r="HZP104" s="3"/>
      <c r="HZQ104" s="3"/>
      <c r="HZR104" s="3"/>
      <c r="HZS104" s="3"/>
      <c r="HZT104" s="3"/>
      <c r="HZU104" s="3"/>
      <c r="HZV104" s="3"/>
      <c r="HZW104" s="3"/>
      <c r="HZX104" s="3"/>
      <c r="HZY104" s="3"/>
      <c r="HZZ104" s="3"/>
      <c r="IAA104" s="3"/>
      <c r="IAB104" s="3"/>
      <c r="IAC104" s="3"/>
      <c r="IAD104" s="3"/>
      <c r="IAE104" s="3"/>
      <c r="IAF104" s="3"/>
      <c r="IAG104" s="3"/>
      <c r="IAH104" s="3"/>
      <c r="IAI104" s="3"/>
      <c r="IAJ104" s="3"/>
      <c r="IAK104" s="3"/>
      <c r="IAL104" s="3"/>
      <c r="IAM104" s="3"/>
      <c r="IAN104" s="3"/>
      <c r="IAO104" s="3"/>
      <c r="IAP104" s="3"/>
      <c r="IAQ104" s="3"/>
      <c r="IAR104" s="3"/>
      <c r="IAS104" s="3"/>
      <c r="IAT104" s="3"/>
      <c r="IAU104" s="3"/>
      <c r="IAV104" s="3"/>
      <c r="IAW104" s="3"/>
      <c r="IAX104" s="3"/>
      <c r="IAY104" s="3"/>
      <c r="IAZ104" s="3"/>
      <c r="IBA104" s="3"/>
      <c r="IBB104" s="3"/>
      <c r="IBC104" s="3"/>
      <c r="IBD104" s="3"/>
      <c r="IBE104" s="3"/>
      <c r="IBF104" s="3"/>
      <c r="IBG104" s="3"/>
      <c r="IBH104" s="3"/>
      <c r="IBI104" s="3"/>
      <c r="IBJ104" s="3"/>
      <c r="IBK104" s="3"/>
      <c r="IBL104" s="3"/>
      <c r="IBM104" s="3"/>
      <c r="IBN104" s="3"/>
      <c r="IBO104" s="3"/>
      <c r="IBP104" s="3"/>
      <c r="IBQ104" s="3"/>
      <c r="IBR104" s="3"/>
      <c r="IBS104" s="3"/>
      <c r="IBT104" s="3"/>
      <c r="IBU104" s="3"/>
      <c r="IBV104" s="3"/>
      <c r="IBW104" s="3"/>
      <c r="IBX104" s="3"/>
      <c r="IBY104" s="3"/>
      <c r="IBZ104" s="3"/>
      <c r="ICA104" s="3"/>
      <c r="ICB104" s="3"/>
      <c r="ICC104" s="3"/>
      <c r="ICD104" s="3"/>
      <c r="ICE104" s="3"/>
      <c r="ICF104" s="3"/>
      <c r="ICG104" s="3"/>
      <c r="ICH104" s="3"/>
      <c r="ICI104" s="3"/>
      <c r="ICJ104" s="3"/>
      <c r="ICK104" s="3"/>
      <c r="ICL104" s="3"/>
      <c r="ICM104" s="3"/>
      <c r="ICN104" s="3"/>
      <c r="ICO104" s="3"/>
      <c r="ICP104" s="3"/>
      <c r="ICQ104" s="3"/>
      <c r="ICR104" s="3"/>
      <c r="ICS104" s="3"/>
      <c r="ICT104" s="3"/>
      <c r="ICU104" s="3"/>
      <c r="ICV104" s="3"/>
      <c r="ICW104" s="3"/>
      <c r="ICX104" s="3"/>
      <c r="ICY104" s="3"/>
      <c r="ICZ104" s="3"/>
      <c r="IDA104" s="3"/>
      <c r="IDB104" s="3"/>
      <c r="IDC104" s="3"/>
      <c r="IDD104" s="3"/>
      <c r="IDE104" s="3"/>
      <c r="IDF104" s="3"/>
      <c r="IDG104" s="3"/>
      <c r="IDH104" s="3"/>
      <c r="IDI104" s="3"/>
      <c r="IDJ104" s="3"/>
      <c r="IDK104" s="3"/>
      <c r="IDL104" s="3"/>
      <c r="IDM104" s="3"/>
      <c r="IDN104" s="3"/>
      <c r="IDO104" s="3"/>
      <c r="IDP104" s="3"/>
      <c r="IDQ104" s="3"/>
      <c r="IDR104" s="3"/>
      <c r="IDS104" s="3"/>
      <c r="IDT104" s="3"/>
      <c r="IDU104" s="3"/>
      <c r="IDV104" s="3"/>
      <c r="IDW104" s="3"/>
      <c r="IDX104" s="3"/>
      <c r="IDY104" s="3"/>
      <c r="IDZ104" s="3"/>
      <c r="IEA104" s="3"/>
      <c r="IEB104" s="3"/>
      <c r="IEC104" s="3"/>
      <c r="IED104" s="3"/>
      <c r="IEE104" s="3"/>
      <c r="IEF104" s="3"/>
      <c r="IEG104" s="3"/>
      <c r="IEH104" s="3"/>
      <c r="IEI104" s="3"/>
      <c r="IEJ104" s="3"/>
      <c r="IEK104" s="3"/>
      <c r="IEL104" s="3"/>
      <c r="IEM104" s="3"/>
      <c r="IEN104" s="3"/>
      <c r="IEO104" s="3"/>
      <c r="IEP104" s="3"/>
      <c r="IEQ104" s="3"/>
      <c r="IER104" s="3"/>
      <c r="IES104" s="3"/>
      <c r="IET104" s="3"/>
      <c r="IEU104" s="3"/>
      <c r="IEV104" s="3"/>
      <c r="IEW104" s="3"/>
      <c r="IEX104" s="3"/>
      <c r="IEY104" s="3"/>
      <c r="IEZ104" s="3"/>
      <c r="IFA104" s="3"/>
      <c r="IFB104" s="3"/>
      <c r="IFC104" s="3"/>
      <c r="IFD104" s="3"/>
      <c r="IFE104" s="3"/>
      <c r="IFF104" s="3"/>
      <c r="IFG104" s="3"/>
      <c r="IFH104" s="3"/>
      <c r="IFI104" s="3"/>
      <c r="IFJ104" s="3"/>
      <c r="IFK104" s="3"/>
      <c r="IFL104" s="3"/>
      <c r="IFM104" s="3"/>
      <c r="IFN104" s="3"/>
      <c r="IFO104" s="3"/>
      <c r="IFP104" s="3"/>
      <c r="IFQ104" s="3"/>
      <c r="IFR104" s="3"/>
      <c r="IFS104" s="3"/>
      <c r="IFT104" s="3"/>
      <c r="IFU104" s="3"/>
      <c r="IFV104" s="3"/>
      <c r="IFW104" s="3"/>
      <c r="IFX104" s="3"/>
      <c r="IFY104" s="3"/>
      <c r="IFZ104" s="3"/>
      <c r="IGA104" s="3"/>
      <c r="IGB104" s="3"/>
      <c r="IGC104" s="3"/>
      <c r="IGD104" s="3"/>
      <c r="IGE104" s="3"/>
      <c r="IGF104" s="3"/>
      <c r="IGG104" s="3"/>
      <c r="IGH104" s="3"/>
      <c r="IGI104" s="3"/>
      <c r="IGJ104" s="3"/>
      <c r="IGK104" s="3"/>
      <c r="IGL104" s="3"/>
      <c r="IGM104" s="3"/>
      <c r="IGN104" s="3"/>
      <c r="IGO104" s="3"/>
      <c r="IGP104" s="3"/>
      <c r="IGQ104" s="3"/>
      <c r="IGR104" s="3"/>
      <c r="IGS104" s="3"/>
      <c r="IGT104" s="3"/>
      <c r="IGU104" s="3"/>
      <c r="IGV104" s="3"/>
      <c r="IGW104" s="3"/>
      <c r="IGX104" s="3"/>
      <c r="IGY104" s="3"/>
      <c r="IGZ104" s="3"/>
      <c r="IHA104" s="3"/>
      <c r="IHB104" s="3"/>
      <c r="IHC104" s="3"/>
      <c r="IHD104" s="3"/>
      <c r="IHE104" s="3"/>
      <c r="IHF104" s="3"/>
      <c r="IHG104" s="3"/>
      <c r="IHH104" s="3"/>
      <c r="IHI104" s="3"/>
      <c r="IHJ104" s="3"/>
      <c r="IHK104" s="3"/>
      <c r="IHL104" s="3"/>
      <c r="IHM104" s="3"/>
      <c r="IHN104" s="3"/>
      <c r="IHO104" s="3"/>
      <c r="IHP104" s="3"/>
      <c r="IHQ104" s="3"/>
      <c r="IHR104" s="3"/>
      <c r="IHS104" s="3"/>
      <c r="IHT104" s="3"/>
      <c r="IHU104" s="3"/>
      <c r="IHV104" s="3"/>
      <c r="IHW104" s="3"/>
      <c r="IHX104" s="3"/>
      <c r="IHY104" s="3"/>
      <c r="IHZ104" s="3"/>
      <c r="IIA104" s="3"/>
      <c r="IIB104" s="3"/>
      <c r="IIC104" s="3"/>
      <c r="IID104" s="3"/>
      <c r="IIE104" s="3"/>
      <c r="IIF104" s="3"/>
      <c r="IIG104" s="3"/>
      <c r="IIH104" s="3"/>
      <c r="III104" s="3"/>
      <c r="IIJ104" s="3"/>
      <c r="IIK104" s="3"/>
      <c r="IIL104" s="3"/>
      <c r="IIM104" s="3"/>
      <c r="IIN104" s="3"/>
      <c r="IIO104" s="3"/>
      <c r="IIP104" s="3"/>
      <c r="IIQ104" s="3"/>
      <c r="IIR104" s="3"/>
      <c r="IIS104" s="3"/>
      <c r="IIT104" s="3"/>
      <c r="IIU104" s="3"/>
      <c r="IIV104" s="3"/>
      <c r="IIW104" s="3"/>
      <c r="IIX104" s="3"/>
      <c r="IIY104" s="3"/>
      <c r="IIZ104" s="3"/>
      <c r="IJA104" s="3"/>
      <c r="IJB104" s="3"/>
      <c r="IJC104" s="3"/>
      <c r="IJD104" s="3"/>
      <c r="IJE104" s="3"/>
      <c r="IJF104" s="3"/>
      <c r="IJG104" s="3"/>
      <c r="IJH104" s="3"/>
      <c r="IJI104" s="3"/>
      <c r="IJJ104" s="3"/>
      <c r="IJK104" s="3"/>
      <c r="IJL104" s="3"/>
      <c r="IJM104" s="3"/>
      <c r="IJN104" s="3"/>
      <c r="IJO104" s="3"/>
      <c r="IJP104" s="3"/>
      <c r="IJQ104" s="3"/>
      <c r="IJR104" s="3"/>
      <c r="IJS104" s="3"/>
      <c r="IJT104" s="3"/>
      <c r="IJU104" s="3"/>
      <c r="IJV104" s="3"/>
      <c r="IJW104" s="3"/>
      <c r="IJX104" s="3"/>
      <c r="IJY104" s="3"/>
      <c r="IJZ104" s="3"/>
      <c r="IKA104" s="3"/>
      <c r="IKB104" s="3"/>
      <c r="IKC104" s="3"/>
      <c r="IKD104" s="3"/>
      <c r="IKE104" s="3"/>
      <c r="IKF104" s="3"/>
      <c r="IKG104" s="3"/>
      <c r="IKH104" s="3"/>
      <c r="IKI104" s="3"/>
      <c r="IKJ104" s="3"/>
      <c r="IKK104" s="3"/>
      <c r="IKL104" s="3"/>
      <c r="IKM104" s="3"/>
      <c r="IKN104" s="3"/>
      <c r="IKO104" s="3"/>
      <c r="IKP104" s="3"/>
      <c r="IKQ104" s="3"/>
      <c r="IKR104" s="3"/>
      <c r="IKS104" s="3"/>
      <c r="IKT104" s="3"/>
      <c r="IKU104" s="3"/>
      <c r="IKV104" s="3"/>
      <c r="IKW104" s="3"/>
      <c r="IKX104" s="3"/>
      <c r="IKY104" s="3"/>
      <c r="IKZ104" s="3"/>
      <c r="ILA104" s="3"/>
      <c r="ILB104" s="3"/>
      <c r="ILC104" s="3"/>
      <c r="ILD104" s="3"/>
      <c r="ILE104" s="3"/>
      <c r="ILF104" s="3"/>
      <c r="ILG104" s="3"/>
      <c r="ILH104" s="3"/>
      <c r="ILI104" s="3"/>
      <c r="ILJ104" s="3"/>
      <c r="ILK104" s="3"/>
      <c r="ILL104" s="3"/>
      <c r="ILM104" s="3"/>
      <c r="ILN104" s="3"/>
      <c r="ILO104" s="3"/>
      <c r="ILP104" s="3"/>
      <c r="ILQ104" s="3"/>
      <c r="ILR104" s="3"/>
      <c r="ILS104" s="3"/>
      <c r="ILT104" s="3"/>
      <c r="ILU104" s="3"/>
      <c r="ILV104" s="3"/>
      <c r="ILW104" s="3"/>
      <c r="ILX104" s="3"/>
      <c r="ILY104" s="3"/>
      <c r="ILZ104" s="3"/>
      <c r="IMA104" s="3"/>
      <c r="IMB104" s="3"/>
      <c r="IMC104" s="3"/>
      <c r="IMD104" s="3"/>
      <c r="IME104" s="3"/>
      <c r="IMF104" s="3"/>
      <c r="IMG104" s="3"/>
      <c r="IMH104" s="3"/>
      <c r="IMI104" s="3"/>
      <c r="IMJ104" s="3"/>
      <c r="IMK104" s="3"/>
      <c r="IML104" s="3"/>
      <c r="IMM104" s="3"/>
      <c r="IMN104" s="3"/>
      <c r="IMO104" s="3"/>
      <c r="IMP104" s="3"/>
      <c r="IMQ104" s="3"/>
      <c r="IMR104" s="3"/>
      <c r="IMS104" s="3"/>
      <c r="IMT104" s="3"/>
      <c r="IMU104" s="3"/>
      <c r="IMV104" s="3"/>
      <c r="IMW104" s="3"/>
      <c r="IMX104" s="3"/>
      <c r="IMY104" s="3"/>
      <c r="IMZ104" s="3"/>
      <c r="INA104" s="3"/>
      <c r="INB104" s="3"/>
      <c r="INC104" s="3"/>
      <c r="IND104" s="3"/>
      <c r="INE104" s="3"/>
      <c r="INF104" s="3"/>
      <c r="ING104" s="3"/>
      <c r="INH104" s="3"/>
      <c r="INI104" s="3"/>
      <c r="INJ104" s="3"/>
      <c r="INK104" s="3"/>
      <c r="INL104" s="3"/>
      <c r="INM104" s="3"/>
      <c r="INN104" s="3"/>
      <c r="INO104" s="3"/>
      <c r="INP104" s="3"/>
      <c r="INQ104" s="3"/>
      <c r="INR104" s="3"/>
      <c r="INS104" s="3"/>
      <c r="INT104" s="3"/>
      <c r="INU104" s="3"/>
      <c r="INV104" s="3"/>
      <c r="INW104" s="3"/>
      <c r="INX104" s="3"/>
      <c r="INY104" s="3"/>
      <c r="INZ104" s="3"/>
      <c r="IOA104" s="3"/>
      <c r="IOB104" s="3"/>
      <c r="IOC104" s="3"/>
      <c r="IOD104" s="3"/>
      <c r="IOE104" s="3"/>
      <c r="IOF104" s="3"/>
      <c r="IOG104" s="3"/>
      <c r="IOH104" s="3"/>
      <c r="IOI104" s="3"/>
      <c r="IOJ104" s="3"/>
      <c r="IOK104" s="3"/>
      <c r="IOL104" s="3"/>
      <c r="IOM104" s="3"/>
      <c r="ION104" s="3"/>
      <c r="IOO104" s="3"/>
      <c r="IOP104" s="3"/>
      <c r="IOQ104" s="3"/>
      <c r="IOR104" s="3"/>
      <c r="IOS104" s="3"/>
      <c r="IOT104" s="3"/>
      <c r="IOU104" s="3"/>
      <c r="IOV104" s="3"/>
      <c r="IOW104" s="3"/>
      <c r="IOX104" s="3"/>
      <c r="IOY104" s="3"/>
      <c r="IOZ104" s="3"/>
      <c r="IPA104" s="3"/>
      <c r="IPB104" s="3"/>
      <c r="IPC104" s="3"/>
      <c r="IPD104" s="3"/>
      <c r="IPE104" s="3"/>
      <c r="IPF104" s="3"/>
      <c r="IPG104" s="3"/>
      <c r="IPH104" s="3"/>
      <c r="IPI104" s="3"/>
      <c r="IPJ104" s="3"/>
      <c r="IPK104" s="3"/>
      <c r="IPL104" s="3"/>
      <c r="IPM104" s="3"/>
      <c r="IPN104" s="3"/>
      <c r="IPO104" s="3"/>
      <c r="IPP104" s="3"/>
      <c r="IPQ104" s="3"/>
      <c r="IPR104" s="3"/>
      <c r="IPS104" s="3"/>
      <c r="IPT104" s="3"/>
      <c r="IPU104" s="3"/>
      <c r="IPV104" s="3"/>
      <c r="IPW104" s="3"/>
      <c r="IPX104" s="3"/>
      <c r="IPY104" s="3"/>
      <c r="IPZ104" s="3"/>
      <c r="IQA104" s="3"/>
      <c r="IQB104" s="3"/>
      <c r="IQC104" s="3"/>
      <c r="IQD104" s="3"/>
      <c r="IQE104" s="3"/>
      <c r="IQF104" s="3"/>
      <c r="IQG104" s="3"/>
      <c r="IQH104" s="3"/>
      <c r="IQI104" s="3"/>
      <c r="IQJ104" s="3"/>
      <c r="IQK104" s="3"/>
      <c r="IQL104" s="3"/>
      <c r="IQM104" s="3"/>
      <c r="IQN104" s="3"/>
      <c r="IQO104" s="3"/>
      <c r="IQP104" s="3"/>
      <c r="IQQ104" s="3"/>
      <c r="IQR104" s="3"/>
      <c r="IQS104" s="3"/>
      <c r="IQT104" s="3"/>
      <c r="IQU104" s="3"/>
      <c r="IQV104" s="3"/>
      <c r="IQW104" s="3"/>
      <c r="IQX104" s="3"/>
      <c r="IQY104" s="3"/>
      <c r="IQZ104" s="3"/>
      <c r="IRA104" s="3"/>
      <c r="IRB104" s="3"/>
      <c r="IRC104" s="3"/>
      <c r="IRD104" s="3"/>
      <c r="IRE104" s="3"/>
      <c r="IRF104" s="3"/>
      <c r="IRG104" s="3"/>
      <c r="IRH104" s="3"/>
      <c r="IRI104" s="3"/>
      <c r="IRJ104" s="3"/>
      <c r="IRK104" s="3"/>
      <c r="IRL104" s="3"/>
      <c r="IRM104" s="3"/>
      <c r="IRN104" s="3"/>
      <c r="IRO104" s="3"/>
      <c r="IRP104" s="3"/>
      <c r="IRQ104" s="3"/>
      <c r="IRR104" s="3"/>
      <c r="IRS104" s="3"/>
      <c r="IRT104" s="3"/>
      <c r="IRU104" s="3"/>
      <c r="IRV104" s="3"/>
      <c r="IRW104" s="3"/>
      <c r="IRX104" s="3"/>
      <c r="IRY104" s="3"/>
      <c r="IRZ104" s="3"/>
      <c r="ISA104" s="3"/>
      <c r="ISB104" s="3"/>
      <c r="ISC104" s="3"/>
      <c r="ISD104" s="3"/>
      <c r="ISE104" s="3"/>
      <c r="ISF104" s="3"/>
      <c r="ISG104" s="3"/>
      <c r="ISH104" s="3"/>
      <c r="ISI104" s="3"/>
      <c r="ISJ104" s="3"/>
      <c r="ISK104" s="3"/>
      <c r="ISL104" s="3"/>
      <c r="ISM104" s="3"/>
      <c r="ISN104" s="3"/>
      <c r="ISO104" s="3"/>
      <c r="ISP104" s="3"/>
      <c r="ISQ104" s="3"/>
      <c r="ISR104" s="3"/>
      <c r="ISS104" s="3"/>
      <c r="IST104" s="3"/>
      <c r="ISU104" s="3"/>
      <c r="ISV104" s="3"/>
      <c r="ISW104" s="3"/>
      <c r="ISX104" s="3"/>
      <c r="ISY104" s="3"/>
      <c r="ISZ104" s="3"/>
      <c r="ITA104" s="3"/>
      <c r="ITB104" s="3"/>
      <c r="ITC104" s="3"/>
      <c r="ITD104" s="3"/>
      <c r="ITE104" s="3"/>
      <c r="ITF104" s="3"/>
      <c r="ITG104" s="3"/>
      <c r="ITH104" s="3"/>
      <c r="ITI104" s="3"/>
      <c r="ITJ104" s="3"/>
      <c r="ITK104" s="3"/>
      <c r="ITL104" s="3"/>
      <c r="ITM104" s="3"/>
      <c r="ITN104" s="3"/>
      <c r="ITO104" s="3"/>
      <c r="ITP104" s="3"/>
      <c r="ITQ104" s="3"/>
      <c r="ITR104" s="3"/>
      <c r="ITS104" s="3"/>
      <c r="ITT104" s="3"/>
      <c r="ITU104" s="3"/>
      <c r="ITV104" s="3"/>
      <c r="ITW104" s="3"/>
      <c r="ITX104" s="3"/>
      <c r="ITY104" s="3"/>
      <c r="ITZ104" s="3"/>
      <c r="IUA104" s="3"/>
      <c r="IUB104" s="3"/>
      <c r="IUC104" s="3"/>
      <c r="IUD104" s="3"/>
      <c r="IUE104" s="3"/>
      <c r="IUF104" s="3"/>
      <c r="IUG104" s="3"/>
      <c r="IUH104" s="3"/>
      <c r="IUI104" s="3"/>
      <c r="IUJ104" s="3"/>
      <c r="IUK104" s="3"/>
      <c r="IUL104" s="3"/>
      <c r="IUM104" s="3"/>
      <c r="IUN104" s="3"/>
      <c r="IUO104" s="3"/>
      <c r="IUP104" s="3"/>
      <c r="IUQ104" s="3"/>
      <c r="IUR104" s="3"/>
      <c r="IUS104" s="3"/>
      <c r="IUT104" s="3"/>
      <c r="IUU104" s="3"/>
      <c r="IUV104" s="3"/>
      <c r="IUW104" s="3"/>
      <c r="IUX104" s="3"/>
      <c r="IUY104" s="3"/>
      <c r="IUZ104" s="3"/>
      <c r="IVA104" s="3"/>
      <c r="IVB104" s="3"/>
      <c r="IVC104" s="3"/>
      <c r="IVD104" s="3"/>
      <c r="IVE104" s="3"/>
      <c r="IVF104" s="3"/>
      <c r="IVG104" s="3"/>
      <c r="IVH104" s="3"/>
      <c r="IVI104" s="3"/>
      <c r="IVJ104" s="3"/>
      <c r="IVK104" s="3"/>
      <c r="IVL104" s="3"/>
      <c r="IVM104" s="3"/>
      <c r="IVN104" s="3"/>
      <c r="IVO104" s="3"/>
      <c r="IVP104" s="3"/>
      <c r="IVQ104" s="3"/>
      <c r="IVR104" s="3"/>
      <c r="IVS104" s="3"/>
      <c r="IVT104" s="3"/>
      <c r="IVU104" s="3"/>
      <c r="IVV104" s="3"/>
      <c r="IVW104" s="3"/>
      <c r="IVX104" s="3"/>
      <c r="IVY104" s="3"/>
      <c r="IVZ104" s="3"/>
      <c r="IWA104" s="3"/>
      <c r="IWB104" s="3"/>
      <c r="IWC104" s="3"/>
      <c r="IWD104" s="3"/>
      <c r="IWE104" s="3"/>
      <c r="IWF104" s="3"/>
      <c r="IWG104" s="3"/>
      <c r="IWH104" s="3"/>
      <c r="IWI104" s="3"/>
      <c r="IWJ104" s="3"/>
      <c r="IWK104" s="3"/>
      <c r="IWL104" s="3"/>
      <c r="IWM104" s="3"/>
      <c r="IWN104" s="3"/>
      <c r="IWO104" s="3"/>
      <c r="IWP104" s="3"/>
      <c r="IWQ104" s="3"/>
      <c r="IWR104" s="3"/>
      <c r="IWS104" s="3"/>
      <c r="IWT104" s="3"/>
      <c r="IWU104" s="3"/>
      <c r="IWV104" s="3"/>
      <c r="IWW104" s="3"/>
      <c r="IWX104" s="3"/>
      <c r="IWY104" s="3"/>
      <c r="IWZ104" s="3"/>
      <c r="IXA104" s="3"/>
      <c r="IXB104" s="3"/>
      <c r="IXC104" s="3"/>
      <c r="IXD104" s="3"/>
      <c r="IXE104" s="3"/>
      <c r="IXF104" s="3"/>
      <c r="IXG104" s="3"/>
      <c r="IXH104" s="3"/>
      <c r="IXI104" s="3"/>
      <c r="IXJ104" s="3"/>
      <c r="IXK104" s="3"/>
      <c r="IXL104" s="3"/>
      <c r="IXM104" s="3"/>
      <c r="IXN104" s="3"/>
      <c r="IXO104" s="3"/>
      <c r="IXP104" s="3"/>
      <c r="IXQ104" s="3"/>
      <c r="IXR104" s="3"/>
      <c r="IXS104" s="3"/>
      <c r="IXT104" s="3"/>
      <c r="IXU104" s="3"/>
      <c r="IXV104" s="3"/>
      <c r="IXW104" s="3"/>
      <c r="IXX104" s="3"/>
      <c r="IXY104" s="3"/>
      <c r="IXZ104" s="3"/>
      <c r="IYA104" s="3"/>
      <c r="IYB104" s="3"/>
      <c r="IYC104" s="3"/>
      <c r="IYD104" s="3"/>
      <c r="IYE104" s="3"/>
      <c r="IYF104" s="3"/>
      <c r="IYG104" s="3"/>
      <c r="IYH104" s="3"/>
      <c r="IYI104" s="3"/>
      <c r="IYJ104" s="3"/>
      <c r="IYK104" s="3"/>
      <c r="IYL104" s="3"/>
      <c r="IYM104" s="3"/>
      <c r="IYN104" s="3"/>
      <c r="IYO104" s="3"/>
      <c r="IYP104" s="3"/>
      <c r="IYQ104" s="3"/>
      <c r="IYR104" s="3"/>
      <c r="IYS104" s="3"/>
      <c r="IYT104" s="3"/>
      <c r="IYU104" s="3"/>
      <c r="IYV104" s="3"/>
      <c r="IYW104" s="3"/>
      <c r="IYX104" s="3"/>
      <c r="IYY104" s="3"/>
      <c r="IYZ104" s="3"/>
      <c r="IZA104" s="3"/>
      <c r="IZB104" s="3"/>
      <c r="IZC104" s="3"/>
      <c r="IZD104" s="3"/>
      <c r="IZE104" s="3"/>
      <c r="IZF104" s="3"/>
      <c r="IZG104" s="3"/>
      <c r="IZH104" s="3"/>
      <c r="IZI104" s="3"/>
      <c r="IZJ104" s="3"/>
      <c r="IZK104" s="3"/>
      <c r="IZL104" s="3"/>
      <c r="IZM104" s="3"/>
      <c r="IZN104" s="3"/>
      <c r="IZO104" s="3"/>
      <c r="IZP104" s="3"/>
      <c r="IZQ104" s="3"/>
      <c r="IZR104" s="3"/>
      <c r="IZS104" s="3"/>
      <c r="IZT104" s="3"/>
      <c r="IZU104" s="3"/>
      <c r="IZV104" s="3"/>
      <c r="IZW104" s="3"/>
      <c r="IZX104" s="3"/>
      <c r="IZY104" s="3"/>
      <c r="IZZ104" s="3"/>
      <c r="JAA104" s="3"/>
      <c r="JAB104" s="3"/>
      <c r="JAC104" s="3"/>
      <c r="JAD104" s="3"/>
      <c r="JAE104" s="3"/>
      <c r="JAF104" s="3"/>
      <c r="JAG104" s="3"/>
      <c r="JAH104" s="3"/>
      <c r="JAI104" s="3"/>
      <c r="JAJ104" s="3"/>
      <c r="JAK104" s="3"/>
      <c r="JAL104" s="3"/>
      <c r="JAM104" s="3"/>
      <c r="JAN104" s="3"/>
      <c r="JAO104" s="3"/>
      <c r="JAP104" s="3"/>
      <c r="JAQ104" s="3"/>
      <c r="JAR104" s="3"/>
      <c r="JAS104" s="3"/>
      <c r="JAT104" s="3"/>
      <c r="JAU104" s="3"/>
      <c r="JAV104" s="3"/>
      <c r="JAW104" s="3"/>
      <c r="JAX104" s="3"/>
      <c r="JAY104" s="3"/>
      <c r="JAZ104" s="3"/>
      <c r="JBA104" s="3"/>
      <c r="JBB104" s="3"/>
      <c r="JBC104" s="3"/>
      <c r="JBD104" s="3"/>
      <c r="JBE104" s="3"/>
      <c r="JBF104" s="3"/>
      <c r="JBG104" s="3"/>
      <c r="JBH104" s="3"/>
      <c r="JBI104" s="3"/>
      <c r="JBJ104" s="3"/>
      <c r="JBK104" s="3"/>
      <c r="JBL104" s="3"/>
      <c r="JBM104" s="3"/>
      <c r="JBN104" s="3"/>
      <c r="JBO104" s="3"/>
      <c r="JBP104" s="3"/>
      <c r="JBQ104" s="3"/>
      <c r="JBR104" s="3"/>
      <c r="JBS104" s="3"/>
      <c r="JBT104" s="3"/>
      <c r="JBU104" s="3"/>
      <c r="JBV104" s="3"/>
      <c r="JBW104" s="3"/>
      <c r="JBX104" s="3"/>
      <c r="JBY104" s="3"/>
      <c r="JBZ104" s="3"/>
      <c r="JCA104" s="3"/>
      <c r="JCB104" s="3"/>
      <c r="JCC104" s="3"/>
      <c r="JCD104" s="3"/>
      <c r="JCE104" s="3"/>
      <c r="JCF104" s="3"/>
      <c r="JCG104" s="3"/>
      <c r="JCH104" s="3"/>
      <c r="JCI104" s="3"/>
      <c r="JCJ104" s="3"/>
      <c r="JCK104" s="3"/>
      <c r="JCL104" s="3"/>
      <c r="JCM104" s="3"/>
      <c r="JCN104" s="3"/>
      <c r="JCO104" s="3"/>
      <c r="JCP104" s="3"/>
      <c r="JCQ104" s="3"/>
      <c r="JCR104" s="3"/>
      <c r="JCS104" s="3"/>
      <c r="JCT104" s="3"/>
      <c r="JCU104" s="3"/>
      <c r="JCV104" s="3"/>
      <c r="JCW104" s="3"/>
      <c r="JCX104" s="3"/>
      <c r="JCY104" s="3"/>
      <c r="JCZ104" s="3"/>
      <c r="JDA104" s="3"/>
      <c r="JDB104" s="3"/>
      <c r="JDC104" s="3"/>
      <c r="JDD104" s="3"/>
      <c r="JDE104" s="3"/>
      <c r="JDF104" s="3"/>
      <c r="JDG104" s="3"/>
      <c r="JDH104" s="3"/>
      <c r="JDI104" s="3"/>
      <c r="JDJ104" s="3"/>
      <c r="JDK104" s="3"/>
      <c r="JDL104" s="3"/>
      <c r="JDM104" s="3"/>
      <c r="JDN104" s="3"/>
      <c r="JDO104" s="3"/>
      <c r="JDP104" s="3"/>
      <c r="JDQ104" s="3"/>
      <c r="JDR104" s="3"/>
      <c r="JDS104" s="3"/>
      <c r="JDT104" s="3"/>
      <c r="JDU104" s="3"/>
      <c r="JDV104" s="3"/>
      <c r="JDW104" s="3"/>
      <c r="JDX104" s="3"/>
      <c r="JDY104" s="3"/>
      <c r="JDZ104" s="3"/>
      <c r="JEA104" s="3"/>
      <c r="JEB104" s="3"/>
      <c r="JEC104" s="3"/>
      <c r="JED104" s="3"/>
      <c r="JEE104" s="3"/>
      <c r="JEF104" s="3"/>
      <c r="JEG104" s="3"/>
      <c r="JEH104" s="3"/>
      <c r="JEI104" s="3"/>
      <c r="JEJ104" s="3"/>
      <c r="JEK104" s="3"/>
      <c r="JEL104" s="3"/>
      <c r="JEM104" s="3"/>
      <c r="JEN104" s="3"/>
      <c r="JEO104" s="3"/>
      <c r="JEP104" s="3"/>
      <c r="JEQ104" s="3"/>
      <c r="JER104" s="3"/>
      <c r="JES104" s="3"/>
      <c r="JET104" s="3"/>
      <c r="JEU104" s="3"/>
      <c r="JEV104" s="3"/>
      <c r="JEW104" s="3"/>
      <c r="JEX104" s="3"/>
      <c r="JEY104" s="3"/>
      <c r="JEZ104" s="3"/>
      <c r="JFA104" s="3"/>
      <c r="JFB104" s="3"/>
      <c r="JFC104" s="3"/>
      <c r="JFD104" s="3"/>
      <c r="JFE104" s="3"/>
      <c r="JFF104" s="3"/>
      <c r="JFG104" s="3"/>
      <c r="JFH104" s="3"/>
      <c r="JFI104" s="3"/>
      <c r="JFJ104" s="3"/>
      <c r="JFK104" s="3"/>
      <c r="JFL104" s="3"/>
      <c r="JFM104" s="3"/>
      <c r="JFN104" s="3"/>
      <c r="JFO104" s="3"/>
      <c r="JFP104" s="3"/>
      <c r="JFQ104" s="3"/>
      <c r="JFR104" s="3"/>
      <c r="JFS104" s="3"/>
      <c r="JFT104" s="3"/>
      <c r="JFU104" s="3"/>
      <c r="JFV104" s="3"/>
      <c r="JFW104" s="3"/>
      <c r="JFX104" s="3"/>
      <c r="JFY104" s="3"/>
      <c r="JFZ104" s="3"/>
      <c r="JGA104" s="3"/>
      <c r="JGB104" s="3"/>
      <c r="JGC104" s="3"/>
      <c r="JGD104" s="3"/>
      <c r="JGE104" s="3"/>
      <c r="JGF104" s="3"/>
      <c r="JGG104" s="3"/>
      <c r="JGH104" s="3"/>
      <c r="JGI104" s="3"/>
      <c r="JGJ104" s="3"/>
      <c r="JGK104" s="3"/>
      <c r="JGL104" s="3"/>
      <c r="JGM104" s="3"/>
      <c r="JGN104" s="3"/>
      <c r="JGO104" s="3"/>
      <c r="JGP104" s="3"/>
      <c r="JGQ104" s="3"/>
      <c r="JGR104" s="3"/>
      <c r="JGS104" s="3"/>
      <c r="JGT104" s="3"/>
      <c r="JGU104" s="3"/>
      <c r="JGV104" s="3"/>
      <c r="JGW104" s="3"/>
      <c r="JGX104" s="3"/>
      <c r="JGY104" s="3"/>
      <c r="JGZ104" s="3"/>
      <c r="JHA104" s="3"/>
      <c r="JHB104" s="3"/>
      <c r="JHC104" s="3"/>
      <c r="JHD104" s="3"/>
      <c r="JHE104" s="3"/>
      <c r="JHF104" s="3"/>
      <c r="JHG104" s="3"/>
      <c r="JHH104" s="3"/>
      <c r="JHI104" s="3"/>
      <c r="JHJ104" s="3"/>
      <c r="JHK104" s="3"/>
      <c r="JHL104" s="3"/>
      <c r="JHM104" s="3"/>
      <c r="JHN104" s="3"/>
      <c r="JHO104" s="3"/>
      <c r="JHP104" s="3"/>
      <c r="JHQ104" s="3"/>
      <c r="JHR104" s="3"/>
      <c r="JHS104" s="3"/>
      <c r="JHT104" s="3"/>
      <c r="JHU104" s="3"/>
      <c r="JHV104" s="3"/>
      <c r="JHW104" s="3"/>
      <c r="JHX104" s="3"/>
      <c r="JHY104" s="3"/>
      <c r="JHZ104" s="3"/>
      <c r="JIA104" s="3"/>
      <c r="JIB104" s="3"/>
      <c r="JIC104" s="3"/>
      <c r="JID104" s="3"/>
      <c r="JIE104" s="3"/>
      <c r="JIF104" s="3"/>
      <c r="JIG104" s="3"/>
      <c r="JIH104" s="3"/>
      <c r="JII104" s="3"/>
      <c r="JIJ104" s="3"/>
      <c r="JIK104" s="3"/>
      <c r="JIL104" s="3"/>
      <c r="JIM104" s="3"/>
      <c r="JIN104" s="3"/>
      <c r="JIO104" s="3"/>
      <c r="JIP104" s="3"/>
      <c r="JIQ104" s="3"/>
      <c r="JIR104" s="3"/>
      <c r="JIS104" s="3"/>
      <c r="JIT104" s="3"/>
      <c r="JIU104" s="3"/>
      <c r="JIV104" s="3"/>
      <c r="JIW104" s="3"/>
      <c r="JIX104" s="3"/>
      <c r="JIY104" s="3"/>
      <c r="JIZ104" s="3"/>
      <c r="JJA104" s="3"/>
      <c r="JJB104" s="3"/>
      <c r="JJC104" s="3"/>
      <c r="JJD104" s="3"/>
      <c r="JJE104" s="3"/>
      <c r="JJF104" s="3"/>
      <c r="JJG104" s="3"/>
      <c r="JJH104" s="3"/>
      <c r="JJI104" s="3"/>
      <c r="JJJ104" s="3"/>
      <c r="JJK104" s="3"/>
      <c r="JJL104" s="3"/>
      <c r="JJM104" s="3"/>
      <c r="JJN104" s="3"/>
      <c r="JJO104" s="3"/>
      <c r="JJP104" s="3"/>
      <c r="JJQ104" s="3"/>
      <c r="JJR104" s="3"/>
      <c r="JJS104" s="3"/>
      <c r="JJT104" s="3"/>
      <c r="JJU104" s="3"/>
      <c r="JJV104" s="3"/>
      <c r="JJW104" s="3"/>
      <c r="JJX104" s="3"/>
      <c r="JJY104" s="3"/>
      <c r="JJZ104" s="3"/>
      <c r="JKA104" s="3"/>
      <c r="JKB104" s="3"/>
      <c r="JKC104" s="3"/>
      <c r="JKD104" s="3"/>
      <c r="JKE104" s="3"/>
      <c r="JKF104" s="3"/>
      <c r="JKG104" s="3"/>
      <c r="JKH104" s="3"/>
      <c r="JKI104" s="3"/>
      <c r="JKJ104" s="3"/>
      <c r="JKK104" s="3"/>
      <c r="JKL104" s="3"/>
      <c r="JKM104" s="3"/>
      <c r="JKN104" s="3"/>
      <c r="JKO104" s="3"/>
      <c r="JKP104" s="3"/>
      <c r="JKQ104" s="3"/>
      <c r="JKR104" s="3"/>
      <c r="JKS104" s="3"/>
      <c r="JKT104" s="3"/>
      <c r="JKU104" s="3"/>
      <c r="JKV104" s="3"/>
      <c r="JKW104" s="3"/>
      <c r="JKX104" s="3"/>
      <c r="JKY104" s="3"/>
      <c r="JKZ104" s="3"/>
      <c r="JLA104" s="3"/>
      <c r="JLB104" s="3"/>
      <c r="JLC104" s="3"/>
      <c r="JLD104" s="3"/>
      <c r="JLE104" s="3"/>
      <c r="JLF104" s="3"/>
      <c r="JLG104" s="3"/>
      <c r="JLH104" s="3"/>
      <c r="JLI104" s="3"/>
      <c r="JLJ104" s="3"/>
      <c r="JLK104" s="3"/>
      <c r="JLL104" s="3"/>
      <c r="JLM104" s="3"/>
      <c r="JLN104" s="3"/>
      <c r="JLO104" s="3"/>
      <c r="JLP104" s="3"/>
      <c r="JLQ104" s="3"/>
      <c r="JLR104" s="3"/>
      <c r="JLS104" s="3"/>
      <c r="JLT104" s="3"/>
      <c r="JLU104" s="3"/>
      <c r="JLV104" s="3"/>
      <c r="JLW104" s="3"/>
      <c r="JLX104" s="3"/>
      <c r="JLY104" s="3"/>
      <c r="JLZ104" s="3"/>
      <c r="JMA104" s="3"/>
      <c r="JMB104" s="3"/>
      <c r="JMC104" s="3"/>
      <c r="JMD104" s="3"/>
      <c r="JME104" s="3"/>
      <c r="JMF104" s="3"/>
      <c r="JMG104" s="3"/>
      <c r="JMH104" s="3"/>
      <c r="JMI104" s="3"/>
      <c r="JMJ104" s="3"/>
      <c r="JMK104" s="3"/>
      <c r="JML104" s="3"/>
      <c r="JMM104" s="3"/>
      <c r="JMN104" s="3"/>
      <c r="JMO104" s="3"/>
      <c r="JMP104" s="3"/>
      <c r="JMQ104" s="3"/>
      <c r="JMR104" s="3"/>
      <c r="JMS104" s="3"/>
      <c r="JMT104" s="3"/>
      <c r="JMU104" s="3"/>
      <c r="JMV104" s="3"/>
      <c r="JMW104" s="3"/>
      <c r="JMX104" s="3"/>
      <c r="JMY104" s="3"/>
      <c r="JMZ104" s="3"/>
      <c r="JNA104" s="3"/>
      <c r="JNB104" s="3"/>
      <c r="JNC104" s="3"/>
      <c r="JND104" s="3"/>
      <c r="JNE104" s="3"/>
      <c r="JNF104" s="3"/>
      <c r="JNG104" s="3"/>
      <c r="JNH104" s="3"/>
      <c r="JNI104" s="3"/>
      <c r="JNJ104" s="3"/>
      <c r="JNK104" s="3"/>
      <c r="JNL104" s="3"/>
      <c r="JNM104" s="3"/>
      <c r="JNN104" s="3"/>
      <c r="JNO104" s="3"/>
      <c r="JNP104" s="3"/>
      <c r="JNQ104" s="3"/>
      <c r="JNR104" s="3"/>
      <c r="JNS104" s="3"/>
      <c r="JNT104" s="3"/>
      <c r="JNU104" s="3"/>
      <c r="JNV104" s="3"/>
      <c r="JNW104" s="3"/>
      <c r="JNX104" s="3"/>
      <c r="JNY104" s="3"/>
      <c r="JNZ104" s="3"/>
      <c r="JOA104" s="3"/>
      <c r="JOB104" s="3"/>
      <c r="JOC104" s="3"/>
      <c r="JOD104" s="3"/>
      <c r="JOE104" s="3"/>
      <c r="JOF104" s="3"/>
      <c r="JOG104" s="3"/>
      <c r="JOH104" s="3"/>
      <c r="JOI104" s="3"/>
      <c r="JOJ104" s="3"/>
      <c r="JOK104" s="3"/>
      <c r="JOL104" s="3"/>
      <c r="JOM104" s="3"/>
      <c r="JON104" s="3"/>
      <c r="JOO104" s="3"/>
      <c r="JOP104" s="3"/>
      <c r="JOQ104" s="3"/>
      <c r="JOR104" s="3"/>
      <c r="JOS104" s="3"/>
      <c r="JOT104" s="3"/>
      <c r="JOU104" s="3"/>
      <c r="JOV104" s="3"/>
      <c r="JOW104" s="3"/>
      <c r="JOX104" s="3"/>
      <c r="JOY104" s="3"/>
      <c r="JOZ104" s="3"/>
      <c r="JPA104" s="3"/>
      <c r="JPB104" s="3"/>
      <c r="JPC104" s="3"/>
      <c r="JPD104" s="3"/>
      <c r="JPE104" s="3"/>
      <c r="JPF104" s="3"/>
      <c r="JPG104" s="3"/>
      <c r="JPH104" s="3"/>
      <c r="JPI104" s="3"/>
      <c r="JPJ104" s="3"/>
      <c r="JPK104" s="3"/>
      <c r="JPL104" s="3"/>
      <c r="JPM104" s="3"/>
      <c r="JPN104" s="3"/>
      <c r="JPO104" s="3"/>
      <c r="JPP104" s="3"/>
      <c r="JPQ104" s="3"/>
      <c r="JPR104" s="3"/>
      <c r="JPS104" s="3"/>
      <c r="JPT104" s="3"/>
      <c r="JPU104" s="3"/>
      <c r="JPV104" s="3"/>
      <c r="JPW104" s="3"/>
      <c r="JPX104" s="3"/>
      <c r="JPY104" s="3"/>
      <c r="JPZ104" s="3"/>
      <c r="JQA104" s="3"/>
      <c r="JQB104" s="3"/>
      <c r="JQC104" s="3"/>
      <c r="JQD104" s="3"/>
      <c r="JQE104" s="3"/>
      <c r="JQF104" s="3"/>
      <c r="JQG104" s="3"/>
      <c r="JQH104" s="3"/>
      <c r="JQI104" s="3"/>
      <c r="JQJ104" s="3"/>
      <c r="JQK104" s="3"/>
      <c r="JQL104" s="3"/>
      <c r="JQM104" s="3"/>
      <c r="JQN104" s="3"/>
      <c r="JQO104" s="3"/>
      <c r="JQP104" s="3"/>
      <c r="JQQ104" s="3"/>
      <c r="JQR104" s="3"/>
      <c r="JQS104" s="3"/>
      <c r="JQT104" s="3"/>
      <c r="JQU104" s="3"/>
      <c r="JQV104" s="3"/>
      <c r="JQW104" s="3"/>
      <c r="JQX104" s="3"/>
      <c r="JQY104" s="3"/>
      <c r="JQZ104" s="3"/>
      <c r="JRA104" s="3"/>
      <c r="JRB104" s="3"/>
      <c r="JRC104" s="3"/>
      <c r="JRD104" s="3"/>
      <c r="JRE104" s="3"/>
      <c r="JRF104" s="3"/>
      <c r="JRG104" s="3"/>
      <c r="JRH104" s="3"/>
      <c r="JRI104" s="3"/>
      <c r="JRJ104" s="3"/>
      <c r="JRK104" s="3"/>
      <c r="JRL104" s="3"/>
      <c r="JRM104" s="3"/>
      <c r="JRN104" s="3"/>
      <c r="JRO104" s="3"/>
      <c r="JRP104" s="3"/>
      <c r="JRQ104" s="3"/>
      <c r="JRR104" s="3"/>
      <c r="JRS104" s="3"/>
      <c r="JRT104" s="3"/>
      <c r="JRU104" s="3"/>
      <c r="JRV104" s="3"/>
      <c r="JRW104" s="3"/>
      <c r="JRX104" s="3"/>
      <c r="JRY104" s="3"/>
      <c r="JRZ104" s="3"/>
      <c r="JSA104" s="3"/>
      <c r="JSB104" s="3"/>
      <c r="JSC104" s="3"/>
      <c r="JSD104" s="3"/>
      <c r="JSE104" s="3"/>
      <c r="JSF104" s="3"/>
      <c r="JSG104" s="3"/>
      <c r="JSH104" s="3"/>
      <c r="JSI104" s="3"/>
      <c r="JSJ104" s="3"/>
      <c r="JSK104" s="3"/>
      <c r="JSL104" s="3"/>
      <c r="JSM104" s="3"/>
      <c r="JSN104" s="3"/>
      <c r="JSO104" s="3"/>
      <c r="JSP104" s="3"/>
      <c r="JSQ104" s="3"/>
      <c r="JSR104" s="3"/>
      <c r="JSS104" s="3"/>
      <c r="JST104" s="3"/>
      <c r="JSU104" s="3"/>
      <c r="JSV104" s="3"/>
      <c r="JSW104" s="3"/>
      <c r="JSX104" s="3"/>
      <c r="JSY104" s="3"/>
      <c r="JSZ104" s="3"/>
      <c r="JTA104" s="3"/>
      <c r="JTB104" s="3"/>
      <c r="JTC104" s="3"/>
      <c r="JTD104" s="3"/>
      <c r="JTE104" s="3"/>
      <c r="JTF104" s="3"/>
      <c r="JTG104" s="3"/>
      <c r="JTH104" s="3"/>
      <c r="JTI104" s="3"/>
      <c r="JTJ104" s="3"/>
      <c r="JTK104" s="3"/>
      <c r="JTL104" s="3"/>
      <c r="JTM104" s="3"/>
      <c r="JTN104" s="3"/>
      <c r="JTO104" s="3"/>
      <c r="JTP104" s="3"/>
      <c r="JTQ104" s="3"/>
      <c r="JTR104" s="3"/>
      <c r="JTS104" s="3"/>
      <c r="JTT104" s="3"/>
      <c r="JTU104" s="3"/>
      <c r="JTV104" s="3"/>
      <c r="JTW104" s="3"/>
      <c r="JTX104" s="3"/>
      <c r="JTY104" s="3"/>
      <c r="JTZ104" s="3"/>
      <c r="JUA104" s="3"/>
      <c r="JUB104" s="3"/>
      <c r="JUC104" s="3"/>
      <c r="JUD104" s="3"/>
      <c r="JUE104" s="3"/>
      <c r="JUF104" s="3"/>
      <c r="JUG104" s="3"/>
      <c r="JUH104" s="3"/>
      <c r="JUI104" s="3"/>
      <c r="JUJ104" s="3"/>
      <c r="JUK104" s="3"/>
      <c r="JUL104" s="3"/>
      <c r="JUM104" s="3"/>
      <c r="JUN104" s="3"/>
      <c r="JUO104" s="3"/>
      <c r="JUP104" s="3"/>
      <c r="JUQ104" s="3"/>
      <c r="JUR104" s="3"/>
      <c r="JUS104" s="3"/>
      <c r="JUT104" s="3"/>
      <c r="JUU104" s="3"/>
      <c r="JUV104" s="3"/>
      <c r="JUW104" s="3"/>
      <c r="JUX104" s="3"/>
      <c r="JUY104" s="3"/>
      <c r="JUZ104" s="3"/>
      <c r="JVA104" s="3"/>
      <c r="JVB104" s="3"/>
      <c r="JVC104" s="3"/>
      <c r="JVD104" s="3"/>
      <c r="JVE104" s="3"/>
      <c r="JVF104" s="3"/>
      <c r="JVG104" s="3"/>
      <c r="JVH104" s="3"/>
      <c r="JVI104" s="3"/>
      <c r="JVJ104" s="3"/>
      <c r="JVK104" s="3"/>
      <c r="JVL104" s="3"/>
      <c r="JVM104" s="3"/>
      <c r="JVN104" s="3"/>
      <c r="JVO104" s="3"/>
      <c r="JVP104" s="3"/>
      <c r="JVQ104" s="3"/>
      <c r="JVR104" s="3"/>
      <c r="JVS104" s="3"/>
      <c r="JVT104" s="3"/>
      <c r="JVU104" s="3"/>
      <c r="JVV104" s="3"/>
      <c r="JVW104" s="3"/>
      <c r="JVX104" s="3"/>
      <c r="JVY104" s="3"/>
      <c r="JVZ104" s="3"/>
      <c r="JWA104" s="3"/>
      <c r="JWB104" s="3"/>
      <c r="JWC104" s="3"/>
      <c r="JWD104" s="3"/>
      <c r="JWE104" s="3"/>
      <c r="JWF104" s="3"/>
      <c r="JWG104" s="3"/>
      <c r="JWH104" s="3"/>
      <c r="JWI104" s="3"/>
      <c r="JWJ104" s="3"/>
      <c r="JWK104" s="3"/>
      <c r="JWL104" s="3"/>
      <c r="JWM104" s="3"/>
      <c r="JWN104" s="3"/>
      <c r="JWO104" s="3"/>
      <c r="JWP104" s="3"/>
      <c r="JWQ104" s="3"/>
      <c r="JWR104" s="3"/>
      <c r="JWS104" s="3"/>
      <c r="JWT104" s="3"/>
      <c r="JWU104" s="3"/>
      <c r="JWV104" s="3"/>
      <c r="JWW104" s="3"/>
      <c r="JWX104" s="3"/>
      <c r="JWY104" s="3"/>
      <c r="JWZ104" s="3"/>
      <c r="JXA104" s="3"/>
      <c r="JXB104" s="3"/>
      <c r="JXC104" s="3"/>
      <c r="JXD104" s="3"/>
      <c r="JXE104" s="3"/>
      <c r="JXF104" s="3"/>
      <c r="JXG104" s="3"/>
      <c r="JXH104" s="3"/>
      <c r="JXI104" s="3"/>
      <c r="JXJ104" s="3"/>
      <c r="JXK104" s="3"/>
      <c r="JXL104" s="3"/>
      <c r="JXM104" s="3"/>
      <c r="JXN104" s="3"/>
      <c r="JXO104" s="3"/>
      <c r="JXP104" s="3"/>
      <c r="JXQ104" s="3"/>
      <c r="JXR104" s="3"/>
      <c r="JXS104" s="3"/>
      <c r="JXT104" s="3"/>
      <c r="JXU104" s="3"/>
      <c r="JXV104" s="3"/>
      <c r="JXW104" s="3"/>
      <c r="JXX104" s="3"/>
      <c r="JXY104" s="3"/>
      <c r="JXZ104" s="3"/>
      <c r="JYA104" s="3"/>
      <c r="JYB104" s="3"/>
      <c r="JYC104" s="3"/>
      <c r="JYD104" s="3"/>
      <c r="JYE104" s="3"/>
      <c r="JYF104" s="3"/>
      <c r="JYG104" s="3"/>
      <c r="JYH104" s="3"/>
      <c r="JYI104" s="3"/>
      <c r="JYJ104" s="3"/>
      <c r="JYK104" s="3"/>
      <c r="JYL104" s="3"/>
      <c r="JYM104" s="3"/>
      <c r="JYN104" s="3"/>
      <c r="JYO104" s="3"/>
      <c r="JYP104" s="3"/>
      <c r="JYQ104" s="3"/>
      <c r="JYR104" s="3"/>
      <c r="JYS104" s="3"/>
      <c r="JYT104" s="3"/>
      <c r="JYU104" s="3"/>
      <c r="JYV104" s="3"/>
      <c r="JYW104" s="3"/>
      <c r="JYX104" s="3"/>
      <c r="JYY104" s="3"/>
      <c r="JYZ104" s="3"/>
      <c r="JZA104" s="3"/>
      <c r="JZB104" s="3"/>
      <c r="JZC104" s="3"/>
      <c r="JZD104" s="3"/>
      <c r="JZE104" s="3"/>
      <c r="JZF104" s="3"/>
      <c r="JZG104" s="3"/>
      <c r="JZH104" s="3"/>
      <c r="JZI104" s="3"/>
      <c r="JZJ104" s="3"/>
      <c r="JZK104" s="3"/>
      <c r="JZL104" s="3"/>
      <c r="JZM104" s="3"/>
      <c r="JZN104" s="3"/>
      <c r="JZO104" s="3"/>
      <c r="JZP104" s="3"/>
      <c r="JZQ104" s="3"/>
      <c r="JZR104" s="3"/>
      <c r="JZS104" s="3"/>
      <c r="JZT104" s="3"/>
      <c r="JZU104" s="3"/>
      <c r="JZV104" s="3"/>
      <c r="JZW104" s="3"/>
      <c r="JZX104" s="3"/>
      <c r="JZY104" s="3"/>
      <c r="JZZ104" s="3"/>
      <c r="KAA104" s="3"/>
      <c r="KAB104" s="3"/>
      <c r="KAC104" s="3"/>
      <c r="KAD104" s="3"/>
      <c r="KAE104" s="3"/>
      <c r="KAF104" s="3"/>
      <c r="KAG104" s="3"/>
      <c r="KAH104" s="3"/>
      <c r="KAI104" s="3"/>
      <c r="KAJ104" s="3"/>
      <c r="KAK104" s="3"/>
      <c r="KAL104" s="3"/>
      <c r="KAM104" s="3"/>
      <c r="KAN104" s="3"/>
      <c r="KAO104" s="3"/>
      <c r="KAP104" s="3"/>
      <c r="KAQ104" s="3"/>
      <c r="KAR104" s="3"/>
      <c r="KAS104" s="3"/>
      <c r="KAT104" s="3"/>
      <c r="KAU104" s="3"/>
      <c r="KAV104" s="3"/>
      <c r="KAW104" s="3"/>
      <c r="KAX104" s="3"/>
      <c r="KAY104" s="3"/>
      <c r="KAZ104" s="3"/>
      <c r="KBA104" s="3"/>
      <c r="KBB104" s="3"/>
      <c r="KBC104" s="3"/>
      <c r="KBD104" s="3"/>
      <c r="KBE104" s="3"/>
      <c r="KBF104" s="3"/>
      <c r="KBG104" s="3"/>
      <c r="KBH104" s="3"/>
      <c r="KBI104" s="3"/>
      <c r="KBJ104" s="3"/>
      <c r="KBK104" s="3"/>
      <c r="KBL104" s="3"/>
      <c r="KBM104" s="3"/>
      <c r="KBN104" s="3"/>
      <c r="KBO104" s="3"/>
      <c r="KBP104" s="3"/>
      <c r="KBQ104" s="3"/>
      <c r="KBR104" s="3"/>
      <c r="KBS104" s="3"/>
      <c r="KBT104" s="3"/>
      <c r="KBU104" s="3"/>
      <c r="KBV104" s="3"/>
      <c r="KBW104" s="3"/>
      <c r="KBX104" s="3"/>
      <c r="KBY104" s="3"/>
      <c r="KBZ104" s="3"/>
      <c r="KCA104" s="3"/>
      <c r="KCB104" s="3"/>
      <c r="KCC104" s="3"/>
      <c r="KCD104" s="3"/>
      <c r="KCE104" s="3"/>
      <c r="KCF104" s="3"/>
      <c r="KCG104" s="3"/>
      <c r="KCH104" s="3"/>
      <c r="KCI104" s="3"/>
      <c r="KCJ104" s="3"/>
      <c r="KCK104" s="3"/>
      <c r="KCL104" s="3"/>
      <c r="KCM104" s="3"/>
      <c r="KCN104" s="3"/>
      <c r="KCO104" s="3"/>
      <c r="KCP104" s="3"/>
      <c r="KCQ104" s="3"/>
      <c r="KCR104" s="3"/>
      <c r="KCS104" s="3"/>
      <c r="KCT104" s="3"/>
      <c r="KCU104" s="3"/>
      <c r="KCV104" s="3"/>
      <c r="KCW104" s="3"/>
      <c r="KCX104" s="3"/>
      <c r="KCY104" s="3"/>
      <c r="KCZ104" s="3"/>
      <c r="KDA104" s="3"/>
      <c r="KDB104" s="3"/>
      <c r="KDC104" s="3"/>
      <c r="KDD104" s="3"/>
      <c r="KDE104" s="3"/>
      <c r="KDF104" s="3"/>
      <c r="KDG104" s="3"/>
      <c r="KDH104" s="3"/>
      <c r="KDI104" s="3"/>
      <c r="KDJ104" s="3"/>
      <c r="KDK104" s="3"/>
      <c r="KDL104" s="3"/>
      <c r="KDM104" s="3"/>
      <c r="KDN104" s="3"/>
      <c r="KDO104" s="3"/>
      <c r="KDP104" s="3"/>
      <c r="KDQ104" s="3"/>
      <c r="KDR104" s="3"/>
      <c r="KDS104" s="3"/>
      <c r="KDT104" s="3"/>
      <c r="KDU104" s="3"/>
      <c r="KDV104" s="3"/>
      <c r="KDW104" s="3"/>
      <c r="KDX104" s="3"/>
      <c r="KDY104" s="3"/>
      <c r="KDZ104" s="3"/>
      <c r="KEA104" s="3"/>
      <c r="KEB104" s="3"/>
      <c r="KEC104" s="3"/>
      <c r="KED104" s="3"/>
      <c r="KEE104" s="3"/>
      <c r="KEF104" s="3"/>
      <c r="KEG104" s="3"/>
      <c r="KEH104" s="3"/>
      <c r="KEI104" s="3"/>
      <c r="KEJ104" s="3"/>
      <c r="KEK104" s="3"/>
      <c r="KEL104" s="3"/>
      <c r="KEM104" s="3"/>
      <c r="KEN104" s="3"/>
      <c r="KEO104" s="3"/>
      <c r="KEP104" s="3"/>
      <c r="KEQ104" s="3"/>
      <c r="KER104" s="3"/>
      <c r="KES104" s="3"/>
      <c r="KET104" s="3"/>
      <c r="KEU104" s="3"/>
      <c r="KEV104" s="3"/>
      <c r="KEW104" s="3"/>
      <c r="KEX104" s="3"/>
      <c r="KEY104" s="3"/>
      <c r="KEZ104" s="3"/>
      <c r="KFA104" s="3"/>
      <c r="KFB104" s="3"/>
      <c r="KFC104" s="3"/>
      <c r="KFD104" s="3"/>
      <c r="KFE104" s="3"/>
      <c r="KFF104" s="3"/>
      <c r="KFG104" s="3"/>
      <c r="KFH104" s="3"/>
      <c r="KFI104" s="3"/>
      <c r="KFJ104" s="3"/>
      <c r="KFK104" s="3"/>
      <c r="KFL104" s="3"/>
      <c r="KFM104" s="3"/>
      <c r="KFN104" s="3"/>
      <c r="KFO104" s="3"/>
      <c r="KFP104" s="3"/>
      <c r="KFQ104" s="3"/>
      <c r="KFR104" s="3"/>
      <c r="KFS104" s="3"/>
      <c r="KFT104" s="3"/>
      <c r="KFU104" s="3"/>
      <c r="KFV104" s="3"/>
      <c r="KFW104" s="3"/>
      <c r="KFX104" s="3"/>
      <c r="KFY104" s="3"/>
      <c r="KFZ104" s="3"/>
      <c r="KGA104" s="3"/>
      <c r="KGB104" s="3"/>
      <c r="KGC104" s="3"/>
      <c r="KGD104" s="3"/>
      <c r="KGE104" s="3"/>
      <c r="KGF104" s="3"/>
      <c r="KGG104" s="3"/>
      <c r="KGH104" s="3"/>
      <c r="KGI104" s="3"/>
      <c r="KGJ104" s="3"/>
      <c r="KGK104" s="3"/>
      <c r="KGL104" s="3"/>
      <c r="KGM104" s="3"/>
      <c r="KGN104" s="3"/>
      <c r="KGO104" s="3"/>
      <c r="KGP104" s="3"/>
      <c r="KGQ104" s="3"/>
      <c r="KGR104" s="3"/>
      <c r="KGS104" s="3"/>
      <c r="KGT104" s="3"/>
      <c r="KGU104" s="3"/>
      <c r="KGV104" s="3"/>
      <c r="KGW104" s="3"/>
      <c r="KGX104" s="3"/>
      <c r="KGY104" s="3"/>
      <c r="KGZ104" s="3"/>
      <c r="KHA104" s="3"/>
      <c r="KHB104" s="3"/>
      <c r="KHC104" s="3"/>
      <c r="KHD104" s="3"/>
      <c r="KHE104" s="3"/>
      <c r="KHF104" s="3"/>
      <c r="KHG104" s="3"/>
      <c r="KHH104" s="3"/>
      <c r="KHI104" s="3"/>
      <c r="KHJ104" s="3"/>
      <c r="KHK104" s="3"/>
      <c r="KHL104" s="3"/>
      <c r="KHM104" s="3"/>
      <c r="KHN104" s="3"/>
      <c r="KHO104" s="3"/>
      <c r="KHP104" s="3"/>
      <c r="KHQ104" s="3"/>
      <c r="KHR104" s="3"/>
      <c r="KHS104" s="3"/>
      <c r="KHT104" s="3"/>
      <c r="KHU104" s="3"/>
      <c r="KHV104" s="3"/>
      <c r="KHW104" s="3"/>
      <c r="KHX104" s="3"/>
      <c r="KHY104" s="3"/>
      <c r="KHZ104" s="3"/>
      <c r="KIA104" s="3"/>
      <c r="KIB104" s="3"/>
      <c r="KIC104" s="3"/>
      <c r="KID104" s="3"/>
      <c r="KIE104" s="3"/>
      <c r="KIF104" s="3"/>
      <c r="KIG104" s="3"/>
      <c r="KIH104" s="3"/>
      <c r="KII104" s="3"/>
      <c r="KIJ104" s="3"/>
      <c r="KIK104" s="3"/>
      <c r="KIL104" s="3"/>
      <c r="KIM104" s="3"/>
      <c r="KIN104" s="3"/>
      <c r="KIO104" s="3"/>
      <c r="KIP104" s="3"/>
      <c r="KIQ104" s="3"/>
      <c r="KIR104" s="3"/>
      <c r="KIS104" s="3"/>
      <c r="KIT104" s="3"/>
      <c r="KIU104" s="3"/>
      <c r="KIV104" s="3"/>
      <c r="KIW104" s="3"/>
      <c r="KIX104" s="3"/>
      <c r="KIY104" s="3"/>
      <c r="KIZ104" s="3"/>
      <c r="KJA104" s="3"/>
      <c r="KJB104" s="3"/>
      <c r="KJC104" s="3"/>
      <c r="KJD104" s="3"/>
      <c r="KJE104" s="3"/>
      <c r="KJF104" s="3"/>
      <c r="KJG104" s="3"/>
      <c r="KJH104" s="3"/>
      <c r="KJI104" s="3"/>
      <c r="KJJ104" s="3"/>
      <c r="KJK104" s="3"/>
      <c r="KJL104" s="3"/>
      <c r="KJM104" s="3"/>
      <c r="KJN104" s="3"/>
      <c r="KJO104" s="3"/>
      <c r="KJP104" s="3"/>
      <c r="KJQ104" s="3"/>
      <c r="KJR104" s="3"/>
      <c r="KJS104" s="3"/>
      <c r="KJT104" s="3"/>
      <c r="KJU104" s="3"/>
      <c r="KJV104" s="3"/>
      <c r="KJW104" s="3"/>
      <c r="KJX104" s="3"/>
      <c r="KJY104" s="3"/>
      <c r="KJZ104" s="3"/>
      <c r="KKA104" s="3"/>
      <c r="KKB104" s="3"/>
      <c r="KKC104" s="3"/>
      <c r="KKD104" s="3"/>
      <c r="KKE104" s="3"/>
      <c r="KKF104" s="3"/>
      <c r="KKG104" s="3"/>
      <c r="KKH104" s="3"/>
      <c r="KKI104" s="3"/>
      <c r="KKJ104" s="3"/>
      <c r="KKK104" s="3"/>
      <c r="KKL104" s="3"/>
      <c r="KKM104" s="3"/>
      <c r="KKN104" s="3"/>
      <c r="KKO104" s="3"/>
      <c r="KKP104" s="3"/>
      <c r="KKQ104" s="3"/>
      <c r="KKR104" s="3"/>
      <c r="KKS104" s="3"/>
      <c r="KKT104" s="3"/>
      <c r="KKU104" s="3"/>
      <c r="KKV104" s="3"/>
      <c r="KKW104" s="3"/>
      <c r="KKX104" s="3"/>
      <c r="KKY104" s="3"/>
      <c r="KKZ104" s="3"/>
      <c r="KLA104" s="3"/>
      <c r="KLB104" s="3"/>
      <c r="KLC104" s="3"/>
      <c r="KLD104" s="3"/>
      <c r="KLE104" s="3"/>
      <c r="KLF104" s="3"/>
      <c r="KLG104" s="3"/>
      <c r="KLH104" s="3"/>
      <c r="KLI104" s="3"/>
      <c r="KLJ104" s="3"/>
      <c r="KLK104" s="3"/>
      <c r="KLL104" s="3"/>
      <c r="KLM104" s="3"/>
      <c r="KLN104" s="3"/>
      <c r="KLO104" s="3"/>
      <c r="KLP104" s="3"/>
      <c r="KLQ104" s="3"/>
      <c r="KLR104" s="3"/>
      <c r="KLS104" s="3"/>
      <c r="KLT104" s="3"/>
      <c r="KLU104" s="3"/>
      <c r="KLV104" s="3"/>
      <c r="KLW104" s="3"/>
      <c r="KLX104" s="3"/>
      <c r="KLY104" s="3"/>
      <c r="KLZ104" s="3"/>
      <c r="KMA104" s="3"/>
      <c r="KMB104" s="3"/>
      <c r="KMC104" s="3"/>
      <c r="KMD104" s="3"/>
      <c r="KME104" s="3"/>
      <c r="KMF104" s="3"/>
      <c r="KMG104" s="3"/>
      <c r="KMH104" s="3"/>
      <c r="KMI104" s="3"/>
      <c r="KMJ104" s="3"/>
      <c r="KMK104" s="3"/>
      <c r="KML104" s="3"/>
      <c r="KMM104" s="3"/>
      <c r="KMN104" s="3"/>
      <c r="KMO104" s="3"/>
      <c r="KMP104" s="3"/>
      <c r="KMQ104" s="3"/>
      <c r="KMR104" s="3"/>
      <c r="KMS104" s="3"/>
      <c r="KMT104" s="3"/>
      <c r="KMU104" s="3"/>
      <c r="KMV104" s="3"/>
      <c r="KMW104" s="3"/>
      <c r="KMX104" s="3"/>
      <c r="KMY104" s="3"/>
      <c r="KMZ104" s="3"/>
      <c r="KNA104" s="3"/>
      <c r="KNB104" s="3"/>
      <c r="KNC104" s="3"/>
      <c r="KND104" s="3"/>
      <c r="KNE104" s="3"/>
      <c r="KNF104" s="3"/>
      <c r="KNG104" s="3"/>
      <c r="KNH104" s="3"/>
      <c r="KNI104" s="3"/>
      <c r="KNJ104" s="3"/>
      <c r="KNK104" s="3"/>
      <c r="KNL104" s="3"/>
      <c r="KNM104" s="3"/>
      <c r="KNN104" s="3"/>
      <c r="KNO104" s="3"/>
      <c r="KNP104" s="3"/>
      <c r="KNQ104" s="3"/>
      <c r="KNR104" s="3"/>
      <c r="KNS104" s="3"/>
      <c r="KNT104" s="3"/>
      <c r="KNU104" s="3"/>
      <c r="KNV104" s="3"/>
      <c r="KNW104" s="3"/>
      <c r="KNX104" s="3"/>
      <c r="KNY104" s="3"/>
      <c r="KNZ104" s="3"/>
      <c r="KOA104" s="3"/>
      <c r="KOB104" s="3"/>
      <c r="KOC104" s="3"/>
      <c r="KOD104" s="3"/>
      <c r="KOE104" s="3"/>
      <c r="KOF104" s="3"/>
      <c r="KOG104" s="3"/>
      <c r="KOH104" s="3"/>
      <c r="KOI104" s="3"/>
      <c r="KOJ104" s="3"/>
      <c r="KOK104" s="3"/>
      <c r="KOL104" s="3"/>
      <c r="KOM104" s="3"/>
      <c r="KON104" s="3"/>
      <c r="KOO104" s="3"/>
      <c r="KOP104" s="3"/>
      <c r="KOQ104" s="3"/>
      <c r="KOR104" s="3"/>
      <c r="KOS104" s="3"/>
      <c r="KOT104" s="3"/>
      <c r="KOU104" s="3"/>
      <c r="KOV104" s="3"/>
      <c r="KOW104" s="3"/>
      <c r="KOX104" s="3"/>
      <c r="KOY104" s="3"/>
      <c r="KOZ104" s="3"/>
      <c r="KPA104" s="3"/>
      <c r="KPB104" s="3"/>
      <c r="KPC104" s="3"/>
      <c r="KPD104" s="3"/>
      <c r="KPE104" s="3"/>
      <c r="KPF104" s="3"/>
      <c r="KPG104" s="3"/>
      <c r="KPH104" s="3"/>
      <c r="KPI104" s="3"/>
      <c r="KPJ104" s="3"/>
      <c r="KPK104" s="3"/>
      <c r="KPL104" s="3"/>
      <c r="KPM104" s="3"/>
      <c r="KPN104" s="3"/>
      <c r="KPO104" s="3"/>
      <c r="KPP104" s="3"/>
      <c r="KPQ104" s="3"/>
      <c r="KPR104" s="3"/>
      <c r="KPS104" s="3"/>
      <c r="KPT104" s="3"/>
      <c r="KPU104" s="3"/>
      <c r="KPV104" s="3"/>
      <c r="KPW104" s="3"/>
      <c r="KPX104" s="3"/>
      <c r="KPY104" s="3"/>
      <c r="KPZ104" s="3"/>
      <c r="KQA104" s="3"/>
      <c r="KQB104" s="3"/>
      <c r="KQC104" s="3"/>
      <c r="KQD104" s="3"/>
      <c r="KQE104" s="3"/>
      <c r="KQF104" s="3"/>
      <c r="KQG104" s="3"/>
      <c r="KQH104" s="3"/>
      <c r="KQI104" s="3"/>
      <c r="KQJ104" s="3"/>
      <c r="KQK104" s="3"/>
      <c r="KQL104" s="3"/>
      <c r="KQM104" s="3"/>
      <c r="KQN104" s="3"/>
      <c r="KQO104" s="3"/>
      <c r="KQP104" s="3"/>
      <c r="KQQ104" s="3"/>
      <c r="KQR104" s="3"/>
      <c r="KQS104" s="3"/>
      <c r="KQT104" s="3"/>
      <c r="KQU104" s="3"/>
      <c r="KQV104" s="3"/>
      <c r="KQW104" s="3"/>
      <c r="KQX104" s="3"/>
      <c r="KQY104" s="3"/>
      <c r="KQZ104" s="3"/>
      <c r="KRA104" s="3"/>
      <c r="KRB104" s="3"/>
      <c r="KRC104" s="3"/>
      <c r="KRD104" s="3"/>
      <c r="KRE104" s="3"/>
      <c r="KRF104" s="3"/>
      <c r="KRG104" s="3"/>
      <c r="KRH104" s="3"/>
      <c r="KRI104" s="3"/>
      <c r="KRJ104" s="3"/>
      <c r="KRK104" s="3"/>
      <c r="KRL104" s="3"/>
      <c r="KRM104" s="3"/>
      <c r="KRN104" s="3"/>
      <c r="KRO104" s="3"/>
      <c r="KRP104" s="3"/>
      <c r="KRQ104" s="3"/>
      <c r="KRR104" s="3"/>
      <c r="KRS104" s="3"/>
      <c r="KRT104" s="3"/>
      <c r="KRU104" s="3"/>
      <c r="KRV104" s="3"/>
      <c r="KRW104" s="3"/>
      <c r="KRX104" s="3"/>
      <c r="KRY104" s="3"/>
      <c r="KRZ104" s="3"/>
      <c r="KSA104" s="3"/>
      <c r="KSB104" s="3"/>
      <c r="KSC104" s="3"/>
      <c r="KSD104" s="3"/>
      <c r="KSE104" s="3"/>
      <c r="KSF104" s="3"/>
      <c r="KSG104" s="3"/>
      <c r="KSH104" s="3"/>
      <c r="KSI104" s="3"/>
      <c r="KSJ104" s="3"/>
      <c r="KSK104" s="3"/>
      <c r="KSL104" s="3"/>
      <c r="KSM104" s="3"/>
      <c r="KSN104" s="3"/>
      <c r="KSO104" s="3"/>
      <c r="KSP104" s="3"/>
      <c r="KSQ104" s="3"/>
      <c r="KSR104" s="3"/>
      <c r="KSS104" s="3"/>
      <c r="KST104" s="3"/>
      <c r="KSU104" s="3"/>
      <c r="KSV104" s="3"/>
      <c r="KSW104" s="3"/>
      <c r="KSX104" s="3"/>
      <c r="KSY104" s="3"/>
      <c r="KSZ104" s="3"/>
      <c r="KTA104" s="3"/>
      <c r="KTB104" s="3"/>
      <c r="KTC104" s="3"/>
      <c r="KTD104" s="3"/>
      <c r="KTE104" s="3"/>
      <c r="KTF104" s="3"/>
      <c r="KTG104" s="3"/>
      <c r="KTH104" s="3"/>
      <c r="KTI104" s="3"/>
      <c r="KTJ104" s="3"/>
      <c r="KTK104" s="3"/>
      <c r="KTL104" s="3"/>
      <c r="KTM104" s="3"/>
      <c r="KTN104" s="3"/>
      <c r="KTO104" s="3"/>
      <c r="KTP104" s="3"/>
      <c r="KTQ104" s="3"/>
      <c r="KTR104" s="3"/>
      <c r="KTS104" s="3"/>
      <c r="KTT104" s="3"/>
      <c r="KTU104" s="3"/>
      <c r="KTV104" s="3"/>
      <c r="KTW104" s="3"/>
      <c r="KTX104" s="3"/>
      <c r="KTY104" s="3"/>
      <c r="KTZ104" s="3"/>
      <c r="KUA104" s="3"/>
      <c r="KUB104" s="3"/>
      <c r="KUC104" s="3"/>
      <c r="KUD104" s="3"/>
      <c r="KUE104" s="3"/>
      <c r="KUF104" s="3"/>
      <c r="KUG104" s="3"/>
      <c r="KUH104" s="3"/>
      <c r="KUI104" s="3"/>
      <c r="KUJ104" s="3"/>
      <c r="KUK104" s="3"/>
      <c r="KUL104" s="3"/>
      <c r="KUM104" s="3"/>
      <c r="KUN104" s="3"/>
      <c r="KUO104" s="3"/>
      <c r="KUP104" s="3"/>
      <c r="KUQ104" s="3"/>
      <c r="KUR104" s="3"/>
      <c r="KUS104" s="3"/>
      <c r="KUT104" s="3"/>
      <c r="KUU104" s="3"/>
      <c r="KUV104" s="3"/>
      <c r="KUW104" s="3"/>
      <c r="KUX104" s="3"/>
      <c r="KUY104" s="3"/>
      <c r="KUZ104" s="3"/>
      <c r="KVA104" s="3"/>
      <c r="KVB104" s="3"/>
      <c r="KVC104" s="3"/>
      <c r="KVD104" s="3"/>
      <c r="KVE104" s="3"/>
      <c r="KVF104" s="3"/>
      <c r="KVG104" s="3"/>
      <c r="KVH104" s="3"/>
      <c r="KVI104" s="3"/>
      <c r="KVJ104" s="3"/>
      <c r="KVK104" s="3"/>
      <c r="KVL104" s="3"/>
      <c r="KVM104" s="3"/>
      <c r="KVN104" s="3"/>
      <c r="KVO104" s="3"/>
      <c r="KVP104" s="3"/>
      <c r="KVQ104" s="3"/>
      <c r="KVR104" s="3"/>
      <c r="KVS104" s="3"/>
      <c r="KVT104" s="3"/>
      <c r="KVU104" s="3"/>
      <c r="KVV104" s="3"/>
      <c r="KVW104" s="3"/>
      <c r="KVX104" s="3"/>
      <c r="KVY104" s="3"/>
      <c r="KVZ104" s="3"/>
      <c r="KWA104" s="3"/>
      <c r="KWB104" s="3"/>
      <c r="KWC104" s="3"/>
      <c r="KWD104" s="3"/>
      <c r="KWE104" s="3"/>
      <c r="KWF104" s="3"/>
      <c r="KWG104" s="3"/>
      <c r="KWH104" s="3"/>
      <c r="KWI104" s="3"/>
      <c r="KWJ104" s="3"/>
      <c r="KWK104" s="3"/>
      <c r="KWL104" s="3"/>
      <c r="KWM104" s="3"/>
      <c r="KWN104" s="3"/>
      <c r="KWO104" s="3"/>
      <c r="KWP104" s="3"/>
      <c r="KWQ104" s="3"/>
      <c r="KWR104" s="3"/>
      <c r="KWS104" s="3"/>
      <c r="KWT104" s="3"/>
      <c r="KWU104" s="3"/>
      <c r="KWV104" s="3"/>
      <c r="KWW104" s="3"/>
      <c r="KWX104" s="3"/>
      <c r="KWY104" s="3"/>
      <c r="KWZ104" s="3"/>
      <c r="KXA104" s="3"/>
      <c r="KXB104" s="3"/>
      <c r="KXC104" s="3"/>
      <c r="KXD104" s="3"/>
      <c r="KXE104" s="3"/>
      <c r="KXF104" s="3"/>
      <c r="KXG104" s="3"/>
      <c r="KXH104" s="3"/>
      <c r="KXI104" s="3"/>
      <c r="KXJ104" s="3"/>
      <c r="KXK104" s="3"/>
      <c r="KXL104" s="3"/>
      <c r="KXM104" s="3"/>
      <c r="KXN104" s="3"/>
      <c r="KXO104" s="3"/>
      <c r="KXP104" s="3"/>
      <c r="KXQ104" s="3"/>
      <c r="KXR104" s="3"/>
      <c r="KXS104" s="3"/>
      <c r="KXT104" s="3"/>
      <c r="KXU104" s="3"/>
      <c r="KXV104" s="3"/>
      <c r="KXW104" s="3"/>
      <c r="KXX104" s="3"/>
      <c r="KXY104" s="3"/>
      <c r="KXZ104" s="3"/>
      <c r="KYA104" s="3"/>
      <c r="KYB104" s="3"/>
      <c r="KYC104" s="3"/>
      <c r="KYD104" s="3"/>
      <c r="KYE104" s="3"/>
      <c r="KYF104" s="3"/>
      <c r="KYG104" s="3"/>
      <c r="KYH104" s="3"/>
      <c r="KYI104" s="3"/>
      <c r="KYJ104" s="3"/>
      <c r="KYK104" s="3"/>
      <c r="KYL104" s="3"/>
      <c r="KYM104" s="3"/>
      <c r="KYN104" s="3"/>
      <c r="KYO104" s="3"/>
      <c r="KYP104" s="3"/>
      <c r="KYQ104" s="3"/>
      <c r="KYR104" s="3"/>
      <c r="KYS104" s="3"/>
      <c r="KYT104" s="3"/>
      <c r="KYU104" s="3"/>
      <c r="KYV104" s="3"/>
      <c r="KYW104" s="3"/>
      <c r="KYX104" s="3"/>
      <c r="KYY104" s="3"/>
      <c r="KYZ104" s="3"/>
      <c r="KZA104" s="3"/>
      <c r="KZB104" s="3"/>
      <c r="KZC104" s="3"/>
      <c r="KZD104" s="3"/>
      <c r="KZE104" s="3"/>
      <c r="KZF104" s="3"/>
      <c r="KZG104" s="3"/>
      <c r="KZH104" s="3"/>
      <c r="KZI104" s="3"/>
      <c r="KZJ104" s="3"/>
      <c r="KZK104" s="3"/>
      <c r="KZL104" s="3"/>
      <c r="KZM104" s="3"/>
      <c r="KZN104" s="3"/>
      <c r="KZO104" s="3"/>
      <c r="KZP104" s="3"/>
      <c r="KZQ104" s="3"/>
      <c r="KZR104" s="3"/>
      <c r="KZS104" s="3"/>
      <c r="KZT104" s="3"/>
      <c r="KZU104" s="3"/>
      <c r="KZV104" s="3"/>
      <c r="KZW104" s="3"/>
      <c r="KZX104" s="3"/>
      <c r="KZY104" s="3"/>
      <c r="KZZ104" s="3"/>
      <c r="LAA104" s="3"/>
      <c r="LAB104" s="3"/>
      <c r="LAC104" s="3"/>
      <c r="LAD104" s="3"/>
      <c r="LAE104" s="3"/>
      <c r="LAF104" s="3"/>
      <c r="LAG104" s="3"/>
      <c r="LAH104" s="3"/>
      <c r="LAI104" s="3"/>
      <c r="LAJ104" s="3"/>
      <c r="LAK104" s="3"/>
      <c r="LAL104" s="3"/>
      <c r="LAM104" s="3"/>
      <c r="LAN104" s="3"/>
      <c r="LAO104" s="3"/>
      <c r="LAP104" s="3"/>
      <c r="LAQ104" s="3"/>
      <c r="LAR104" s="3"/>
      <c r="LAS104" s="3"/>
      <c r="LAT104" s="3"/>
      <c r="LAU104" s="3"/>
      <c r="LAV104" s="3"/>
      <c r="LAW104" s="3"/>
      <c r="LAX104" s="3"/>
      <c r="LAY104" s="3"/>
      <c r="LAZ104" s="3"/>
      <c r="LBA104" s="3"/>
      <c r="LBB104" s="3"/>
      <c r="LBC104" s="3"/>
      <c r="LBD104" s="3"/>
      <c r="LBE104" s="3"/>
      <c r="LBF104" s="3"/>
      <c r="LBG104" s="3"/>
      <c r="LBH104" s="3"/>
      <c r="LBI104" s="3"/>
      <c r="LBJ104" s="3"/>
      <c r="LBK104" s="3"/>
      <c r="LBL104" s="3"/>
      <c r="LBM104" s="3"/>
      <c r="LBN104" s="3"/>
      <c r="LBO104" s="3"/>
      <c r="LBP104" s="3"/>
      <c r="LBQ104" s="3"/>
      <c r="LBR104" s="3"/>
      <c r="LBS104" s="3"/>
      <c r="LBT104" s="3"/>
      <c r="LBU104" s="3"/>
      <c r="LBV104" s="3"/>
      <c r="LBW104" s="3"/>
      <c r="LBX104" s="3"/>
      <c r="LBY104" s="3"/>
      <c r="LBZ104" s="3"/>
      <c r="LCA104" s="3"/>
      <c r="LCB104" s="3"/>
      <c r="LCC104" s="3"/>
      <c r="LCD104" s="3"/>
      <c r="LCE104" s="3"/>
      <c r="LCF104" s="3"/>
      <c r="LCG104" s="3"/>
      <c r="LCH104" s="3"/>
      <c r="LCI104" s="3"/>
      <c r="LCJ104" s="3"/>
      <c r="LCK104" s="3"/>
      <c r="LCL104" s="3"/>
      <c r="LCM104" s="3"/>
      <c r="LCN104" s="3"/>
      <c r="LCO104" s="3"/>
      <c r="LCP104" s="3"/>
      <c r="LCQ104" s="3"/>
      <c r="LCR104" s="3"/>
      <c r="LCS104" s="3"/>
      <c r="LCT104" s="3"/>
      <c r="LCU104" s="3"/>
      <c r="LCV104" s="3"/>
      <c r="LCW104" s="3"/>
      <c r="LCX104" s="3"/>
      <c r="LCY104" s="3"/>
      <c r="LCZ104" s="3"/>
      <c r="LDA104" s="3"/>
      <c r="LDB104" s="3"/>
      <c r="LDC104" s="3"/>
      <c r="LDD104" s="3"/>
      <c r="LDE104" s="3"/>
      <c r="LDF104" s="3"/>
      <c r="LDG104" s="3"/>
      <c r="LDH104" s="3"/>
      <c r="LDI104" s="3"/>
      <c r="LDJ104" s="3"/>
      <c r="LDK104" s="3"/>
      <c r="LDL104" s="3"/>
      <c r="LDM104" s="3"/>
      <c r="LDN104" s="3"/>
      <c r="LDO104" s="3"/>
      <c r="LDP104" s="3"/>
      <c r="LDQ104" s="3"/>
      <c r="LDR104" s="3"/>
      <c r="LDS104" s="3"/>
      <c r="LDT104" s="3"/>
      <c r="LDU104" s="3"/>
      <c r="LDV104" s="3"/>
      <c r="LDW104" s="3"/>
      <c r="LDX104" s="3"/>
      <c r="LDY104" s="3"/>
      <c r="LDZ104" s="3"/>
      <c r="LEA104" s="3"/>
      <c r="LEB104" s="3"/>
      <c r="LEC104" s="3"/>
      <c r="LED104" s="3"/>
      <c r="LEE104" s="3"/>
      <c r="LEF104" s="3"/>
      <c r="LEG104" s="3"/>
      <c r="LEH104" s="3"/>
      <c r="LEI104" s="3"/>
      <c r="LEJ104" s="3"/>
      <c r="LEK104" s="3"/>
      <c r="LEL104" s="3"/>
      <c r="LEM104" s="3"/>
      <c r="LEN104" s="3"/>
      <c r="LEO104" s="3"/>
      <c r="LEP104" s="3"/>
      <c r="LEQ104" s="3"/>
      <c r="LER104" s="3"/>
      <c r="LES104" s="3"/>
      <c r="LET104" s="3"/>
      <c r="LEU104" s="3"/>
      <c r="LEV104" s="3"/>
      <c r="LEW104" s="3"/>
      <c r="LEX104" s="3"/>
      <c r="LEY104" s="3"/>
      <c r="LEZ104" s="3"/>
      <c r="LFA104" s="3"/>
      <c r="LFB104" s="3"/>
      <c r="LFC104" s="3"/>
      <c r="LFD104" s="3"/>
      <c r="LFE104" s="3"/>
      <c r="LFF104" s="3"/>
      <c r="LFG104" s="3"/>
      <c r="LFH104" s="3"/>
      <c r="LFI104" s="3"/>
      <c r="LFJ104" s="3"/>
      <c r="LFK104" s="3"/>
      <c r="LFL104" s="3"/>
      <c r="LFM104" s="3"/>
      <c r="LFN104" s="3"/>
      <c r="LFO104" s="3"/>
      <c r="LFP104" s="3"/>
      <c r="LFQ104" s="3"/>
      <c r="LFR104" s="3"/>
      <c r="LFS104" s="3"/>
      <c r="LFT104" s="3"/>
      <c r="LFU104" s="3"/>
      <c r="LFV104" s="3"/>
      <c r="LFW104" s="3"/>
      <c r="LFX104" s="3"/>
      <c r="LFY104" s="3"/>
      <c r="LFZ104" s="3"/>
      <c r="LGA104" s="3"/>
      <c r="LGB104" s="3"/>
      <c r="LGC104" s="3"/>
      <c r="LGD104" s="3"/>
      <c r="LGE104" s="3"/>
      <c r="LGF104" s="3"/>
      <c r="LGG104" s="3"/>
      <c r="LGH104" s="3"/>
      <c r="LGI104" s="3"/>
      <c r="LGJ104" s="3"/>
      <c r="LGK104" s="3"/>
      <c r="LGL104" s="3"/>
      <c r="LGM104" s="3"/>
      <c r="LGN104" s="3"/>
      <c r="LGO104" s="3"/>
      <c r="LGP104" s="3"/>
      <c r="LGQ104" s="3"/>
      <c r="LGR104" s="3"/>
      <c r="LGS104" s="3"/>
      <c r="LGT104" s="3"/>
      <c r="LGU104" s="3"/>
      <c r="LGV104" s="3"/>
      <c r="LGW104" s="3"/>
      <c r="LGX104" s="3"/>
      <c r="LGY104" s="3"/>
      <c r="LGZ104" s="3"/>
      <c r="LHA104" s="3"/>
      <c r="LHB104" s="3"/>
      <c r="LHC104" s="3"/>
      <c r="LHD104" s="3"/>
      <c r="LHE104" s="3"/>
      <c r="LHF104" s="3"/>
      <c r="LHG104" s="3"/>
      <c r="LHH104" s="3"/>
      <c r="LHI104" s="3"/>
      <c r="LHJ104" s="3"/>
      <c r="LHK104" s="3"/>
      <c r="LHL104" s="3"/>
      <c r="LHM104" s="3"/>
      <c r="LHN104" s="3"/>
      <c r="LHO104" s="3"/>
      <c r="LHP104" s="3"/>
      <c r="LHQ104" s="3"/>
      <c r="LHR104" s="3"/>
      <c r="LHS104" s="3"/>
      <c r="LHT104" s="3"/>
      <c r="LHU104" s="3"/>
      <c r="LHV104" s="3"/>
      <c r="LHW104" s="3"/>
      <c r="LHX104" s="3"/>
      <c r="LHY104" s="3"/>
      <c r="LHZ104" s="3"/>
      <c r="LIA104" s="3"/>
      <c r="LIB104" s="3"/>
      <c r="LIC104" s="3"/>
      <c r="LID104" s="3"/>
      <c r="LIE104" s="3"/>
      <c r="LIF104" s="3"/>
      <c r="LIG104" s="3"/>
      <c r="LIH104" s="3"/>
      <c r="LII104" s="3"/>
      <c r="LIJ104" s="3"/>
      <c r="LIK104" s="3"/>
      <c r="LIL104" s="3"/>
      <c r="LIM104" s="3"/>
      <c r="LIN104" s="3"/>
      <c r="LIO104" s="3"/>
      <c r="LIP104" s="3"/>
      <c r="LIQ104" s="3"/>
      <c r="LIR104" s="3"/>
      <c r="LIS104" s="3"/>
      <c r="LIT104" s="3"/>
      <c r="LIU104" s="3"/>
      <c r="LIV104" s="3"/>
      <c r="LIW104" s="3"/>
      <c r="LIX104" s="3"/>
      <c r="LIY104" s="3"/>
      <c r="LIZ104" s="3"/>
      <c r="LJA104" s="3"/>
      <c r="LJB104" s="3"/>
      <c r="LJC104" s="3"/>
      <c r="LJD104" s="3"/>
      <c r="LJE104" s="3"/>
      <c r="LJF104" s="3"/>
      <c r="LJG104" s="3"/>
      <c r="LJH104" s="3"/>
      <c r="LJI104" s="3"/>
      <c r="LJJ104" s="3"/>
      <c r="LJK104" s="3"/>
      <c r="LJL104" s="3"/>
      <c r="LJM104" s="3"/>
      <c r="LJN104" s="3"/>
      <c r="LJO104" s="3"/>
      <c r="LJP104" s="3"/>
      <c r="LJQ104" s="3"/>
      <c r="LJR104" s="3"/>
      <c r="LJS104" s="3"/>
      <c r="LJT104" s="3"/>
      <c r="LJU104" s="3"/>
      <c r="LJV104" s="3"/>
      <c r="LJW104" s="3"/>
      <c r="LJX104" s="3"/>
      <c r="LJY104" s="3"/>
      <c r="LJZ104" s="3"/>
      <c r="LKA104" s="3"/>
      <c r="LKB104" s="3"/>
      <c r="LKC104" s="3"/>
      <c r="LKD104" s="3"/>
      <c r="LKE104" s="3"/>
      <c r="LKF104" s="3"/>
      <c r="LKG104" s="3"/>
      <c r="LKH104" s="3"/>
      <c r="LKI104" s="3"/>
      <c r="LKJ104" s="3"/>
      <c r="LKK104" s="3"/>
      <c r="LKL104" s="3"/>
      <c r="LKM104" s="3"/>
      <c r="LKN104" s="3"/>
      <c r="LKO104" s="3"/>
      <c r="LKP104" s="3"/>
      <c r="LKQ104" s="3"/>
      <c r="LKR104" s="3"/>
      <c r="LKS104" s="3"/>
      <c r="LKT104" s="3"/>
      <c r="LKU104" s="3"/>
      <c r="LKV104" s="3"/>
      <c r="LKW104" s="3"/>
      <c r="LKX104" s="3"/>
      <c r="LKY104" s="3"/>
      <c r="LKZ104" s="3"/>
      <c r="LLA104" s="3"/>
      <c r="LLB104" s="3"/>
      <c r="LLC104" s="3"/>
      <c r="LLD104" s="3"/>
      <c r="LLE104" s="3"/>
      <c r="LLF104" s="3"/>
      <c r="LLG104" s="3"/>
      <c r="LLH104" s="3"/>
      <c r="LLI104" s="3"/>
      <c r="LLJ104" s="3"/>
      <c r="LLK104" s="3"/>
      <c r="LLL104" s="3"/>
      <c r="LLM104" s="3"/>
      <c r="LLN104" s="3"/>
      <c r="LLO104" s="3"/>
      <c r="LLP104" s="3"/>
      <c r="LLQ104" s="3"/>
      <c r="LLR104" s="3"/>
      <c r="LLS104" s="3"/>
      <c r="LLT104" s="3"/>
      <c r="LLU104" s="3"/>
      <c r="LLV104" s="3"/>
      <c r="LLW104" s="3"/>
      <c r="LLX104" s="3"/>
      <c r="LLY104" s="3"/>
      <c r="LLZ104" s="3"/>
      <c r="LMA104" s="3"/>
      <c r="LMB104" s="3"/>
      <c r="LMC104" s="3"/>
      <c r="LMD104" s="3"/>
      <c r="LME104" s="3"/>
      <c r="LMF104" s="3"/>
      <c r="LMG104" s="3"/>
      <c r="LMH104" s="3"/>
      <c r="LMI104" s="3"/>
      <c r="LMJ104" s="3"/>
      <c r="LMK104" s="3"/>
      <c r="LML104" s="3"/>
      <c r="LMM104" s="3"/>
      <c r="LMN104" s="3"/>
      <c r="LMO104" s="3"/>
      <c r="LMP104" s="3"/>
      <c r="LMQ104" s="3"/>
      <c r="LMR104" s="3"/>
      <c r="LMS104" s="3"/>
      <c r="LMT104" s="3"/>
      <c r="LMU104" s="3"/>
      <c r="LMV104" s="3"/>
      <c r="LMW104" s="3"/>
      <c r="LMX104" s="3"/>
      <c r="LMY104" s="3"/>
      <c r="LMZ104" s="3"/>
      <c r="LNA104" s="3"/>
      <c r="LNB104" s="3"/>
      <c r="LNC104" s="3"/>
      <c r="LND104" s="3"/>
      <c r="LNE104" s="3"/>
      <c r="LNF104" s="3"/>
      <c r="LNG104" s="3"/>
      <c r="LNH104" s="3"/>
      <c r="LNI104" s="3"/>
      <c r="LNJ104" s="3"/>
      <c r="LNK104" s="3"/>
      <c r="LNL104" s="3"/>
      <c r="LNM104" s="3"/>
      <c r="LNN104" s="3"/>
      <c r="LNO104" s="3"/>
      <c r="LNP104" s="3"/>
      <c r="LNQ104" s="3"/>
      <c r="LNR104" s="3"/>
      <c r="LNS104" s="3"/>
      <c r="LNT104" s="3"/>
      <c r="LNU104" s="3"/>
      <c r="LNV104" s="3"/>
      <c r="LNW104" s="3"/>
      <c r="LNX104" s="3"/>
      <c r="LNY104" s="3"/>
      <c r="LNZ104" s="3"/>
      <c r="LOA104" s="3"/>
      <c r="LOB104" s="3"/>
      <c r="LOC104" s="3"/>
      <c r="LOD104" s="3"/>
      <c r="LOE104" s="3"/>
      <c r="LOF104" s="3"/>
      <c r="LOG104" s="3"/>
      <c r="LOH104" s="3"/>
      <c r="LOI104" s="3"/>
      <c r="LOJ104" s="3"/>
      <c r="LOK104" s="3"/>
      <c r="LOL104" s="3"/>
      <c r="LOM104" s="3"/>
      <c r="LON104" s="3"/>
      <c r="LOO104" s="3"/>
      <c r="LOP104" s="3"/>
      <c r="LOQ104" s="3"/>
      <c r="LOR104" s="3"/>
      <c r="LOS104" s="3"/>
      <c r="LOT104" s="3"/>
      <c r="LOU104" s="3"/>
      <c r="LOV104" s="3"/>
      <c r="LOW104" s="3"/>
      <c r="LOX104" s="3"/>
      <c r="LOY104" s="3"/>
      <c r="LOZ104" s="3"/>
      <c r="LPA104" s="3"/>
      <c r="LPB104" s="3"/>
      <c r="LPC104" s="3"/>
      <c r="LPD104" s="3"/>
      <c r="LPE104" s="3"/>
      <c r="LPF104" s="3"/>
      <c r="LPG104" s="3"/>
      <c r="LPH104" s="3"/>
      <c r="LPI104" s="3"/>
      <c r="LPJ104" s="3"/>
      <c r="LPK104" s="3"/>
      <c r="LPL104" s="3"/>
      <c r="LPM104" s="3"/>
      <c r="LPN104" s="3"/>
      <c r="LPO104" s="3"/>
      <c r="LPP104" s="3"/>
      <c r="LPQ104" s="3"/>
      <c r="LPR104" s="3"/>
      <c r="LPS104" s="3"/>
      <c r="LPT104" s="3"/>
      <c r="LPU104" s="3"/>
      <c r="LPV104" s="3"/>
      <c r="LPW104" s="3"/>
      <c r="LPX104" s="3"/>
      <c r="LPY104" s="3"/>
      <c r="LPZ104" s="3"/>
      <c r="LQA104" s="3"/>
      <c r="LQB104" s="3"/>
      <c r="LQC104" s="3"/>
      <c r="LQD104" s="3"/>
      <c r="LQE104" s="3"/>
      <c r="LQF104" s="3"/>
      <c r="LQG104" s="3"/>
      <c r="LQH104" s="3"/>
      <c r="LQI104" s="3"/>
      <c r="LQJ104" s="3"/>
      <c r="LQK104" s="3"/>
      <c r="LQL104" s="3"/>
      <c r="LQM104" s="3"/>
      <c r="LQN104" s="3"/>
      <c r="LQO104" s="3"/>
      <c r="LQP104" s="3"/>
      <c r="LQQ104" s="3"/>
      <c r="LQR104" s="3"/>
      <c r="LQS104" s="3"/>
      <c r="LQT104" s="3"/>
      <c r="LQU104" s="3"/>
      <c r="LQV104" s="3"/>
      <c r="LQW104" s="3"/>
      <c r="LQX104" s="3"/>
      <c r="LQY104" s="3"/>
      <c r="LQZ104" s="3"/>
      <c r="LRA104" s="3"/>
      <c r="LRB104" s="3"/>
      <c r="LRC104" s="3"/>
      <c r="LRD104" s="3"/>
      <c r="LRE104" s="3"/>
      <c r="LRF104" s="3"/>
      <c r="LRG104" s="3"/>
      <c r="LRH104" s="3"/>
      <c r="LRI104" s="3"/>
      <c r="LRJ104" s="3"/>
      <c r="LRK104" s="3"/>
      <c r="LRL104" s="3"/>
      <c r="LRM104" s="3"/>
      <c r="LRN104" s="3"/>
      <c r="LRO104" s="3"/>
      <c r="LRP104" s="3"/>
      <c r="LRQ104" s="3"/>
      <c r="LRR104" s="3"/>
      <c r="LRS104" s="3"/>
      <c r="LRT104" s="3"/>
      <c r="LRU104" s="3"/>
      <c r="LRV104" s="3"/>
      <c r="LRW104" s="3"/>
      <c r="LRX104" s="3"/>
      <c r="LRY104" s="3"/>
      <c r="LRZ104" s="3"/>
      <c r="LSA104" s="3"/>
      <c r="LSB104" s="3"/>
      <c r="LSC104" s="3"/>
      <c r="LSD104" s="3"/>
      <c r="LSE104" s="3"/>
      <c r="LSF104" s="3"/>
      <c r="LSG104" s="3"/>
      <c r="LSH104" s="3"/>
      <c r="LSI104" s="3"/>
      <c r="LSJ104" s="3"/>
      <c r="LSK104" s="3"/>
      <c r="LSL104" s="3"/>
      <c r="LSM104" s="3"/>
      <c r="LSN104" s="3"/>
      <c r="LSO104" s="3"/>
      <c r="LSP104" s="3"/>
      <c r="LSQ104" s="3"/>
      <c r="LSR104" s="3"/>
      <c r="LSS104" s="3"/>
      <c r="LST104" s="3"/>
      <c r="LSU104" s="3"/>
      <c r="LSV104" s="3"/>
      <c r="LSW104" s="3"/>
      <c r="LSX104" s="3"/>
      <c r="LSY104" s="3"/>
      <c r="LSZ104" s="3"/>
      <c r="LTA104" s="3"/>
      <c r="LTB104" s="3"/>
      <c r="LTC104" s="3"/>
      <c r="LTD104" s="3"/>
      <c r="LTE104" s="3"/>
      <c r="LTF104" s="3"/>
      <c r="LTG104" s="3"/>
      <c r="LTH104" s="3"/>
      <c r="LTI104" s="3"/>
      <c r="LTJ104" s="3"/>
      <c r="LTK104" s="3"/>
      <c r="LTL104" s="3"/>
      <c r="LTM104" s="3"/>
      <c r="LTN104" s="3"/>
      <c r="LTO104" s="3"/>
      <c r="LTP104" s="3"/>
      <c r="LTQ104" s="3"/>
      <c r="LTR104" s="3"/>
      <c r="LTS104" s="3"/>
      <c r="LTT104" s="3"/>
      <c r="LTU104" s="3"/>
      <c r="LTV104" s="3"/>
      <c r="LTW104" s="3"/>
      <c r="LTX104" s="3"/>
      <c r="LTY104" s="3"/>
      <c r="LTZ104" s="3"/>
      <c r="LUA104" s="3"/>
      <c r="LUB104" s="3"/>
      <c r="LUC104" s="3"/>
      <c r="LUD104" s="3"/>
      <c r="LUE104" s="3"/>
      <c r="LUF104" s="3"/>
      <c r="LUG104" s="3"/>
      <c r="LUH104" s="3"/>
      <c r="LUI104" s="3"/>
      <c r="LUJ104" s="3"/>
      <c r="LUK104" s="3"/>
      <c r="LUL104" s="3"/>
      <c r="LUM104" s="3"/>
      <c r="LUN104" s="3"/>
      <c r="LUO104" s="3"/>
      <c r="LUP104" s="3"/>
      <c r="LUQ104" s="3"/>
      <c r="LUR104" s="3"/>
      <c r="LUS104" s="3"/>
      <c r="LUT104" s="3"/>
      <c r="LUU104" s="3"/>
      <c r="LUV104" s="3"/>
      <c r="LUW104" s="3"/>
      <c r="LUX104" s="3"/>
      <c r="LUY104" s="3"/>
      <c r="LUZ104" s="3"/>
      <c r="LVA104" s="3"/>
      <c r="LVB104" s="3"/>
      <c r="LVC104" s="3"/>
      <c r="LVD104" s="3"/>
      <c r="LVE104" s="3"/>
      <c r="LVF104" s="3"/>
      <c r="LVG104" s="3"/>
      <c r="LVH104" s="3"/>
      <c r="LVI104" s="3"/>
      <c r="LVJ104" s="3"/>
      <c r="LVK104" s="3"/>
      <c r="LVL104" s="3"/>
      <c r="LVM104" s="3"/>
      <c r="LVN104" s="3"/>
      <c r="LVO104" s="3"/>
      <c r="LVP104" s="3"/>
      <c r="LVQ104" s="3"/>
      <c r="LVR104" s="3"/>
      <c r="LVS104" s="3"/>
      <c r="LVT104" s="3"/>
      <c r="LVU104" s="3"/>
      <c r="LVV104" s="3"/>
      <c r="LVW104" s="3"/>
      <c r="LVX104" s="3"/>
      <c r="LVY104" s="3"/>
      <c r="LVZ104" s="3"/>
      <c r="LWA104" s="3"/>
      <c r="LWB104" s="3"/>
      <c r="LWC104" s="3"/>
      <c r="LWD104" s="3"/>
      <c r="LWE104" s="3"/>
      <c r="LWF104" s="3"/>
      <c r="LWG104" s="3"/>
      <c r="LWH104" s="3"/>
      <c r="LWI104" s="3"/>
      <c r="LWJ104" s="3"/>
      <c r="LWK104" s="3"/>
      <c r="LWL104" s="3"/>
      <c r="LWM104" s="3"/>
      <c r="LWN104" s="3"/>
      <c r="LWO104" s="3"/>
      <c r="LWP104" s="3"/>
      <c r="LWQ104" s="3"/>
      <c r="LWR104" s="3"/>
      <c r="LWS104" s="3"/>
      <c r="LWT104" s="3"/>
      <c r="LWU104" s="3"/>
      <c r="LWV104" s="3"/>
      <c r="LWW104" s="3"/>
      <c r="LWX104" s="3"/>
      <c r="LWY104" s="3"/>
      <c r="LWZ104" s="3"/>
      <c r="LXA104" s="3"/>
      <c r="LXB104" s="3"/>
      <c r="LXC104" s="3"/>
      <c r="LXD104" s="3"/>
      <c r="LXE104" s="3"/>
      <c r="LXF104" s="3"/>
      <c r="LXG104" s="3"/>
      <c r="LXH104" s="3"/>
      <c r="LXI104" s="3"/>
      <c r="LXJ104" s="3"/>
      <c r="LXK104" s="3"/>
      <c r="LXL104" s="3"/>
      <c r="LXM104" s="3"/>
      <c r="LXN104" s="3"/>
      <c r="LXO104" s="3"/>
      <c r="LXP104" s="3"/>
      <c r="LXQ104" s="3"/>
      <c r="LXR104" s="3"/>
      <c r="LXS104" s="3"/>
      <c r="LXT104" s="3"/>
      <c r="LXU104" s="3"/>
      <c r="LXV104" s="3"/>
      <c r="LXW104" s="3"/>
      <c r="LXX104" s="3"/>
      <c r="LXY104" s="3"/>
      <c r="LXZ104" s="3"/>
      <c r="LYA104" s="3"/>
      <c r="LYB104" s="3"/>
      <c r="LYC104" s="3"/>
      <c r="LYD104" s="3"/>
      <c r="LYE104" s="3"/>
      <c r="LYF104" s="3"/>
      <c r="LYG104" s="3"/>
      <c r="LYH104" s="3"/>
      <c r="LYI104" s="3"/>
      <c r="LYJ104" s="3"/>
      <c r="LYK104" s="3"/>
      <c r="LYL104" s="3"/>
      <c r="LYM104" s="3"/>
      <c r="LYN104" s="3"/>
      <c r="LYO104" s="3"/>
      <c r="LYP104" s="3"/>
      <c r="LYQ104" s="3"/>
      <c r="LYR104" s="3"/>
      <c r="LYS104" s="3"/>
      <c r="LYT104" s="3"/>
      <c r="LYU104" s="3"/>
      <c r="LYV104" s="3"/>
      <c r="LYW104" s="3"/>
      <c r="LYX104" s="3"/>
      <c r="LYY104" s="3"/>
      <c r="LYZ104" s="3"/>
      <c r="LZA104" s="3"/>
      <c r="LZB104" s="3"/>
      <c r="LZC104" s="3"/>
      <c r="LZD104" s="3"/>
      <c r="LZE104" s="3"/>
      <c r="LZF104" s="3"/>
      <c r="LZG104" s="3"/>
      <c r="LZH104" s="3"/>
      <c r="LZI104" s="3"/>
      <c r="LZJ104" s="3"/>
      <c r="LZK104" s="3"/>
      <c r="LZL104" s="3"/>
      <c r="LZM104" s="3"/>
      <c r="LZN104" s="3"/>
      <c r="LZO104" s="3"/>
      <c r="LZP104" s="3"/>
      <c r="LZQ104" s="3"/>
      <c r="LZR104" s="3"/>
      <c r="LZS104" s="3"/>
      <c r="LZT104" s="3"/>
      <c r="LZU104" s="3"/>
      <c r="LZV104" s="3"/>
      <c r="LZW104" s="3"/>
      <c r="LZX104" s="3"/>
      <c r="LZY104" s="3"/>
      <c r="LZZ104" s="3"/>
      <c r="MAA104" s="3"/>
      <c r="MAB104" s="3"/>
      <c r="MAC104" s="3"/>
      <c r="MAD104" s="3"/>
      <c r="MAE104" s="3"/>
      <c r="MAF104" s="3"/>
      <c r="MAG104" s="3"/>
      <c r="MAH104" s="3"/>
      <c r="MAI104" s="3"/>
      <c r="MAJ104" s="3"/>
      <c r="MAK104" s="3"/>
      <c r="MAL104" s="3"/>
      <c r="MAM104" s="3"/>
      <c r="MAN104" s="3"/>
      <c r="MAO104" s="3"/>
      <c r="MAP104" s="3"/>
      <c r="MAQ104" s="3"/>
      <c r="MAR104" s="3"/>
      <c r="MAS104" s="3"/>
      <c r="MAT104" s="3"/>
      <c r="MAU104" s="3"/>
      <c r="MAV104" s="3"/>
      <c r="MAW104" s="3"/>
      <c r="MAX104" s="3"/>
      <c r="MAY104" s="3"/>
      <c r="MAZ104" s="3"/>
      <c r="MBA104" s="3"/>
      <c r="MBB104" s="3"/>
      <c r="MBC104" s="3"/>
      <c r="MBD104" s="3"/>
      <c r="MBE104" s="3"/>
      <c r="MBF104" s="3"/>
      <c r="MBG104" s="3"/>
      <c r="MBH104" s="3"/>
      <c r="MBI104" s="3"/>
      <c r="MBJ104" s="3"/>
      <c r="MBK104" s="3"/>
      <c r="MBL104" s="3"/>
      <c r="MBM104" s="3"/>
      <c r="MBN104" s="3"/>
      <c r="MBO104" s="3"/>
      <c r="MBP104" s="3"/>
      <c r="MBQ104" s="3"/>
      <c r="MBR104" s="3"/>
      <c r="MBS104" s="3"/>
      <c r="MBT104" s="3"/>
      <c r="MBU104" s="3"/>
      <c r="MBV104" s="3"/>
      <c r="MBW104" s="3"/>
      <c r="MBX104" s="3"/>
      <c r="MBY104" s="3"/>
      <c r="MBZ104" s="3"/>
      <c r="MCA104" s="3"/>
      <c r="MCB104" s="3"/>
      <c r="MCC104" s="3"/>
      <c r="MCD104" s="3"/>
      <c r="MCE104" s="3"/>
      <c r="MCF104" s="3"/>
      <c r="MCG104" s="3"/>
      <c r="MCH104" s="3"/>
      <c r="MCI104" s="3"/>
      <c r="MCJ104" s="3"/>
      <c r="MCK104" s="3"/>
      <c r="MCL104" s="3"/>
      <c r="MCM104" s="3"/>
      <c r="MCN104" s="3"/>
      <c r="MCO104" s="3"/>
      <c r="MCP104" s="3"/>
      <c r="MCQ104" s="3"/>
      <c r="MCR104" s="3"/>
      <c r="MCS104" s="3"/>
      <c r="MCT104" s="3"/>
      <c r="MCU104" s="3"/>
      <c r="MCV104" s="3"/>
      <c r="MCW104" s="3"/>
      <c r="MCX104" s="3"/>
      <c r="MCY104" s="3"/>
      <c r="MCZ104" s="3"/>
      <c r="MDA104" s="3"/>
      <c r="MDB104" s="3"/>
      <c r="MDC104" s="3"/>
      <c r="MDD104" s="3"/>
      <c r="MDE104" s="3"/>
      <c r="MDF104" s="3"/>
      <c r="MDG104" s="3"/>
      <c r="MDH104" s="3"/>
      <c r="MDI104" s="3"/>
      <c r="MDJ104" s="3"/>
      <c r="MDK104" s="3"/>
      <c r="MDL104" s="3"/>
      <c r="MDM104" s="3"/>
      <c r="MDN104" s="3"/>
      <c r="MDO104" s="3"/>
      <c r="MDP104" s="3"/>
      <c r="MDQ104" s="3"/>
      <c r="MDR104" s="3"/>
      <c r="MDS104" s="3"/>
      <c r="MDT104" s="3"/>
      <c r="MDU104" s="3"/>
      <c r="MDV104" s="3"/>
      <c r="MDW104" s="3"/>
      <c r="MDX104" s="3"/>
      <c r="MDY104" s="3"/>
      <c r="MDZ104" s="3"/>
      <c r="MEA104" s="3"/>
      <c r="MEB104" s="3"/>
      <c r="MEC104" s="3"/>
      <c r="MED104" s="3"/>
      <c r="MEE104" s="3"/>
      <c r="MEF104" s="3"/>
      <c r="MEG104" s="3"/>
      <c r="MEH104" s="3"/>
      <c r="MEI104" s="3"/>
      <c r="MEJ104" s="3"/>
      <c r="MEK104" s="3"/>
      <c r="MEL104" s="3"/>
      <c r="MEM104" s="3"/>
      <c r="MEN104" s="3"/>
      <c r="MEO104" s="3"/>
      <c r="MEP104" s="3"/>
      <c r="MEQ104" s="3"/>
      <c r="MER104" s="3"/>
      <c r="MES104" s="3"/>
      <c r="MET104" s="3"/>
      <c r="MEU104" s="3"/>
      <c r="MEV104" s="3"/>
      <c r="MEW104" s="3"/>
      <c r="MEX104" s="3"/>
      <c r="MEY104" s="3"/>
      <c r="MEZ104" s="3"/>
      <c r="MFA104" s="3"/>
      <c r="MFB104" s="3"/>
      <c r="MFC104" s="3"/>
      <c r="MFD104" s="3"/>
      <c r="MFE104" s="3"/>
      <c r="MFF104" s="3"/>
      <c r="MFG104" s="3"/>
      <c r="MFH104" s="3"/>
      <c r="MFI104" s="3"/>
      <c r="MFJ104" s="3"/>
      <c r="MFK104" s="3"/>
      <c r="MFL104" s="3"/>
      <c r="MFM104" s="3"/>
      <c r="MFN104" s="3"/>
      <c r="MFO104" s="3"/>
      <c r="MFP104" s="3"/>
      <c r="MFQ104" s="3"/>
      <c r="MFR104" s="3"/>
      <c r="MFS104" s="3"/>
      <c r="MFT104" s="3"/>
      <c r="MFU104" s="3"/>
      <c r="MFV104" s="3"/>
      <c r="MFW104" s="3"/>
      <c r="MFX104" s="3"/>
      <c r="MFY104" s="3"/>
      <c r="MFZ104" s="3"/>
      <c r="MGA104" s="3"/>
      <c r="MGB104" s="3"/>
      <c r="MGC104" s="3"/>
      <c r="MGD104" s="3"/>
      <c r="MGE104" s="3"/>
      <c r="MGF104" s="3"/>
      <c r="MGG104" s="3"/>
      <c r="MGH104" s="3"/>
      <c r="MGI104" s="3"/>
      <c r="MGJ104" s="3"/>
      <c r="MGK104" s="3"/>
      <c r="MGL104" s="3"/>
      <c r="MGM104" s="3"/>
      <c r="MGN104" s="3"/>
      <c r="MGO104" s="3"/>
      <c r="MGP104" s="3"/>
      <c r="MGQ104" s="3"/>
      <c r="MGR104" s="3"/>
      <c r="MGS104" s="3"/>
      <c r="MGT104" s="3"/>
      <c r="MGU104" s="3"/>
      <c r="MGV104" s="3"/>
      <c r="MGW104" s="3"/>
      <c r="MGX104" s="3"/>
      <c r="MGY104" s="3"/>
      <c r="MGZ104" s="3"/>
      <c r="MHA104" s="3"/>
      <c r="MHB104" s="3"/>
      <c r="MHC104" s="3"/>
      <c r="MHD104" s="3"/>
      <c r="MHE104" s="3"/>
      <c r="MHF104" s="3"/>
      <c r="MHG104" s="3"/>
      <c r="MHH104" s="3"/>
      <c r="MHI104" s="3"/>
      <c r="MHJ104" s="3"/>
      <c r="MHK104" s="3"/>
      <c r="MHL104" s="3"/>
      <c r="MHM104" s="3"/>
      <c r="MHN104" s="3"/>
      <c r="MHO104" s="3"/>
      <c r="MHP104" s="3"/>
      <c r="MHQ104" s="3"/>
      <c r="MHR104" s="3"/>
      <c r="MHS104" s="3"/>
      <c r="MHT104" s="3"/>
      <c r="MHU104" s="3"/>
      <c r="MHV104" s="3"/>
      <c r="MHW104" s="3"/>
      <c r="MHX104" s="3"/>
      <c r="MHY104" s="3"/>
      <c r="MHZ104" s="3"/>
      <c r="MIA104" s="3"/>
      <c r="MIB104" s="3"/>
      <c r="MIC104" s="3"/>
      <c r="MID104" s="3"/>
      <c r="MIE104" s="3"/>
      <c r="MIF104" s="3"/>
      <c r="MIG104" s="3"/>
      <c r="MIH104" s="3"/>
      <c r="MII104" s="3"/>
      <c r="MIJ104" s="3"/>
      <c r="MIK104" s="3"/>
      <c r="MIL104" s="3"/>
      <c r="MIM104" s="3"/>
      <c r="MIN104" s="3"/>
      <c r="MIO104" s="3"/>
      <c r="MIP104" s="3"/>
      <c r="MIQ104" s="3"/>
      <c r="MIR104" s="3"/>
      <c r="MIS104" s="3"/>
      <c r="MIT104" s="3"/>
      <c r="MIU104" s="3"/>
      <c r="MIV104" s="3"/>
      <c r="MIW104" s="3"/>
      <c r="MIX104" s="3"/>
      <c r="MIY104" s="3"/>
      <c r="MIZ104" s="3"/>
      <c r="MJA104" s="3"/>
      <c r="MJB104" s="3"/>
      <c r="MJC104" s="3"/>
      <c r="MJD104" s="3"/>
      <c r="MJE104" s="3"/>
      <c r="MJF104" s="3"/>
      <c r="MJG104" s="3"/>
      <c r="MJH104" s="3"/>
      <c r="MJI104" s="3"/>
      <c r="MJJ104" s="3"/>
      <c r="MJK104" s="3"/>
      <c r="MJL104" s="3"/>
      <c r="MJM104" s="3"/>
      <c r="MJN104" s="3"/>
      <c r="MJO104" s="3"/>
      <c r="MJP104" s="3"/>
      <c r="MJQ104" s="3"/>
      <c r="MJR104" s="3"/>
      <c r="MJS104" s="3"/>
      <c r="MJT104" s="3"/>
      <c r="MJU104" s="3"/>
      <c r="MJV104" s="3"/>
      <c r="MJW104" s="3"/>
      <c r="MJX104" s="3"/>
      <c r="MJY104" s="3"/>
      <c r="MJZ104" s="3"/>
      <c r="MKA104" s="3"/>
      <c r="MKB104" s="3"/>
      <c r="MKC104" s="3"/>
      <c r="MKD104" s="3"/>
      <c r="MKE104" s="3"/>
      <c r="MKF104" s="3"/>
      <c r="MKG104" s="3"/>
      <c r="MKH104" s="3"/>
      <c r="MKI104" s="3"/>
      <c r="MKJ104" s="3"/>
      <c r="MKK104" s="3"/>
      <c r="MKL104" s="3"/>
      <c r="MKM104" s="3"/>
      <c r="MKN104" s="3"/>
      <c r="MKO104" s="3"/>
      <c r="MKP104" s="3"/>
      <c r="MKQ104" s="3"/>
      <c r="MKR104" s="3"/>
      <c r="MKS104" s="3"/>
      <c r="MKT104" s="3"/>
      <c r="MKU104" s="3"/>
      <c r="MKV104" s="3"/>
      <c r="MKW104" s="3"/>
      <c r="MKX104" s="3"/>
      <c r="MKY104" s="3"/>
      <c r="MKZ104" s="3"/>
      <c r="MLA104" s="3"/>
      <c r="MLB104" s="3"/>
      <c r="MLC104" s="3"/>
      <c r="MLD104" s="3"/>
      <c r="MLE104" s="3"/>
      <c r="MLF104" s="3"/>
      <c r="MLG104" s="3"/>
      <c r="MLH104" s="3"/>
      <c r="MLI104" s="3"/>
      <c r="MLJ104" s="3"/>
      <c r="MLK104" s="3"/>
      <c r="MLL104" s="3"/>
      <c r="MLM104" s="3"/>
      <c r="MLN104" s="3"/>
      <c r="MLO104" s="3"/>
      <c r="MLP104" s="3"/>
      <c r="MLQ104" s="3"/>
      <c r="MLR104" s="3"/>
      <c r="MLS104" s="3"/>
      <c r="MLT104" s="3"/>
      <c r="MLU104" s="3"/>
      <c r="MLV104" s="3"/>
      <c r="MLW104" s="3"/>
      <c r="MLX104" s="3"/>
      <c r="MLY104" s="3"/>
      <c r="MLZ104" s="3"/>
      <c r="MMA104" s="3"/>
      <c r="MMB104" s="3"/>
      <c r="MMC104" s="3"/>
      <c r="MMD104" s="3"/>
      <c r="MME104" s="3"/>
      <c r="MMF104" s="3"/>
      <c r="MMG104" s="3"/>
      <c r="MMH104" s="3"/>
      <c r="MMI104" s="3"/>
      <c r="MMJ104" s="3"/>
      <c r="MMK104" s="3"/>
      <c r="MML104" s="3"/>
      <c r="MMM104" s="3"/>
      <c r="MMN104" s="3"/>
      <c r="MMO104" s="3"/>
      <c r="MMP104" s="3"/>
      <c r="MMQ104" s="3"/>
      <c r="MMR104" s="3"/>
      <c r="MMS104" s="3"/>
      <c r="MMT104" s="3"/>
      <c r="MMU104" s="3"/>
      <c r="MMV104" s="3"/>
      <c r="MMW104" s="3"/>
      <c r="MMX104" s="3"/>
      <c r="MMY104" s="3"/>
      <c r="MMZ104" s="3"/>
      <c r="MNA104" s="3"/>
      <c r="MNB104" s="3"/>
      <c r="MNC104" s="3"/>
      <c r="MND104" s="3"/>
      <c r="MNE104" s="3"/>
      <c r="MNF104" s="3"/>
      <c r="MNG104" s="3"/>
      <c r="MNH104" s="3"/>
      <c r="MNI104" s="3"/>
      <c r="MNJ104" s="3"/>
      <c r="MNK104" s="3"/>
      <c r="MNL104" s="3"/>
      <c r="MNM104" s="3"/>
      <c r="MNN104" s="3"/>
      <c r="MNO104" s="3"/>
      <c r="MNP104" s="3"/>
      <c r="MNQ104" s="3"/>
      <c r="MNR104" s="3"/>
      <c r="MNS104" s="3"/>
      <c r="MNT104" s="3"/>
      <c r="MNU104" s="3"/>
      <c r="MNV104" s="3"/>
      <c r="MNW104" s="3"/>
      <c r="MNX104" s="3"/>
      <c r="MNY104" s="3"/>
      <c r="MNZ104" s="3"/>
      <c r="MOA104" s="3"/>
      <c r="MOB104" s="3"/>
      <c r="MOC104" s="3"/>
      <c r="MOD104" s="3"/>
      <c r="MOE104" s="3"/>
      <c r="MOF104" s="3"/>
      <c r="MOG104" s="3"/>
      <c r="MOH104" s="3"/>
      <c r="MOI104" s="3"/>
      <c r="MOJ104" s="3"/>
      <c r="MOK104" s="3"/>
      <c r="MOL104" s="3"/>
      <c r="MOM104" s="3"/>
      <c r="MON104" s="3"/>
      <c r="MOO104" s="3"/>
      <c r="MOP104" s="3"/>
      <c r="MOQ104" s="3"/>
      <c r="MOR104" s="3"/>
      <c r="MOS104" s="3"/>
      <c r="MOT104" s="3"/>
      <c r="MOU104" s="3"/>
      <c r="MOV104" s="3"/>
      <c r="MOW104" s="3"/>
      <c r="MOX104" s="3"/>
      <c r="MOY104" s="3"/>
      <c r="MOZ104" s="3"/>
      <c r="MPA104" s="3"/>
      <c r="MPB104" s="3"/>
      <c r="MPC104" s="3"/>
      <c r="MPD104" s="3"/>
      <c r="MPE104" s="3"/>
      <c r="MPF104" s="3"/>
      <c r="MPG104" s="3"/>
      <c r="MPH104" s="3"/>
      <c r="MPI104" s="3"/>
      <c r="MPJ104" s="3"/>
      <c r="MPK104" s="3"/>
      <c r="MPL104" s="3"/>
      <c r="MPM104" s="3"/>
      <c r="MPN104" s="3"/>
      <c r="MPO104" s="3"/>
      <c r="MPP104" s="3"/>
      <c r="MPQ104" s="3"/>
      <c r="MPR104" s="3"/>
      <c r="MPS104" s="3"/>
      <c r="MPT104" s="3"/>
      <c r="MPU104" s="3"/>
      <c r="MPV104" s="3"/>
      <c r="MPW104" s="3"/>
      <c r="MPX104" s="3"/>
      <c r="MPY104" s="3"/>
      <c r="MPZ104" s="3"/>
      <c r="MQA104" s="3"/>
      <c r="MQB104" s="3"/>
      <c r="MQC104" s="3"/>
      <c r="MQD104" s="3"/>
      <c r="MQE104" s="3"/>
      <c r="MQF104" s="3"/>
      <c r="MQG104" s="3"/>
      <c r="MQH104" s="3"/>
      <c r="MQI104" s="3"/>
      <c r="MQJ104" s="3"/>
      <c r="MQK104" s="3"/>
      <c r="MQL104" s="3"/>
      <c r="MQM104" s="3"/>
      <c r="MQN104" s="3"/>
      <c r="MQO104" s="3"/>
      <c r="MQP104" s="3"/>
      <c r="MQQ104" s="3"/>
      <c r="MQR104" s="3"/>
      <c r="MQS104" s="3"/>
      <c r="MQT104" s="3"/>
      <c r="MQU104" s="3"/>
      <c r="MQV104" s="3"/>
      <c r="MQW104" s="3"/>
      <c r="MQX104" s="3"/>
      <c r="MQY104" s="3"/>
      <c r="MQZ104" s="3"/>
      <c r="MRA104" s="3"/>
      <c r="MRB104" s="3"/>
      <c r="MRC104" s="3"/>
      <c r="MRD104" s="3"/>
      <c r="MRE104" s="3"/>
      <c r="MRF104" s="3"/>
      <c r="MRG104" s="3"/>
      <c r="MRH104" s="3"/>
      <c r="MRI104" s="3"/>
      <c r="MRJ104" s="3"/>
      <c r="MRK104" s="3"/>
      <c r="MRL104" s="3"/>
      <c r="MRM104" s="3"/>
      <c r="MRN104" s="3"/>
      <c r="MRO104" s="3"/>
      <c r="MRP104" s="3"/>
      <c r="MRQ104" s="3"/>
      <c r="MRR104" s="3"/>
      <c r="MRS104" s="3"/>
      <c r="MRT104" s="3"/>
      <c r="MRU104" s="3"/>
      <c r="MRV104" s="3"/>
      <c r="MRW104" s="3"/>
      <c r="MRX104" s="3"/>
      <c r="MRY104" s="3"/>
      <c r="MRZ104" s="3"/>
      <c r="MSA104" s="3"/>
      <c r="MSB104" s="3"/>
      <c r="MSC104" s="3"/>
      <c r="MSD104" s="3"/>
      <c r="MSE104" s="3"/>
      <c r="MSF104" s="3"/>
      <c r="MSG104" s="3"/>
      <c r="MSH104" s="3"/>
      <c r="MSI104" s="3"/>
      <c r="MSJ104" s="3"/>
      <c r="MSK104" s="3"/>
      <c r="MSL104" s="3"/>
      <c r="MSM104" s="3"/>
      <c r="MSN104" s="3"/>
      <c r="MSO104" s="3"/>
      <c r="MSP104" s="3"/>
      <c r="MSQ104" s="3"/>
      <c r="MSR104" s="3"/>
      <c r="MSS104" s="3"/>
      <c r="MST104" s="3"/>
      <c r="MSU104" s="3"/>
      <c r="MSV104" s="3"/>
      <c r="MSW104" s="3"/>
      <c r="MSX104" s="3"/>
      <c r="MSY104" s="3"/>
      <c r="MSZ104" s="3"/>
      <c r="MTA104" s="3"/>
      <c r="MTB104" s="3"/>
      <c r="MTC104" s="3"/>
      <c r="MTD104" s="3"/>
      <c r="MTE104" s="3"/>
      <c r="MTF104" s="3"/>
      <c r="MTG104" s="3"/>
      <c r="MTH104" s="3"/>
      <c r="MTI104" s="3"/>
      <c r="MTJ104" s="3"/>
      <c r="MTK104" s="3"/>
      <c r="MTL104" s="3"/>
      <c r="MTM104" s="3"/>
      <c r="MTN104" s="3"/>
      <c r="MTO104" s="3"/>
      <c r="MTP104" s="3"/>
      <c r="MTQ104" s="3"/>
      <c r="MTR104" s="3"/>
      <c r="MTS104" s="3"/>
      <c r="MTT104" s="3"/>
      <c r="MTU104" s="3"/>
      <c r="MTV104" s="3"/>
      <c r="MTW104" s="3"/>
      <c r="MTX104" s="3"/>
      <c r="MTY104" s="3"/>
      <c r="MTZ104" s="3"/>
      <c r="MUA104" s="3"/>
      <c r="MUB104" s="3"/>
      <c r="MUC104" s="3"/>
      <c r="MUD104" s="3"/>
      <c r="MUE104" s="3"/>
      <c r="MUF104" s="3"/>
      <c r="MUG104" s="3"/>
      <c r="MUH104" s="3"/>
      <c r="MUI104" s="3"/>
      <c r="MUJ104" s="3"/>
      <c r="MUK104" s="3"/>
      <c r="MUL104" s="3"/>
      <c r="MUM104" s="3"/>
      <c r="MUN104" s="3"/>
      <c r="MUO104" s="3"/>
      <c r="MUP104" s="3"/>
      <c r="MUQ104" s="3"/>
      <c r="MUR104" s="3"/>
      <c r="MUS104" s="3"/>
      <c r="MUT104" s="3"/>
      <c r="MUU104" s="3"/>
      <c r="MUV104" s="3"/>
      <c r="MUW104" s="3"/>
      <c r="MUX104" s="3"/>
      <c r="MUY104" s="3"/>
      <c r="MUZ104" s="3"/>
      <c r="MVA104" s="3"/>
      <c r="MVB104" s="3"/>
      <c r="MVC104" s="3"/>
      <c r="MVD104" s="3"/>
      <c r="MVE104" s="3"/>
      <c r="MVF104" s="3"/>
      <c r="MVG104" s="3"/>
      <c r="MVH104" s="3"/>
      <c r="MVI104" s="3"/>
      <c r="MVJ104" s="3"/>
      <c r="MVK104" s="3"/>
      <c r="MVL104" s="3"/>
      <c r="MVM104" s="3"/>
      <c r="MVN104" s="3"/>
      <c r="MVO104" s="3"/>
      <c r="MVP104" s="3"/>
      <c r="MVQ104" s="3"/>
      <c r="MVR104" s="3"/>
      <c r="MVS104" s="3"/>
      <c r="MVT104" s="3"/>
      <c r="MVU104" s="3"/>
      <c r="MVV104" s="3"/>
      <c r="MVW104" s="3"/>
      <c r="MVX104" s="3"/>
      <c r="MVY104" s="3"/>
      <c r="MVZ104" s="3"/>
      <c r="MWA104" s="3"/>
      <c r="MWB104" s="3"/>
      <c r="MWC104" s="3"/>
      <c r="MWD104" s="3"/>
      <c r="MWE104" s="3"/>
      <c r="MWF104" s="3"/>
      <c r="MWG104" s="3"/>
      <c r="MWH104" s="3"/>
      <c r="MWI104" s="3"/>
      <c r="MWJ104" s="3"/>
      <c r="MWK104" s="3"/>
      <c r="MWL104" s="3"/>
      <c r="MWM104" s="3"/>
      <c r="MWN104" s="3"/>
      <c r="MWO104" s="3"/>
      <c r="MWP104" s="3"/>
      <c r="MWQ104" s="3"/>
      <c r="MWR104" s="3"/>
      <c r="MWS104" s="3"/>
      <c r="MWT104" s="3"/>
      <c r="MWU104" s="3"/>
      <c r="MWV104" s="3"/>
      <c r="MWW104" s="3"/>
      <c r="MWX104" s="3"/>
      <c r="MWY104" s="3"/>
      <c r="MWZ104" s="3"/>
      <c r="MXA104" s="3"/>
      <c r="MXB104" s="3"/>
      <c r="MXC104" s="3"/>
      <c r="MXD104" s="3"/>
      <c r="MXE104" s="3"/>
      <c r="MXF104" s="3"/>
      <c r="MXG104" s="3"/>
      <c r="MXH104" s="3"/>
      <c r="MXI104" s="3"/>
      <c r="MXJ104" s="3"/>
      <c r="MXK104" s="3"/>
      <c r="MXL104" s="3"/>
      <c r="MXM104" s="3"/>
      <c r="MXN104" s="3"/>
      <c r="MXO104" s="3"/>
      <c r="MXP104" s="3"/>
      <c r="MXQ104" s="3"/>
      <c r="MXR104" s="3"/>
      <c r="MXS104" s="3"/>
      <c r="MXT104" s="3"/>
      <c r="MXU104" s="3"/>
      <c r="MXV104" s="3"/>
      <c r="MXW104" s="3"/>
      <c r="MXX104" s="3"/>
      <c r="MXY104" s="3"/>
      <c r="MXZ104" s="3"/>
      <c r="MYA104" s="3"/>
      <c r="MYB104" s="3"/>
      <c r="MYC104" s="3"/>
      <c r="MYD104" s="3"/>
      <c r="MYE104" s="3"/>
      <c r="MYF104" s="3"/>
      <c r="MYG104" s="3"/>
      <c r="MYH104" s="3"/>
      <c r="MYI104" s="3"/>
      <c r="MYJ104" s="3"/>
      <c r="MYK104" s="3"/>
      <c r="MYL104" s="3"/>
      <c r="MYM104" s="3"/>
      <c r="MYN104" s="3"/>
      <c r="MYO104" s="3"/>
      <c r="MYP104" s="3"/>
      <c r="MYQ104" s="3"/>
      <c r="MYR104" s="3"/>
      <c r="MYS104" s="3"/>
      <c r="MYT104" s="3"/>
      <c r="MYU104" s="3"/>
      <c r="MYV104" s="3"/>
      <c r="MYW104" s="3"/>
      <c r="MYX104" s="3"/>
      <c r="MYY104" s="3"/>
      <c r="MYZ104" s="3"/>
      <c r="MZA104" s="3"/>
      <c r="MZB104" s="3"/>
      <c r="MZC104" s="3"/>
      <c r="MZD104" s="3"/>
      <c r="MZE104" s="3"/>
      <c r="MZF104" s="3"/>
      <c r="MZG104" s="3"/>
      <c r="MZH104" s="3"/>
      <c r="MZI104" s="3"/>
      <c r="MZJ104" s="3"/>
      <c r="MZK104" s="3"/>
      <c r="MZL104" s="3"/>
      <c r="MZM104" s="3"/>
      <c r="MZN104" s="3"/>
      <c r="MZO104" s="3"/>
      <c r="MZP104" s="3"/>
      <c r="MZQ104" s="3"/>
      <c r="MZR104" s="3"/>
      <c r="MZS104" s="3"/>
      <c r="MZT104" s="3"/>
      <c r="MZU104" s="3"/>
      <c r="MZV104" s="3"/>
      <c r="MZW104" s="3"/>
      <c r="MZX104" s="3"/>
      <c r="MZY104" s="3"/>
      <c r="MZZ104" s="3"/>
      <c r="NAA104" s="3"/>
      <c r="NAB104" s="3"/>
      <c r="NAC104" s="3"/>
      <c r="NAD104" s="3"/>
      <c r="NAE104" s="3"/>
      <c r="NAF104" s="3"/>
      <c r="NAG104" s="3"/>
      <c r="NAH104" s="3"/>
      <c r="NAI104" s="3"/>
      <c r="NAJ104" s="3"/>
      <c r="NAK104" s="3"/>
      <c r="NAL104" s="3"/>
      <c r="NAM104" s="3"/>
      <c r="NAN104" s="3"/>
      <c r="NAO104" s="3"/>
      <c r="NAP104" s="3"/>
      <c r="NAQ104" s="3"/>
      <c r="NAR104" s="3"/>
      <c r="NAS104" s="3"/>
      <c r="NAT104" s="3"/>
      <c r="NAU104" s="3"/>
      <c r="NAV104" s="3"/>
      <c r="NAW104" s="3"/>
      <c r="NAX104" s="3"/>
      <c r="NAY104" s="3"/>
      <c r="NAZ104" s="3"/>
      <c r="NBA104" s="3"/>
      <c r="NBB104" s="3"/>
      <c r="NBC104" s="3"/>
      <c r="NBD104" s="3"/>
      <c r="NBE104" s="3"/>
      <c r="NBF104" s="3"/>
      <c r="NBG104" s="3"/>
      <c r="NBH104" s="3"/>
      <c r="NBI104" s="3"/>
      <c r="NBJ104" s="3"/>
      <c r="NBK104" s="3"/>
      <c r="NBL104" s="3"/>
      <c r="NBM104" s="3"/>
      <c r="NBN104" s="3"/>
      <c r="NBO104" s="3"/>
      <c r="NBP104" s="3"/>
      <c r="NBQ104" s="3"/>
      <c r="NBR104" s="3"/>
      <c r="NBS104" s="3"/>
      <c r="NBT104" s="3"/>
      <c r="NBU104" s="3"/>
      <c r="NBV104" s="3"/>
      <c r="NBW104" s="3"/>
      <c r="NBX104" s="3"/>
      <c r="NBY104" s="3"/>
      <c r="NBZ104" s="3"/>
      <c r="NCA104" s="3"/>
      <c r="NCB104" s="3"/>
      <c r="NCC104" s="3"/>
      <c r="NCD104" s="3"/>
      <c r="NCE104" s="3"/>
      <c r="NCF104" s="3"/>
      <c r="NCG104" s="3"/>
      <c r="NCH104" s="3"/>
      <c r="NCI104" s="3"/>
      <c r="NCJ104" s="3"/>
      <c r="NCK104" s="3"/>
      <c r="NCL104" s="3"/>
      <c r="NCM104" s="3"/>
      <c r="NCN104" s="3"/>
      <c r="NCO104" s="3"/>
      <c r="NCP104" s="3"/>
      <c r="NCQ104" s="3"/>
      <c r="NCR104" s="3"/>
      <c r="NCS104" s="3"/>
      <c r="NCT104" s="3"/>
      <c r="NCU104" s="3"/>
      <c r="NCV104" s="3"/>
      <c r="NCW104" s="3"/>
      <c r="NCX104" s="3"/>
      <c r="NCY104" s="3"/>
      <c r="NCZ104" s="3"/>
      <c r="NDA104" s="3"/>
      <c r="NDB104" s="3"/>
      <c r="NDC104" s="3"/>
      <c r="NDD104" s="3"/>
      <c r="NDE104" s="3"/>
      <c r="NDF104" s="3"/>
      <c r="NDG104" s="3"/>
      <c r="NDH104" s="3"/>
      <c r="NDI104" s="3"/>
      <c r="NDJ104" s="3"/>
      <c r="NDK104" s="3"/>
      <c r="NDL104" s="3"/>
      <c r="NDM104" s="3"/>
      <c r="NDN104" s="3"/>
      <c r="NDO104" s="3"/>
      <c r="NDP104" s="3"/>
      <c r="NDQ104" s="3"/>
      <c r="NDR104" s="3"/>
      <c r="NDS104" s="3"/>
      <c r="NDT104" s="3"/>
      <c r="NDU104" s="3"/>
      <c r="NDV104" s="3"/>
      <c r="NDW104" s="3"/>
      <c r="NDX104" s="3"/>
      <c r="NDY104" s="3"/>
      <c r="NDZ104" s="3"/>
      <c r="NEA104" s="3"/>
      <c r="NEB104" s="3"/>
      <c r="NEC104" s="3"/>
      <c r="NED104" s="3"/>
      <c r="NEE104" s="3"/>
      <c r="NEF104" s="3"/>
      <c r="NEG104" s="3"/>
      <c r="NEH104" s="3"/>
      <c r="NEI104" s="3"/>
      <c r="NEJ104" s="3"/>
      <c r="NEK104" s="3"/>
      <c r="NEL104" s="3"/>
      <c r="NEM104" s="3"/>
      <c r="NEN104" s="3"/>
      <c r="NEO104" s="3"/>
      <c r="NEP104" s="3"/>
      <c r="NEQ104" s="3"/>
      <c r="NER104" s="3"/>
      <c r="NES104" s="3"/>
      <c r="NET104" s="3"/>
      <c r="NEU104" s="3"/>
      <c r="NEV104" s="3"/>
      <c r="NEW104" s="3"/>
      <c r="NEX104" s="3"/>
      <c r="NEY104" s="3"/>
      <c r="NEZ104" s="3"/>
      <c r="NFA104" s="3"/>
      <c r="NFB104" s="3"/>
      <c r="NFC104" s="3"/>
      <c r="NFD104" s="3"/>
      <c r="NFE104" s="3"/>
      <c r="NFF104" s="3"/>
      <c r="NFG104" s="3"/>
      <c r="NFH104" s="3"/>
      <c r="NFI104" s="3"/>
      <c r="NFJ104" s="3"/>
      <c r="NFK104" s="3"/>
      <c r="NFL104" s="3"/>
      <c r="NFM104" s="3"/>
      <c r="NFN104" s="3"/>
      <c r="NFO104" s="3"/>
      <c r="NFP104" s="3"/>
      <c r="NFQ104" s="3"/>
      <c r="NFR104" s="3"/>
      <c r="NFS104" s="3"/>
      <c r="NFT104" s="3"/>
      <c r="NFU104" s="3"/>
      <c r="NFV104" s="3"/>
      <c r="NFW104" s="3"/>
      <c r="NFX104" s="3"/>
      <c r="NFY104" s="3"/>
      <c r="NFZ104" s="3"/>
      <c r="NGA104" s="3"/>
      <c r="NGB104" s="3"/>
      <c r="NGC104" s="3"/>
      <c r="NGD104" s="3"/>
      <c r="NGE104" s="3"/>
      <c r="NGF104" s="3"/>
      <c r="NGG104" s="3"/>
      <c r="NGH104" s="3"/>
      <c r="NGI104" s="3"/>
      <c r="NGJ104" s="3"/>
      <c r="NGK104" s="3"/>
      <c r="NGL104" s="3"/>
      <c r="NGM104" s="3"/>
      <c r="NGN104" s="3"/>
      <c r="NGO104" s="3"/>
      <c r="NGP104" s="3"/>
      <c r="NGQ104" s="3"/>
      <c r="NGR104" s="3"/>
      <c r="NGS104" s="3"/>
      <c r="NGT104" s="3"/>
      <c r="NGU104" s="3"/>
      <c r="NGV104" s="3"/>
      <c r="NGW104" s="3"/>
      <c r="NGX104" s="3"/>
      <c r="NGY104" s="3"/>
      <c r="NGZ104" s="3"/>
      <c r="NHA104" s="3"/>
      <c r="NHB104" s="3"/>
      <c r="NHC104" s="3"/>
      <c r="NHD104" s="3"/>
      <c r="NHE104" s="3"/>
      <c r="NHF104" s="3"/>
      <c r="NHG104" s="3"/>
      <c r="NHH104" s="3"/>
      <c r="NHI104" s="3"/>
      <c r="NHJ104" s="3"/>
      <c r="NHK104" s="3"/>
      <c r="NHL104" s="3"/>
      <c r="NHM104" s="3"/>
      <c r="NHN104" s="3"/>
      <c r="NHO104" s="3"/>
      <c r="NHP104" s="3"/>
      <c r="NHQ104" s="3"/>
      <c r="NHR104" s="3"/>
      <c r="NHS104" s="3"/>
      <c r="NHT104" s="3"/>
      <c r="NHU104" s="3"/>
      <c r="NHV104" s="3"/>
      <c r="NHW104" s="3"/>
      <c r="NHX104" s="3"/>
      <c r="NHY104" s="3"/>
      <c r="NHZ104" s="3"/>
      <c r="NIA104" s="3"/>
      <c r="NIB104" s="3"/>
      <c r="NIC104" s="3"/>
      <c r="NID104" s="3"/>
      <c r="NIE104" s="3"/>
      <c r="NIF104" s="3"/>
      <c r="NIG104" s="3"/>
      <c r="NIH104" s="3"/>
      <c r="NII104" s="3"/>
      <c r="NIJ104" s="3"/>
      <c r="NIK104" s="3"/>
      <c r="NIL104" s="3"/>
      <c r="NIM104" s="3"/>
      <c r="NIN104" s="3"/>
      <c r="NIO104" s="3"/>
      <c r="NIP104" s="3"/>
      <c r="NIQ104" s="3"/>
      <c r="NIR104" s="3"/>
      <c r="NIS104" s="3"/>
      <c r="NIT104" s="3"/>
      <c r="NIU104" s="3"/>
      <c r="NIV104" s="3"/>
      <c r="NIW104" s="3"/>
      <c r="NIX104" s="3"/>
      <c r="NIY104" s="3"/>
      <c r="NIZ104" s="3"/>
      <c r="NJA104" s="3"/>
      <c r="NJB104" s="3"/>
      <c r="NJC104" s="3"/>
      <c r="NJD104" s="3"/>
      <c r="NJE104" s="3"/>
      <c r="NJF104" s="3"/>
      <c r="NJG104" s="3"/>
      <c r="NJH104" s="3"/>
      <c r="NJI104" s="3"/>
      <c r="NJJ104" s="3"/>
      <c r="NJK104" s="3"/>
      <c r="NJL104" s="3"/>
      <c r="NJM104" s="3"/>
      <c r="NJN104" s="3"/>
      <c r="NJO104" s="3"/>
      <c r="NJP104" s="3"/>
      <c r="NJQ104" s="3"/>
      <c r="NJR104" s="3"/>
      <c r="NJS104" s="3"/>
      <c r="NJT104" s="3"/>
      <c r="NJU104" s="3"/>
      <c r="NJV104" s="3"/>
      <c r="NJW104" s="3"/>
      <c r="NJX104" s="3"/>
      <c r="NJY104" s="3"/>
      <c r="NJZ104" s="3"/>
      <c r="NKA104" s="3"/>
      <c r="NKB104" s="3"/>
      <c r="NKC104" s="3"/>
      <c r="NKD104" s="3"/>
      <c r="NKE104" s="3"/>
      <c r="NKF104" s="3"/>
      <c r="NKG104" s="3"/>
      <c r="NKH104" s="3"/>
      <c r="NKI104" s="3"/>
      <c r="NKJ104" s="3"/>
      <c r="NKK104" s="3"/>
      <c r="NKL104" s="3"/>
      <c r="NKM104" s="3"/>
      <c r="NKN104" s="3"/>
      <c r="NKO104" s="3"/>
      <c r="NKP104" s="3"/>
      <c r="NKQ104" s="3"/>
      <c r="NKR104" s="3"/>
      <c r="NKS104" s="3"/>
      <c r="NKT104" s="3"/>
      <c r="NKU104" s="3"/>
      <c r="NKV104" s="3"/>
      <c r="NKW104" s="3"/>
      <c r="NKX104" s="3"/>
      <c r="NKY104" s="3"/>
      <c r="NKZ104" s="3"/>
      <c r="NLA104" s="3"/>
      <c r="NLB104" s="3"/>
      <c r="NLC104" s="3"/>
      <c r="NLD104" s="3"/>
      <c r="NLE104" s="3"/>
      <c r="NLF104" s="3"/>
      <c r="NLG104" s="3"/>
      <c r="NLH104" s="3"/>
      <c r="NLI104" s="3"/>
      <c r="NLJ104" s="3"/>
      <c r="NLK104" s="3"/>
      <c r="NLL104" s="3"/>
      <c r="NLM104" s="3"/>
      <c r="NLN104" s="3"/>
      <c r="NLO104" s="3"/>
      <c r="NLP104" s="3"/>
      <c r="NLQ104" s="3"/>
      <c r="NLR104" s="3"/>
      <c r="NLS104" s="3"/>
      <c r="NLT104" s="3"/>
      <c r="NLU104" s="3"/>
      <c r="NLV104" s="3"/>
      <c r="NLW104" s="3"/>
      <c r="NLX104" s="3"/>
      <c r="NLY104" s="3"/>
      <c r="NLZ104" s="3"/>
      <c r="NMA104" s="3"/>
      <c r="NMB104" s="3"/>
      <c r="NMC104" s="3"/>
      <c r="NMD104" s="3"/>
      <c r="NME104" s="3"/>
      <c r="NMF104" s="3"/>
      <c r="NMG104" s="3"/>
      <c r="NMH104" s="3"/>
      <c r="NMI104" s="3"/>
      <c r="NMJ104" s="3"/>
      <c r="NMK104" s="3"/>
      <c r="NML104" s="3"/>
      <c r="NMM104" s="3"/>
      <c r="NMN104" s="3"/>
      <c r="NMO104" s="3"/>
      <c r="NMP104" s="3"/>
      <c r="NMQ104" s="3"/>
      <c r="NMR104" s="3"/>
      <c r="NMS104" s="3"/>
      <c r="NMT104" s="3"/>
      <c r="NMU104" s="3"/>
      <c r="NMV104" s="3"/>
      <c r="NMW104" s="3"/>
      <c r="NMX104" s="3"/>
      <c r="NMY104" s="3"/>
      <c r="NMZ104" s="3"/>
      <c r="NNA104" s="3"/>
      <c r="NNB104" s="3"/>
      <c r="NNC104" s="3"/>
      <c r="NND104" s="3"/>
      <c r="NNE104" s="3"/>
      <c r="NNF104" s="3"/>
      <c r="NNG104" s="3"/>
      <c r="NNH104" s="3"/>
      <c r="NNI104" s="3"/>
      <c r="NNJ104" s="3"/>
      <c r="NNK104" s="3"/>
      <c r="NNL104" s="3"/>
      <c r="NNM104" s="3"/>
      <c r="NNN104" s="3"/>
      <c r="NNO104" s="3"/>
      <c r="NNP104" s="3"/>
      <c r="NNQ104" s="3"/>
      <c r="NNR104" s="3"/>
      <c r="NNS104" s="3"/>
      <c r="NNT104" s="3"/>
      <c r="NNU104" s="3"/>
      <c r="NNV104" s="3"/>
      <c r="NNW104" s="3"/>
      <c r="NNX104" s="3"/>
      <c r="NNY104" s="3"/>
      <c r="NNZ104" s="3"/>
      <c r="NOA104" s="3"/>
      <c r="NOB104" s="3"/>
      <c r="NOC104" s="3"/>
      <c r="NOD104" s="3"/>
      <c r="NOE104" s="3"/>
      <c r="NOF104" s="3"/>
      <c r="NOG104" s="3"/>
      <c r="NOH104" s="3"/>
      <c r="NOI104" s="3"/>
      <c r="NOJ104" s="3"/>
      <c r="NOK104" s="3"/>
      <c r="NOL104" s="3"/>
      <c r="NOM104" s="3"/>
      <c r="NON104" s="3"/>
      <c r="NOO104" s="3"/>
      <c r="NOP104" s="3"/>
      <c r="NOQ104" s="3"/>
      <c r="NOR104" s="3"/>
      <c r="NOS104" s="3"/>
      <c r="NOT104" s="3"/>
      <c r="NOU104" s="3"/>
      <c r="NOV104" s="3"/>
      <c r="NOW104" s="3"/>
      <c r="NOX104" s="3"/>
      <c r="NOY104" s="3"/>
      <c r="NOZ104" s="3"/>
      <c r="NPA104" s="3"/>
      <c r="NPB104" s="3"/>
      <c r="NPC104" s="3"/>
      <c r="NPD104" s="3"/>
      <c r="NPE104" s="3"/>
      <c r="NPF104" s="3"/>
      <c r="NPG104" s="3"/>
      <c r="NPH104" s="3"/>
      <c r="NPI104" s="3"/>
      <c r="NPJ104" s="3"/>
      <c r="NPK104" s="3"/>
      <c r="NPL104" s="3"/>
      <c r="NPM104" s="3"/>
      <c r="NPN104" s="3"/>
      <c r="NPO104" s="3"/>
      <c r="NPP104" s="3"/>
      <c r="NPQ104" s="3"/>
      <c r="NPR104" s="3"/>
      <c r="NPS104" s="3"/>
      <c r="NPT104" s="3"/>
      <c r="NPU104" s="3"/>
      <c r="NPV104" s="3"/>
      <c r="NPW104" s="3"/>
      <c r="NPX104" s="3"/>
      <c r="NPY104" s="3"/>
      <c r="NPZ104" s="3"/>
      <c r="NQA104" s="3"/>
      <c r="NQB104" s="3"/>
      <c r="NQC104" s="3"/>
      <c r="NQD104" s="3"/>
      <c r="NQE104" s="3"/>
      <c r="NQF104" s="3"/>
      <c r="NQG104" s="3"/>
      <c r="NQH104" s="3"/>
      <c r="NQI104" s="3"/>
      <c r="NQJ104" s="3"/>
      <c r="NQK104" s="3"/>
      <c r="NQL104" s="3"/>
      <c r="NQM104" s="3"/>
      <c r="NQN104" s="3"/>
      <c r="NQO104" s="3"/>
      <c r="NQP104" s="3"/>
      <c r="NQQ104" s="3"/>
      <c r="NQR104" s="3"/>
      <c r="NQS104" s="3"/>
      <c r="NQT104" s="3"/>
      <c r="NQU104" s="3"/>
      <c r="NQV104" s="3"/>
      <c r="NQW104" s="3"/>
      <c r="NQX104" s="3"/>
      <c r="NQY104" s="3"/>
      <c r="NQZ104" s="3"/>
      <c r="NRA104" s="3"/>
      <c r="NRB104" s="3"/>
      <c r="NRC104" s="3"/>
      <c r="NRD104" s="3"/>
      <c r="NRE104" s="3"/>
      <c r="NRF104" s="3"/>
      <c r="NRG104" s="3"/>
      <c r="NRH104" s="3"/>
      <c r="NRI104" s="3"/>
      <c r="NRJ104" s="3"/>
      <c r="NRK104" s="3"/>
      <c r="NRL104" s="3"/>
      <c r="NRM104" s="3"/>
      <c r="NRN104" s="3"/>
      <c r="NRO104" s="3"/>
      <c r="NRP104" s="3"/>
      <c r="NRQ104" s="3"/>
      <c r="NRR104" s="3"/>
      <c r="NRS104" s="3"/>
      <c r="NRT104" s="3"/>
      <c r="NRU104" s="3"/>
      <c r="NRV104" s="3"/>
      <c r="NRW104" s="3"/>
      <c r="NRX104" s="3"/>
      <c r="NRY104" s="3"/>
      <c r="NRZ104" s="3"/>
      <c r="NSA104" s="3"/>
      <c r="NSB104" s="3"/>
      <c r="NSC104" s="3"/>
      <c r="NSD104" s="3"/>
      <c r="NSE104" s="3"/>
      <c r="NSF104" s="3"/>
      <c r="NSG104" s="3"/>
      <c r="NSH104" s="3"/>
      <c r="NSI104" s="3"/>
      <c r="NSJ104" s="3"/>
      <c r="NSK104" s="3"/>
      <c r="NSL104" s="3"/>
      <c r="NSM104" s="3"/>
      <c r="NSN104" s="3"/>
      <c r="NSO104" s="3"/>
      <c r="NSP104" s="3"/>
      <c r="NSQ104" s="3"/>
      <c r="NSR104" s="3"/>
      <c r="NSS104" s="3"/>
      <c r="NST104" s="3"/>
      <c r="NSU104" s="3"/>
      <c r="NSV104" s="3"/>
      <c r="NSW104" s="3"/>
      <c r="NSX104" s="3"/>
      <c r="NSY104" s="3"/>
      <c r="NSZ104" s="3"/>
      <c r="NTA104" s="3"/>
      <c r="NTB104" s="3"/>
      <c r="NTC104" s="3"/>
      <c r="NTD104" s="3"/>
      <c r="NTE104" s="3"/>
      <c r="NTF104" s="3"/>
      <c r="NTG104" s="3"/>
      <c r="NTH104" s="3"/>
      <c r="NTI104" s="3"/>
      <c r="NTJ104" s="3"/>
      <c r="NTK104" s="3"/>
      <c r="NTL104" s="3"/>
      <c r="NTM104" s="3"/>
      <c r="NTN104" s="3"/>
      <c r="NTO104" s="3"/>
      <c r="NTP104" s="3"/>
      <c r="NTQ104" s="3"/>
      <c r="NTR104" s="3"/>
      <c r="NTS104" s="3"/>
      <c r="NTT104" s="3"/>
      <c r="NTU104" s="3"/>
      <c r="NTV104" s="3"/>
      <c r="NTW104" s="3"/>
      <c r="NTX104" s="3"/>
      <c r="NTY104" s="3"/>
      <c r="NTZ104" s="3"/>
      <c r="NUA104" s="3"/>
      <c r="NUB104" s="3"/>
      <c r="NUC104" s="3"/>
      <c r="NUD104" s="3"/>
      <c r="NUE104" s="3"/>
      <c r="NUF104" s="3"/>
      <c r="NUG104" s="3"/>
      <c r="NUH104" s="3"/>
      <c r="NUI104" s="3"/>
      <c r="NUJ104" s="3"/>
      <c r="NUK104" s="3"/>
      <c r="NUL104" s="3"/>
      <c r="NUM104" s="3"/>
      <c r="NUN104" s="3"/>
      <c r="NUO104" s="3"/>
      <c r="NUP104" s="3"/>
      <c r="NUQ104" s="3"/>
      <c r="NUR104" s="3"/>
      <c r="NUS104" s="3"/>
      <c r="NUT104" s="3"/>
      <c r="NUU104" s="3"/>
      <c r="NUV104" s="3"/>
      <c r="NUW104" s="3"/>
      <c r="NUX104" s="3"/>
      <c r="NUY104" s="3"/>
      <c r="NUZ104" s="3"/>
      <c r="NVA104" s="3"/>
      <c r="NVB104" s="3"/>
      <c r="NVC104" s="3"/>
      <c r="NVD104" s="3"/>
      <c r="NVE104" s="3"/>
      <c r="NVF104" s="3"/>
      <c r="NVG104" s="3"/>
      <c r="NVH104" s="3"/>
      <c r="NVI104" s="3"/>
      <c r="NVJ104" s="3"/>
      <c r="NVK104" s="3"/>
      <c r="NVL104" s="3"/>
      <c r="NVM104" s="3"/>
      <c r="NVN104" s="3"/>
      <c r="NVO104" s="3"/>
      <c r="NVP104" s="3"/>
      <c r="NVQ104" s="3"/>
      <c r="NVR104" s="3"/>
      <c r="NVS104" s="3"/>
      <c r="NVT104" s="3"/>
      <c r="NVU104" s="3"/>
      <c r="NVV104" s="3"/>
      <c r="NVW104" s="3"/>
      <c r="NVX104" s="3"/>
      <c r="NVY104" s="3"/>
      <c r="NVZ104" s="3"/>
      <c r="NWA104" s="3"/>
      <c r="NWB104" s="3"/>
      <c r="NWC104" s="3"/>
      <c r="NWD104" s="3"/>
      <c r="NWE104" s="3"/>
      <c r="NWF104" s="3"/>
      <c r="NWG104" s="3"/>
      <c r="NWH104" s="3"/>
      <c r="NWI104" s="3"/>
      <c r="NWJ104" s="3"/>
      <c r="NWK104" s="3"/>
      <c r="NWL104" s="3"/>
      <c r="NWM104" s="3"/>
      <c r="NWN104" s="3"/>
      <c r="NWO104" s="3"/>
      <c r="NWP104" s="3"/>
      <c r="NWQ104" s="3"/>
      <c r="NWR104" s="3"/>
      <c r="NWS104" s="3"/>
      <c r="NWT104" s="3"/>
      <c r="NWU104" s="3"/>
      <c r="NWV104" s="3"/>
      <c r="NWW104" s="3"/>
      <c r="NWX104" s="3"/>
      <c r="NWY104" s="3"/>
      <c r="NWZ104" s="3"/>
      <c r="NXA104" s="3"/>
      <c r="NXB104" s="3"/>
      <c r="NXC104" s="3"/>
      <c r="NXD104" s="3"/>
      <c r="NXE104" s="3"/>
      <c r="NXF104" s="3"/>
      <c r="NXG104" s="3"/>
      <c r="NXH104" s="3"/>
      <c r="NXI104" s="3"/>
      <c r="NXJ104" s="3"/>
      <c r="NXK104" s="3"/>
      <c r="NXL104" s="3"/>
      <c r="NXM104" s="3"/>
      <c r="NXN104" s="3"/>
      <c r="NXO104" s="3"/>
      <c r="NXP104" s="3"/>
      <c r="NXQ104" s="3"/>
      <c r="NXR104" s="3"/>
      <c r="NXS104" s="3"/>
      <c r="NXT104" s="3"/>
      <c r="NXU104" s="3"/>
      <c r="NXV104" s="3"/>
      <c r="NXW104" s="3"/>
      <c r="NXX104" s="3"/>
      <c r="NXY104" s="3"/>
      <c r="NXZ104" s="3"/>
      <c r="NYA104" s="3"/>
      <c r="NYB104" s="3"/>
      <c r="NYC104" s="3"/>
      <c r="NYD104" s="3"/>
      <c r="NYE104" s="3"/>
      <c r="NYF104" s="3"/>
      <c r="NYG104" s="3"/>
      <c r="NYH104" s="3"/>
      <c r="NYI104" s="3"/>
      <c r="NYJ104" s="3"/>
      <c r="NYK104" s="3"/>
      <c r="NYL104" s="3"/>
      <c r="NYM104" s="3"/>
      <c r="NYN104" s="3"/>
      <c r="NYO104" s="3"/>
      <c r="NYP104" s="3"/>
      <c r="NYQ104" s="3"/>
      <c r="NYR104" s="3"/>
      <c r="NYS104" s="3"/>
      <c r="NYT104" s="3"/>
      <c r="NYU104" s="3"/>
      <c r="NYV104" s="3"/>
      <c r="NYW104" s="3"/>
      <c r="NYX104" s="3"/>
      <c r="NYY104" s="3"/>
      <c r="NYZ104" s="3"/>
      <c r="NZA104" s="3"/>
      <c r="NZB104" s="3"/>
      <c r="NZC104" s="3"/>
      <c r="NZD104" s="3"/>
      <c r="NZE104" s="3"/>
      <c r="NZF104" s="3"/>
      <c r="NZG104" s="3"/>
      <c r="NZH104" s="3"/>
      <c r="NZI104" s="3"/>
      <c r="NZJ104" s="3"/>
      <c r="NZK104" s="3"/>
      <c r="NZL104" s="3"/>
      <c r="NZM104" s="3"/>
      <c r="NZN104" s="3"/>
      <c r="NZO104" s="3"/>
      <c r="NZP104" s="3"/>
      <c r="NZQ104" s="3"/>
      <c r="NZR104" s="3"/>
      <c r="NZS104" s="3"/>
      <c r="NZT104" s="3"/>
      <c r="NZU104" s="3"/>
      <c r="NZV104" s="3"/>
      <c r="NZW104" s="3"/>
      <c r="NZX104" s="3"/>
      <c r="NZY104" s="3"/>
      <c r="NZZ104" s="3"/>
      <c r="OAA104" s="3"/>
      <c r="OAB104" s="3"/>
      <c r="OAC104" s="3"/>
      <c r="OAD104" s="3"/>
      <c r="OAE104" s="3"/>
      <c r="OAF104" s="3"/>
      <c r="OAG104" s="3"/>
      <c r="OAH104" s="3"/>
      <c r="OAI104" s="3"/>
      <c r="OAJ104" s="3"/>
      <c r="OAK104" s="3"/>
      <c r="OAL104" s="3"/>
      <c r="OAM104" s="3"/>
      <c r="OAN104" s="3"/>
      <c r="OAO104" s="3"/>
      <c r="OAP104" s="3"/>
      <c r="OAQ104" s="3"/>
      <c r="OAR104" s="3"/>
      <c r="OAS104" s="3"/>
      <c r="OAT104" s="3"/>
      <c r="OAU104" s="3"/>
      <c r="OAV104" s="3"/>
      <c r="OAW104" s="3"/>
      <c r="OAX104" s="3"/>
      <c r="OAY104" s="3"/>
      <c r="OAZ104" s="3"/>
      <c r="OBA104" s="3"/>
      <c r="OBB104" s="3"/>
      <c r="OBC104" s="3"/>
      <c r="OBD104" s="3"/>
      <c r="OBE104" s="3"/>
      <c r="OBF104" s="3"/>
      <c r="OBG104" s="3"/>
      <c r="OBH104" s="3"/>
      <c r="OBI104" s="3"/>
      <c r="OBJ104" s="3"/>
      <c r="OBK104" s="3"/>
      <c r="OBL104" s="3"/>
      <c r="OBM104" s="3"/>
      <c r="OBN104" s="3"/>
      <c r="OBO104" s="3"/>
      <c r="OBP104" s="3"/>
      <c r="OBQ104" s="3"/>
      <c r="OBR104" s="3"/>
      <c r="OBS104" s="3"/>
      <c r="OBT104" s="3"/>
      <c r="OBU104" s="3"/>
      <c r="OBV104" s="3"/>
      <c r="OBW104" s="3"/>
      <c r="OBX104" s="3"/>
      <c r="OBY104" s="3"/>
      <c r="OBZ104" s="3"/>
      <c r="OCA104" s="3"/>
      <c r="OCB104" s="3"/>
      <c r="OCC104" s="3"/>
      <c r="OCD104" s="3"/>
      <c r="OCE104" s="3"/>
      <c r="OCF104" s="3"/>
      <c r="OCG104" s="3"/>
      <c r="OCH104" s="3"/>
      <c r="OCI104" s="3"/>
      <c r="OCJ104" s="3"/>
      <c r="OCK104" s="3"/>
      <c r="OCL104" s="3"/>
      <c r="OCM104" s="3"/>
      <c r="OCN104" s="3"/>
      <c r="OCO104" s="3"/>
      <c r="OCP104" s="3"/>
      <c r="OCQ104" s="3"/>
      <c r="OCR104" s="3"/>
      <c r="OCS104" s="3"/>
      <c r="OCT104" s="3"/>
      <c r="OCU104" s="3"/>
      <c r="OCV104" s="3"/>
      <c r="OCW104" s="3"/>
      <c r="OCX104" s="3"/>
      <c r="OCY104" s="3"/>
      <c r="OCZ104" s="3"/>
      <c r="ODA104" s="3"/>
      <c r="ODB104" s="3"/>
      <c r="ODC104" s="3"/>
      <c r="ODD104" s="3"/>
      <c r="ODE104" s="3"/>
      <c r="ODF104" s="3"/>
      <c r="ODG104" s="3"/>
      <c r="ODH104" s="3"/>
      <c r="ODI104" s="3"/>
      <c r="ODJ104" s="3"/>
      <c r="ODK104" s="3"/>
      <c r="ODL104" s="3"/>
      <c r="ODM104" s="3"/>
      <c r="ODN104" s="3"/>
      <c r="ODO104" s="3"/>
      <c r="ODP104" s="3"/>
      <c r="ODQ104" s="3"/>
      <c r="ODR104" s="3"/>
      <c r="ODS104" s="3"/>
      <c r="ODT104" s="3"/>
      <c r="ODU104" s="3"/>
      <c r="ODV104" s="3"/>
      <c r="ODW104" s="3"/>
      <c r="ODX104" s="3"/>
      <c r="ODY104" s="3"/>
      <c r="ODZ104" s="3"/>
      <c r="OEA104" s="3"/>
      <c r="OEB104" s="3"/>
      <c r="OEC104" s="3"/>
      <c r="OED104" s="3"/>
      <c r="OEE104" s="3"/>
      <c r="OEF104" s="3"/>
      <c r="OEG104" s="3"/>
      <c r="OEH104" s="3"/>
      <c r="OEI104" s="3"/>
      <c r="OEJ104" s="3"/>
      <c r="OEK104" s="3"/>
      <c r="OEL104" s="3"/>
      <c r="OEM104" s="3"/>
      <c r="OEN104" s="3"/>
      <c r="OEO104" s="3"/>
      <c r="OEP104" s="3"/>
      <c r="OEQ104" s="3"/>
      <c r="OER104" s="3"/>
      <c r="OES104" s="3"/>
      <c r="OET104" s="3"/>
      <c r="OEU104" s="3"/>
      <c r="OEV104" s="3"/>
      <c r="OEW104" s="3"/>
      <c r="OEX104" s="3"/>
      <c r="OEY104" s="3"/>
      <c r="OEZ104" s="3"/>
      <c r="OFA104" s="3"/>
      <c r="OFB104" s="3"/>
      <c r="OFC104" s="3"/>
      <c r="OFD104" s="3"/>
      <c r="OFE104" s="3"/>
      <c r="OFF104" s="3"/>
      <c r="OFG104" s="3"/>
      <c r="OFH104" s="3"/>
      <c r="OFI104" s="3"/>
      <c r="OFJ104" s="3"/>
      <c r="OFK104" s="3"/>
      <c r="OFL104" s="3"/>
      <c r="OFM104" s="3"/>
      <c r="OFN104" s="3"/>
      <c r="OFO104" s="3"/>
      <c r="OFP104" s="3"/>
      <c r="OFQ104" s="3"/>
      <c r="OFR104" s="3"/>
      <c r="OFS104" s="3"/>
      <c r="OFT104" s="3"/>
      <c r="OFU104" s="3"/>
      <c r="OFV104" s="3"/>
      <c r="OFW104" s="3"/>
      <c r="OFX104" s="3"/>
      <c r="OFY104" s="3"/>
      <c r="OFZ104" s="3"/>
      <c r="OGA104" s="3"/>
      <c r="OGB104" s="3"/>
      <c r="OGC104" s="3"/>
      <c r="OGD104" s="3"/>
      <c r="OGE104" s="3"/>
      <c r="OGF104" s="3"/>
      <c r="OGG104" s="3"/>
      <c r="OGH104" s="3"/>
      <c r="OGI104" s="3"/>
      <c r="OGJ104" s="3"/>
      <c r="OGK104" s="3"/>
      <c r="OGL104" s="3"/>
      <c r="OGM104" s="3"/>
      <c r="OGN104" s="3"/>
      <c r="OGO104" s="3"/>
      <c r="OGP104" s="3"/>
      <c r="OGQ104" s="3"/>
      <c r="OGR104" s="3"/>
      <c r="OGS104" s="3"/>
      <c r="OGT104" s="3"/>
      <c r="OGU104" s="3"/>
      <c r="OGV104" s="3"/>
      <c r="OGW104" s="3"/>
      <c r="OGX104" s="3"/>
      <c r="OGY104" s="3"/>
      <c r="OGZ104" s="3"/>
      <c r="OHA104" s="3"/>
      <c r="OHB104" s="3"/>
      <c r="OHC104" s="3"/>
      <c r="OHD104" s="3"/>
      <c r="OHE104" s="3"/>
      <c r="OHF104" s="3"/>
      <c r="OHG104" s="3"/>
      <c r="OHH104" s="3"/>
      <c r="OHI104" s="3"/>
      <c r="OHJ104" s="3"/>
      <c r="OHK104" s="3"/>
      <c r="OHL104" s="3"/>
      <c r="OHM104" s="3"/>
      <c r="OHN104" s="3"/>
      <c r="OHO104" s="3"/>
      <c r="OHP104" s="3"/>
      <c r="OHQ104" s="3"/>
      <c r="OHR104" s="3"/>
      <c r="OHS104" s="3"/>
      <c r="OHT104" s="3"/>
      <c r="OHU104" s="3"/>
      <c r="OHV104" s="3"/>
      <c r="OHW104" s="3"/>
      <c r="OHX104" s="3"/>
      <c r="OHY104" s="3"/>
      <c r="OHZ104" s="3"/>
      <c r="OIA104" s="3"/>
      <c r="OIB104" s="3"/>
      <c r="OIC104" s="3"/>
      <c r="OID104" s="3"/>
      <c r="OIE104" s="3"/>
      <c r="OIF104" s="3"/>
      <c r="OIG104" s="3"/>
      <c r="OIH104" s="3"/>
      <c r="OII104" s="3"/>
      <c r="OIJ104" s="3"/>
      <c r="OIK104" s="3"/>
      <c r="OIL104" s="3"/>
      <c r="OIM104" s="3"/>
      <c r="OIN104" s="3"/>
      <c r="OIO104" s="3"/>
      <c r="OIP104" s="3"/>
      <c r="OIQ104" s="3"/>
      <c r="OIR104" s="3"/>
      <c r="OIS104" s="3"/>
      <c r="OIT104" s="3"/>
      <c r="OIU104" s="3"/>
      <c r="OIV104" s="3"/>
      <c r="OIW104" s="3"/>
      <c r="OIX104" s="3"/>
      <c r="OIY104" s="3"/>
      <c r="OIZ104" s="3"/>
      <c r="OJA104" s="3"/>
      <c r="OJB104" s="3"/>
      <c r="OJC104" s="3"/>
      <c r="OJD104" s="3"/>
      <c r="OJE104" s="3"/>
      <c r="OJF104" s="3"/>
      <c r="OJG104" s="3"/>
      <c r="OJH104" s="3"/>
      <c r="OJI104" s="3"/>
      <c r="OJJ104" s="3"/>
      <c r="OJK104" s="3"/>
      <c r="OJL104" s="3"/>
      <c r="OJM104" s="3"/>
      <c r="OJN104" s="3"/>
      <c r="OJO104" s="3"/>
      <c r="OJP104" s="3"/>
      <c r="OJQ104" s="3"/>
      <c r="OJR104" s="3"/>
      <c r="OJS104" s="3"/>
      <c r="OJT104" s="3"/>
      <c r="OJU104" s="3"/>
      <c r="OJV104" s="3"/>
      <c r="OJW104" s="3"/>
      <c r="OJX104" s="3"/>
      <c r="OJY104" s="3"/>
      <c r="OJZ104" s="3"/>
      <c r="OKA104" s="3"/>
      <c r="OKB104" s="3"/>
      <c r="OKC104" s="3"/>
      <c r="OKD104" s="3"/>
      <c r="OKE104" s="3"/>
      <c r="OKF104" s="3"/>
      <c r="OKG104" s="3"/>
      <c r="OKH104" s="3"/>
      <c r="OKI104" s="3"/>
      <c r="OKJ104" s="3"/>
      <c r="OKK104" s="3"/>
      <c r="OKL104" s="3"/>
      <c r="OKM104" s="3"/>
      <c r="OKN104" s="3"/>
      <c r="OKO104" s="3"/>
      <c r="OKP104" s="3"/>
      <c r="OKQ104" s="3"/>
      <c r="OKR104" s="3"/>
      <c r="OKS104" s="3"/>
      <c r="OKT104" s="3"/>
      <c r="OKU104" s="3"/>
      <c r="OKV104" s="3"/>
      <c r="OKW104" s="3"/>
      <c r="OKX104" s="3"/>
      <c r="OKY104" s="3"/>
      <c r="OKZ104" s="3"/>
      <c r="OLA104" s="3"/>
      <c r="OLB104" s="3"/>
      <c r="OLC104" s="3"/>
      <c r="OLD104" s="3"/>
      <c r="OLE104" s="3"/>
      <c r="OLF104" s="3"/>
      <c r="OLG104" s="3"/>
      <c r="OLH104" s="3"/>
      <c r="OLI104" s="3"/>
      <c r="OLJ104" s="3"/>
      <c r="OLK104" s="3"/>
      <c r="OLL104" s="3"/>
      <c r="OLM104" s="3"/>
      <c r="OLN104" s="3"/>
      <c r="OLO104" s="3"/>
      <c r="OLP104" s="3"/>
      <c r="OLQ104" s="3"/>
      <c r="OLR104" s="3"/>
      <c r="OLS104" s="3"/>
      <c r="OLT104" s="3"/>
      <c r="OLU104" s="3"/>
      <c r="OLV104" s="3"/>
      <c r="OLW104" s="3"/>
      <c r="OLX104" s="3"/>
      <c r="OLY104" s="3"/>
      <c r="OLZ104" s="3"/>
      <c r="OMA104" s="3"/>
      <c r="OMB104" s="3"/>
      <c r="OMC104" s="3"/>
      <c r="OMD104" s="3"/>
      <c r="OME104" s="3"/>
      <c r="OMF104" s="3"/>
      <c r="OMG104" s="3"/>
      <c r="OMH104" s="3"/>
      <c r="OMI104" s="3"/>
      <c r="OMJ104" s="3"/>
      <c r="OMK104" s="3"/>
      <c r="OML104" s="3"/>
      <c r="OMM104" s="3"/>
      <c r="OMN104" s="3"/>
      <c r="OMO104" s="3"/>
      <c r="OMP104" s="3"/>
      <c r="OMQ104" s="3"/>
      <c r="OMR104" s="3"/>
      <c r="OMS104" s="3"/>
      <c r="OMT104" s="3"/>
      <c r="OMU104" s="3"/>
      <c r="OMV104" s="3"/>
      <c r="OMW104" s="3"/>
      <c r="OMX104" s="3"/>
      <c r="OMY104" s="3"/>
      <c r="OMZ104" s="3"/>
      <c r="ONA104" s="3"/>
      <c r="ONB104" s="3"/>
      <c r="ONC104" s="3"/>
      <c r="OND104" s="3"/>
      <c r="ONE104" s="3"/>
      <c r="ONF104" s="3"/>
      <c r="ONG104" s="3"/>
      <c r="ONH104" s="3"/>
      <c r="ONI104" s="3"/>
      <c r="ONJ104" s="3"/>
      <c r="ONK104" s="3"/>
      <c r="ONL104" s="3"/>
      <c r="ONM104" s="3"/>
      <c r="ONN104" s="3"/>
      <c r="ONO104" s="3"/>
      <c r="ONP104" s="3"/>
      <c r="ONQ104" s="3"/>
      <c r="ONR104" s="3"/>
      <c r="ONS104" s="3"/>
      <c r="ONT104" s="3"/>
      <c r="ONU104" s="3"/>
      <c r="ONV104" s="3"/>
      <c r="ONW104" s="3"/>
      <c r="ONX104" s="3"/>
      <c r="ONY104" s="3"/>
      <c r="ONZ104" s="3"/>
      <c r="OOA104" s="3"/>
      <c r="OOB104" s="3"/>
      <c r="OOC104" s="3"/>
      <c r="OOD104" s="3"/>
      <c r="OOE104" s="3"/>
      <c r="OOF104" s="3"/>
      <c r="OOG104" s="3"/>
      <c r="OOH104" s="3"/>
      <c r="OOI104" s="3"/>
      <c r="OOJ104" s="3"/>
      <c r="OOK104" s="3"/>
      <c r="OOL104" s="3"/>
      <c r="OOM104" s="3"/>
      <c r="OON104" s="3"/>
      <c r="OOO104" s="3"/>
      <c r="OOP104" s="3"/>
      <c r="OOQ104" s="3"/>
      <c r="OOR104" s="3"/>
      <c r="OOS104" s="3"/>
      <c r="OOT104" s="3"/>
      <c r="OOU104" s="3"/>
      <c r="OOV104" s="3"/>
      <c r="OOW104" s="3"/>
      <c r="OOX104" s="3"/>
      <c r="OOY104" s="3"/>
      <c r="OOZ104" s="3"/>
      <c r="OPA104" s="3"/>
      <c r="OPB104" s="3"/>
      <c r="OPC104" s="3"/>
      <c r="OPD104" s="3"/>
      <c r="OPE104" s="3"/>
      <c r="OPF104" s="3"/>
      <c r="OPG104" s="3"/>
      <c r="OPH104" s="3"/>
      <c r="OPI104" s="3"/>
      <c r="OPJ104" s="3"/>
      <c r="OPK104" s="3"/>
      <c r="OPL104" s="3"/>
      <c r="OPM104" s="3"/>
      <c r="OPN104" s="3"/>
      <c r="OPO104" s="3"/>
      <c r="OPP104" s="3"/>
      <c r="OPQ104" s="3"/>
      <c r="OPR104" s="3"/>
      <c r="OPS104" s="3"/>
      <c r="OPT104" s="3"/>
      <c r="OPU104" s="3"/>
      <c r="OPV104" s="3"/>
      <c r="OPW104" s="3"/>
      <c r="OPX104" s="3"/>
      <c r="OPY104" s="3"/>
      <c r="OPZ104" s="3"/>
      <c r="OQA104" s="3"/>
      <c r="OQB104" s="3"/>
      <c r="OQC104" s="3"/>
      <c r="OQD104" s="3"/>
      <c r="OQE104" s="3"/>
      <c r="OQF104" s="3"/>
      <c r="OQG104" s="3"/>
      <c r="OQH104" s="3"/>
      <c r="OQI104" s="3"/>
      <c r="OQJ104" s="3"/>
      <c r="OQK104" s="3"/>
      <c r="OQL104" s="3"/>
      <c r="OQM104" s="3"/>
      <c r="OQN104" s="3"/>
      <c r="OQO104" s="3"/>
      <c r="OQP104" s="3"/>
      <c r="OQQ104" s="3"/>
      <c r="OQR104" s="3"/>
      <c r="OQS104" s="3"/>
      <c r="OQT104" s="3"/>
      <c r="OQU104" s="3"/>
      <c r="OQV104" s="3"/>
      <c r="OQW104" s="3"/>
      <c r="OQX104" s="3"/>
      <c r="OQY104" s="3"/>
      <c r="OQZ104" s="3"/>
      <c r="ORA104" s="3"/>
      <c r="ORB104" s="3"/>
      <c r="ORC104" s="3"/>
      <c r="ORD104" s="3"/>
      <c r="ORE104" s="3"/>
      <c r="ORF104" s="3"/>
      <c r="ORG104" s="3"/>
      <c r="ORH104" s="3"/>
      <c r="ORI104" s="3"/>
      <c r="ORJ104" s="3"/>
      <c r="ORK104" s="3"/>
      <c r="ORL104" s="3"/>
      <c r="ORM104" s="3"/>
      <c r="ORN104" s="3"/>
      <c r="ORO104" s="3"/>
      <c r="ORP104" s="3"/>
      <c r="ORQ104" s="3"/>
      <c r="ORR104" s="3"/>
      <c r="ORS104" s="3"/>
      <c r="ORT104" s="3"/>
      <c r="ORU104" s="3"/>
      <c r="ORV104" s="3"/>
      <c r="ORW104" s="3"/>
      <c r="ORX104" s="3"/>
      <c r="ORY104" s="3"/>
      <c r="ORZ104" s="3"/>
      <c r="OSA104" s="3"/>
      <c r="OSB104" s="3"/>
      <c r="OSC104" s="3"/>
      <c r="OSD104" s="3"/>
      <c r="OSE104" s="3"/>
      <c r="OSF104" s="3"/>
      <c r="OSG104" s="3"/>
      <c r="OSH104" s="3"/>
      <c r="OSI104" s="3"/>
      <c r="OSJ104" s="3"/>
      <c r="OSK104" s="3"/>
      <c r="OSL104" s="3"/>
      <c r="OSM104" s="3"/>
      <c r="OSN104" s="3"/>
      <c r="OSO104" s="3"/>
      <c r="OSP104" s="3"/>
      <c r="OSQ104" s="3"/>
      <c r="OSR104" s="3"/>
      <c r="OSS104" s="3"/>
      <c r="OST104" s="3"/>
      <c r="OSU104" s="3"/>
      <c r="OSV104" s="3"/>
      <c r="OSW104" s="3"/>
      <c r="OSX104" s="3"/>
      <c r="OSY104" s="3"/>
      <c r="OSZ104" s="3"/>
      <c r="OTA104" s="3"/>
      <c r="OTB104" s="3"/>
      <c r="OTC104" s="3"/>
      <c r="OTD104" s="3"/>
      <c r="OTE104" s="3"/>
      <c r="OTF104" s="3"/>
      <c r="OTG104" s="3"/>
      <c r="OTH104" s="3"/>
      <c r="OTI104" s="3"/>
      <c r="OTJ104" s="3"/>
      <c r="OTK104" s="3"/>
      <c r="OTL104" s="3"/>
      <c r="OTM104" s="3"/>
      <c r="OTN104" s="3"/>
      <c r="OTO104" s="3"/>
      <c r="OTP104" s="3"/>
      <c r="OTQ104" s="3"/>
      <c r="OTR104" s="3"/>
      <c r="OTS104" s="3"/>
      <c r="OTT104" s="3"/>
      <c r="OTU104" s="3"/>
      <c r="OTV104" s="3"/>
      <c r="OTW104" s="3"/>
      <c r="OTX104" s="3"/>
      <c r="OTY104" s="3"/>
      <c r="OTZ104" s="3"/>
      <c r="OUA104" s="3"/>
      <c r="OUB104" s="3"/>
      <c r="OUC104" s="3"/>
      <c r="OUD104" s="3"/>
      <c r="OUE104" s="3"/>
      <c r="OUF104" s="3"/>
      <c r="OUG104" s="3"/>
      <c r="OUH104" s="3"/>
      <c r="OUI104" s="3"/>
      <c r="OUJ104" s="3"/>
      <c r="OUK104" s="3"/>
      <c r="OUL104" s="3"/>
      <c r="OUM104" s="3"/>
      <c r="OUN104" s="3"/>
      <c r="OUO104" s="3"/>
      <c r="OUP104" s="3"/>
      <c r="OUQ104" s="3"/>
      <c r="OUR104" s="3"/>
      <c r="OUS104" s="3"/>
      <c r="OUT104" s="3"/>
      <c r="OUU104" s="3"/>
      <c r="OUV104" s="3"/>
      <c r="OUW104" s="3"/>
      <c r="OUX104" s="3"/>
      <c r="OUY104" s="3"/>
      <c r="OUZ104" s="3"/>
      <c r="OVA104" s="3"/>
      <c r="OVB104" s="3"/>
      <c r="OVC104" s="3"/>
      <c r="OVD104" s="3"/>
      <c r="OVE104" s="3"/>
      <c r="OVF104" s="3"/>
      <c r="OVG104" s="3"/>
      <c r="OVH104" s="3"/>
      <c r="OVI104" s="3"/>
      <c r="OVJ104" s="3"/>
      <c r="OVK104" s="3"/>
      <c r="OVL104" s="3"/>
      <c r="OVM104" s="3"/>
      <c r="OVN104" s="3"/>
      <c r="OVO104" s="3"/>
      <c r="OVP104" s="3"/>
      <c r="OVQ104" s="3"/>
      <c r="OVR104" s="3"/>
      <c r="OVS104" s="3"/>
      <c r="OVT104" s="3"/>
      <c r="OVU104" s="3"/>
      <c r="OVV104" s="3"/>
      <c r="OVW104" s="3"/>
      <c r="OVX104" s="3"/>
      <c r="OVY104" s="3"/>
      <c r="OVZ104" s="3"/>
      <c r="OWA104" s="3"/>
      <c r="OWB104" s="3"/>
      <c r="OWC104" s="3"/>
      <c r="OWD104" s="3"/>
      <c r="OWE104" s="3"/>
      <c r="OWF104" s="3"/>
      <c r="OWG104" s="3"/>
      <c r="OWH104" s="3"/>
      <c r="OWI104" s="3"/>
      <c r="OWJ104" s="3"/>
      <c r="OWK104" s="3"/>
      <c r="OWL104" s="3"/>
      <c r="OWM104" s="3"/>
      <c r="OWN104" s="3"/>
      <c r="OWO104" s="3"/>
      <c r="OWP104" s="3"/>
      <c r="OWQ104" s="3"/>
      <c r="OWR104" s="3"/>
      <c r="OWS104" s="3"/>
      <c r="OWT104" s="3"/>
      <c r="OWU104" s="3"/>
      <c r="OWV104" s="3"/>
      <c r="OWW104" s="3"/>
      <c r="OWX104" s="3"/>
      <c r="OWY104" s="3"/>
      <c r="OWZ104" s="3"/>
      <c r="OXA104" s="3"/>
      <c r="OXB104" s="3"/>
      <c r="OXC104" s="3"/>
      <c r="OXD104" s="3"/>
      <c r="OXE104" s="3"/>
      <c r="OXF104" s="3"/>
      <c r="OXG104" s="3"/>
      <c r="OXH104" s="3"/>
      <c r="OXI104" s="3"/>
      <c r="OXJ104" s="3"/>
      <c r="OXK104" s="3"/>
      <c r="OXL104" s="3"/>
      <c r="OXM104" s="3"/>
      <c r="OXN104" s="3"/>
      <c r="OXO104" s="3"/>
      <c r="OXP104" s="3"/>
      <c r="OXQ104" s="3"/>
      <c r="OXR104" s="3"/>
      <c r="OXS104" s="3"/>
      <c r="OXT104" s="3"/>
      <c r="OXU104" s="3"/>
      <c r="OXV104" s="3"/>
      <c r="OXW104" s="3"/>
      <c r="OXX104" s="3"/>
      <c r="OXY104" s="3"/>
      <c r="OXZ104" s="3"/>
      <c r="OYA104" s="3"/>
      <c r="OYB104" s="3"/>
      <c r="OYC104" s="3"/>
      <c r="OYD104" s="3"/>
      <c r="OYE104" s="3"/>
      <c r="OYF104" s="3"/>
      <c r="OYG104" s="3"/>
      <c r="OYH104" s="3"/>
      <c r="OYI104" s="3"/>
      <c r="OYJ104" s="3"/>
      <c r="OYK104" s="3"/>
      <c r="OYL104" s="3"/>
      <c r="OYM104" s="3"/>
      <c r="OYN104" s="3"/>
      <c r="OYO104" s="3"/>
      <c r="OYP104" s="3"/>
      <c r="OYQ104" s="3"/>
      <c r="OYR104" s="3"/>
      <c r="OYS104" s="3"/>
      <c r="OYT104" s="3"/>
      <c r="OYU104" s="3"/>
      <c r="OYV104" s="3"/>
      <c r="OYW104" s="3"/>
      <c r="OYX104" s="3"/>
      <c r="OYY104" s="3"/>
      <c r="OYZ104" s="3"/>
      <c r="OZA104" s="3"/>
      <c r="OZB104" s="3"/>
      <c r="OZC104" s="3"/>
      <c r="OZD104" s="3"/>
      <c r="OZE104" s="3"/>
      <c r="OZF104" s="3"/>
      <c r="OZG104" s="3"/>
      <c r="OZH104" s="3"/>
      <c r="OZI104" s="3"/>
      <c r="OZJ104" s="3"/>
      <c r="OZK104" s="3"/>
      <c r="OZL104" s="3"/>
      <c r="OZM104" s="3"/>
      <c r="OZN104" s="3"/>
      <c r="OZO104" s="3"/>
      <c r="OZP104" s="3"/>
      <c r="OZQ104" s="3"/>
      <c r="OZR104" s="3"/>
      <c r="OZS104" s="3"/>
      <c r="OZT104" s="3"/>
      <c r="OZU104" s="3"/>
      <c r="OZV104" s="3"/>
      <c r="OZW104" s="3"/>
      <c r="OZX104" s="3"/>
      <c r="OZY104" s="3"/>
      <c r="OZZ104" s="3"/>
      <c r="PAA104" s="3"/>
      <c r="PAB104" s="3"/>
      <c r="PAC104" s="3"/>
      <c r="PAD104" s="3"/>
      <c r="PAE104" s="3"/>
      <c r="PAF104" s="3"/>
      <c r="PAG104" s="3"/>
      <c r="PAH104" s="3"/>
      <c r="PAI104" s="3"/>
      <c r="PAJ104" s="3"/>
      <c r="PAK104" s="3"/>
      <c r="PAL104" s="3"/>
      <c r="PAM104" s="3"/>
      <c r="PAN104" s="3"/>
      <c r="PAO104" s="3"/>
      <c r="PAP104" s="3"/>
      <c r="PAQ104" s="3"/>
      <c r="PAR104" s="3"/>
      <c r="PAS104" s="3"/>
      <c r="PAT104" s="3"/>
      <c r="PAU104" s="3"/>
      <c r="PAV104" s="3"/>
      <c r="PAW104" s="3"/>
      <c r="PAX104" s="3"/>
      <c r="PAY104" s="3"/>
      <c r="PAZ104" s="3"/>
      <c r="PBA104" s="3"/>
      <c r="PBB104" s="3"/>
      <c r="PBC104" s="3"/>
      <c r="PBD104" s="3"/>
      <c r="PBE104" s="3"/>
      <c r="PBF104" s="3"/>
      <c r="PBG104" s="3"/>
      <c r="PBH104" s="3"/>
      <c r="PBI104" s="3"/>
      <c r="PBJ104" s="3"/>
      <c r="PBK104" s="3"/>
      <c r="PBL104" s="3"/>
      <c r="PBM104" s="3"/>
      <c r="PBN104" s="3"/>
      <c r="PBO104" s="3"/>
      <c r="PBP104" s="3"/>
      <c r="PBQ104" s="3"/>
      <c r="PBR104" s="3"/>
      <c r="PBS104" s="3"/>
      <c r="PBT104" s="3"/>
      <c r="PBU104" s="3"/>
      <c r="PBV104" s="3"/>
      <c r="PBW104" s="3"/>
      <c r="PBX104" s="3"/>
      <c r="PBY104" s="3"/>
      <c r="PBZ104" s="3"/>
      <c r="PCA104" s="3"/>
      <c r="PCB104" s="3"/>
      <c r="PCC104" s="3"/>
      <c r="PCD104" s="3"/>
      <c r="PCE104" s="3"/>
      <c r="PCF104" s="3"/>
      <c r="PCG104" s="3"/>
      <c r="PCH104" s="3"/>
      <c r="PCI104" s="3"/>
      <c r="PCJ104" s="3"/>
      <c r="PCK104" s="3"/>
      <c r="PCL104" s="3"/>
      <c r="PCM104" s="3"/>
      <c r="PCN104" s="3"/>
      <c r="PCO104" s="3"/>
      <c r="PCP104" s="3"/>
      <c r="PCQ104" s="3"/>
      <c r="PCR104" s="3"/>
      <c r="PCS104" s="3"/>
      <c r="PCT104" s="3"/>
      <c r="PCU104" s="3"/>
      <c r="PCV104" s="3"/>
      <c r="PCW104" s="3"/>
      <c r="PCX104" s="3"/>
      <c r="PCY104" s="3"/>
      <c r="PCZ104" s="3"/>
      <c r="PDA104" s="3"/>
      <c r="PDB104" s="3"/>
      <c r="PDC104" s="3"/>
      <c r="PDD104" s="3"/>
      <c r="PDE104" s="3"/>
      <c r="PDF104" s="3"/>
      <c r="PDG104" s="3"/>
      <c r="PDH104" s="3"/>
      <c r="PDI104" s="3"/>
      <c r="PDJ104" s="3"/>
      <c r="PDK104" s="3"/>
      <c r="PDL104" s="3"/>
      <c r="PDM104" s="3"/>
      <c r="PDN104" s="3"/>
      <c r="PDO104" s="3"/>
      <c r="PDP104" s="3"/>
      <c r="PDQ104" s="3"/>
      <c r="PDR104" s="3"/>
      <c r="PDS104" s="3"/>
      <c r="PDT104" s="3"/>
      <c r="PDU104" s="3"/>
      <c r="PDV104" s="3"/>
      <c r="PDW104" s="3"/>
      <c r="PDX104" s="3"/>
      <c r="PDY104" s="3"/>
      <c r="PDZ104" s="3"/>
      <c r="PEA104" s="3"/>
      <c r="PEB104" s="3"/>
      <c r="PEC104" s="3"/>
      <c r="PED104" s="3"/>
      <c r="PEE104" s="3"/>
      <c r="PEF104" s="3"/>
      <c r="PEG104" s="3"/>
      <c r="PEH104" s="3"/>
      <c r="PEI104" s="3"/>
      <c r="PEJ104" s="3"/>
      <c r="PEK104" s="3"/>
      <c r="PEL104" s="3"/>
      <c r="PEM104" s="3"/>
      <c r="PEN104" s="3"/>
      <c r="PEO104" s="3"/>
      <c r="PEP104" s="3"/>
      <c r="PEQ104" s="3"/>
      <c r="PER104" s="3"/>
      <c r="PES104" s="3"/>
      <c r="PET104" s="3"/>
      <c r="PEU104" s="3"/>
      <c r="PEV104" s="3"/>
      <c r="PEW104" s="3"/>
      <c r="PEX104" s="3"/>
      <c r="PEY104" s="3"/>
      <c r="PEZ104" s="3"/>
      <c r="PFA104" s="3"/>
      <c r="PFB104" s="3"/>
      <c r="PFC104" s="3"/>
      <c r="PFD104" s="3"/>
      <c r="PFE104" s="3"/>
      <c r="PFF104" s="3"/>
      <c r="PFG104" s="3"/>
      <c r="PFH104" s="3"/>
      <c r="PFI104" s="3"/>
      <c r="PFJ104" s="3"/>
      <c r="PFK104" s="3"/>
      <c r="PFL104" s="3"/>
      <c r="PFM104" s="3"/>
      <c r="PFN104" s="3"/>
      <c r="PFO104" s="3"/>
      <c r="PFP104" s="3"/>
      <c r="PFQ104" s="3"/>
      <c r="PFR104" s="3"/>
      <c r="PFS104" s="3"/>
      <c r="PFT104" s="3"/>
      <c r="PFU104" s="3"/>
      <c r="PFV104" s="3"/>
      <c r="PFW104" s="3"/>
      <c r="PFX104" s="3"/>
      <c r="PFY104" s="3"/>
      <c r="PFZ104" s="3"/>
      <c r="PGA104" s="3"/>
      <c r="PGB104" s="3"/>
      <c r="PGC104" s="3"/>
      <c r="PGD104" s="3"/>
      <c r="PGE104" s="3"/>
      <c r="PGF104" s="3"/>
      <c r="PGG104" s="3"/>
      <c r="PGH104" s="3"/>
      <c r="PGI104" s="3"/>
      <c r="PGJ104" s="3"/>
      <c r="PGK104" s="3"/>
      <c r="PGL104" s="3"/>
      <c r="PGM104" s="3"/>
      <c r="PGN104" s="3"/>
      <c r="PGO104" s="3"/>
      <c r="PGP104" s="3"/>
      <c r="PGQ104" s="3"/>
      <c r="PGR104" s="3"/>
      <c r="PGS104" s="3"/>
      <c r="PGT104" s="3"/>
      <c r="PGU104" s="3"/>
      <c r="PGV104" s="3"/>
      <c r="PGW104" s="3"/>
      <c r="PGX104" s="3"/>
      <c r="PGY104" s="3"/>
      <c r="PGZ104" s="3"/>
      <c r="PHA104" s="3"/>
      <c r="PHB104" s="3"/>
      <c r="PHC104" s="3"/>
      <c r="PHD104" s="3"/>
      <c r="PHE104" s="3"/>
      <c r="PHF104" s="3"/>
      <c r="PHG104" s="3"/>
      <c r="PHH104" s="3"/>
      <c r="PHI104" s="3"/>
      <c r="PHJ104" s="3"/>
      <c r="PHK104" s="3"/>
      <c r="PHL104" s="3"/>
      <c r="PHM104" s="3"/>
      <c r="PHN104" s="3"/>
      <c r="PHO104" s="3"/>
      <c r="PHP104" s="3"/>
      <c r="PHQ104" s="3"/>
      <c r="PHR104" s="3"/>
      <c r="PHS104" s="3"/>
      <c r="PHT104" s="3"/>
      <c r="PHU104" s="3"/>
      <c r="PHV104" s="3"/>
      <c r="PHW104" s="3"/>
      <c r="PHX104" s="3"/>
      <c r="PHY104" s="3"/>
      <c r="PHZ104" s="3"/>
      <c r="PIA104" s="3"/>
      <c r="PIB104" s="3"/>
      <c r="PIC104" s="3"/>
      <c r="PID104" s="3"/>
      <c r="PIE104" s="3"/>
      <c r="PIF104" s="3"/>
      <c r="PIG104" s="3"/>
      <c r="PIH104" s="3"/>
      <c r="PII104" s="3"/>
      <c r="PIJ104" s="3"/>
      <c r="PIK104" s="3"/>
      <c r="PIL104" s="3"/>
      <c r="PIM104" s="3"/>
      <c r="PIN104" s="3"/>
      <c r="PIO104" s="3"/>
      <c r="PIP104" s="3"/>
      <c r="PIQ104" s="3"/>
      <c r="PIR104" s="3"/>
      <c r="PIS104" s="3"/>
      <c r="PIT104" s="3"/>
      <c r="PIU104" s="3"/>
      <c r="PIV104" s="3"/>
      <c r="PIW104" s="3"/>
      <c r="PIX104" s="3"/>
      <c r="PIY104" s="3"/>
      <c r="PIZ104" s="3"/>
      <c r="PJA104" s="3"/>
      <c r="PJB104" s="3"/>
      <c r="PJC104" s="3"/>
      <c r="PJD104" s="3"/>
      <c r="PJE104" s="3"/>
      <c r="PJF104" s="3"/>
      <c r="PJG104" s="3"/>
      <c r="PJH104" s="3"/>
      <c r="PJI104" s="3"/>
      <c r="PJJ104" s="3"/>
      <c r="PJK104" s="3"/>
      <c r="PJL104" s="3"/>
      <c r="PJM104" s="3"/>
      <c r="PJN104" s="3"/>
      <c r="PJO104" s="3"/>
      <c r="PJP104" s="3"/>
      <c r="PJQ104" s="3"/>
      <c r="PJR104" s="3"/>
      <c r="PJS104" s="3"/>
      <c r="PJT104" s="3"/>
      <c r="PJU104" s="3"/>
      <c r="PJV104" s="3"/>
      <c r="PJW104" s="3"/>
      <c r="PJX104" s="3"/>
      <c r="PJY104" s="3"/>
      <c r="PJZ104" s="3"/>
      <c r="PKA104" s="3"/>
      <c r="PKB104" s="3"/>
      <c r="PKC104" s="3"/>
      <c r="PKD104" s="3"/>
      <c r="PKE104" s="3"/>
      <c r="PKF104" s="3"/>
      <c r="PKG104" s="3"/>
      <c r="PKH104" s="3"/>
      <c r="PKI104" s="3"/>
      <c r="PKJ104" s="3"/>
      <c r="PKK104" s="3"/>
      <c r="PKL104" s="3"/>
      <c r="PKM104" s="3"/>
      <c r="PKN104" s="3"/>
      <c r="PKO104" s="3"/>
      <c r="PKP104" s="3"/>
      <c r="PKQ104" s="3"/>
      <c r="PKR104" s="3"/>
      <c r="PKS104" s="3"/>
      <c r="PKT104" s="3"/>
      <c r="PKU104" s="3"/>
      <c r="PKV104" s="3"/>
      <c r="PKW104" s="3"/>
      <c r="PKX104" s="3"/>
      <c r="PKY104" s="3"/>
      <c r="PKZ104" s="3"/>
      <c r="PLA104" s="3"/>
      <c r="PLB104" s="3"/>
      <c r="PLC104" s="3"/>
      <c r="PLD104" s="3"/>
      <c r="PLE104" s="3"/>
      <c r="PLF104" s="3"/>
      <c r="PLG104" s="3"/>
      <c r="PLH104" s="3"/>
      <c r="PLI104" s="3"/>
      <c r="PLJ104" s="3"/>
      <c r="PLK104" s="3"/>
      <c r="PLL104" s="3"/>
      <c r="PLM104" s="3"/>
      <c r="PLN104" s="3"/>
      <c r="PLO104" s="3"/>
      <c r="PLP104" s="3"/>
      <c r="PLQ104" s="3"/>
      <c r="PLR104" s="3"/>
      <c r="PLS104" s="3"/>
      <c r="PLT104" s="3"/>
      <c r="PLU104" s="3"/>
      <c r="PLV104" s="3"/>
      <c r="PLW104" s="3"/>
      <c r="PLX104" s="3"/>
      <c r="PLY104" s="3"/>
      <c r="PLZ104" s="3"/>
      <c r="PMA104" s="3"/>
      <c r="PMB104" s="3"/>
      <c r="PMC104" s="3"/>
      <c r="PMD104" s="3"/>
      <c r="PME104" s="3"/>
      <c r="PMF104" s="3"/>
      <c r="PMG104" s="3"/>
      <c r="PMH104" s="3"/>
      <c r="PMI104" s="3"/>
      <c r="PMJ104" s="3"/>
      <c r="PMK104" s="3"/>
      <c r="PML104" s="3"/>
      <c r="PMM104" s="3"/>
      <c r="PMN104" s="3"/>
      <c r="PMO104" s="3"/>
      <c r="PMP104" s="3"/>
      <c r="PMQ104" s="3"/>
      <c r="PMR104" s="3"/>
      <c r="PMS104" s="3"/>
      <c r="PMT104" s="3"/>
      <c r="PMU104" s="3"/>
      <c r="PMV104" s="3"/>
      <c r="PMW104" s="3"/>
      <c r="PMX104" s="3"/>
      <c r="PMY104" s="3"/>
      <c r="PMZ104" s="3"/>
      <c r="PNA104" s="3"/>
      <c r="PNB104" s="3"/>
      <c r="PNC104" s="3"/>
      <c r="PND104" s="3"/>
      <c r="PNE104" s="3"/>
      <c r="PNF104" s="3"/>
      <c r="PNG104" s="3"/>
      <c r="PNH104" s="3"/>
      <c r="PNI104" s="3"/>
      <c r="PNJ104" s="3"/>
      <c r="PNK104" s="3"/>
      <c r="PNL104" s="3"/>
      <c r="PNM104" s="3"/>
      <c r="PNN104" s="3"/>
      <c r="PNO104" s="3"/>
      <c r="PNP104" s="3"/>
      <c r="PNQ104" s="3"/>
      <c r="PNR104" s="3"/>
      <c r="PNS104" s="3"/>
      <c r="PNT104" s="3"/>
      <c r="PNU104" s="3"/>
      <c r="PNV104" s="3"/>
      <c r="PNW104" s="3"/>
      <c r="PNX104" s="3"/>
      <c r="PNY104" s="3"/>
      <c r="PNZ104" s="3"/>
      <c r="POA104" s="3"/>
      <c r="POB104" s="3"/>
      <c r="POC104" s="3"/>
      <c r="POD104" s="3"/>
      <c r="POE104" s="3"/>
      <c r="POF104" s="3"/>
      <c r="POG104" s="3"/>
      <c r="POH104" s="3"/>
      <c r="POI104" s="3"/>
      <c r="POJ104" s="3"/>
      <c r="POK104" s="3"/>
      <c r="POL104" s="3"/>
      <c r="POM104" s="3"/>
      <c r="PON104" s="3"/>
      <c r="POO104" s="3"/>
      <c r="POP104" s="3"/>
      <c r="POQ104" s="3"/>
      <c r="POR104" s="3"/>
      <c r="POS104" s="3"/>
      <c r="POT104" s="3"/>
      <c r="POU104" s="3"/>
      <c r="POV104" s="3"/>
      <c r="POW104" s="3"/>
      <c r="POX104" s="3"/>
      <c r="POY104" s="3"/>
      <c r="POZ104" s="3"/>
      <c r="PPA104" s="3"/>
      <c r="PPB104" s="3"/>
      <c r="PPC104" s="3"/>
      <c r="PPD104" s="3"/>
      <c r="PPE104" s="3"/>
      <c r="PPF104" s="3"/>
      <c r="PPG104" s="3"/>
      <c r="PPH104" s="3"/>
      <c r="PPI104" s="3"/>
      <c r="PPJ104" s="3"/>
      <c r="PPK104" s="3"/>
      <c r="PPL104" s="3"/>
      <c r="PPM104" s="3"/>
      <c r="PPN104" s="3"/>
      <c r="PPO104" s="3"/>
      <c r="PPP104" s="3"/>
      <c r="PPQ104" s="3"/>
      <c r="PPR104" s="3"/>
      <c r="PPS104" s="3"/>
      <c r="PPT104" s="3"/>
      <c r="PPU104" s="3"/>
      <c r="PPV104" s="3"/>
      <c r="PPW104" s="3"/>
      <c r="PPX104" s="3"/>
      <c r="PPY104" s="3"/>
      <c r="PPZ104" s="3"/>
      <c r="PQA104" s="3"/>
      <c r="PQB104" s="3"/>
      <c r="PQC104" s="3"/>
      <c r="PQD104" s="3"/>
      <c r="PQE104" s="3"/>
      <c r="PQF104" s="3"/>
      <c r="PQG104" s="3"/>
      <c r="PQH104" s="3"/>
      <c r="PQI104" s="3"/>
      <c r="PQJ104" s="3"/>
      <c r="PQK104" s="3"/>
      <c r="PQL104" s="3"/>
      <c r="PQM104" s="3"/>
      <c r="PQN104" s="3"/>
      <c r="PQO104" s="3"/>
      <c r="PQP104" s="3"/>
      <c r="PQQ104" s="3"/>
      <c r="PQR104" s="3"/>
      <c r="PQS104" s="3"/>
      <c r="PQT104" s="3"/>
      <c r="PQU104" s="3"/>
      <c r="PQV104" s="3"/>
      <c r="PQW104" s="3"/>
      <c r="PQX104" s="3"/>
      <c r="PQY104" s="3"/>
      <c r="PQZ104" s="3"/>
      <c r="PRA104" s="3"/>
      <c r="PRB104" s="3"/>
      <c r="PRC104" s="3"/>
      <c r="PRD104" s="3"/>
      <c r="PRE104" s="3"/>
      <c r="PRF104" s="3"/>
      <c r="PRG104" s="3"/>
      <c r="PRH104" s="3"/>
      <c r="PRI104" s="3"/>
      <c r="PRJ104" s="3"/>
      <c r="PRK104" s="3"/>
      <c r="PRL104" s="3"/>
      <c r="PRM104" s="3"/>
      <c r="PRN104" s="3"/>
      <c r="PRO104" s="3"/>
      <c r="PRP104" s="3"/>
      <c r="PRQ104" s="3"/>
      <c r="PRR104" s="3"/>
      <c r="PRS104" s="3"/>
      <c r="PRT104" s="3"/>
      <c r="PRU104" s="3"/>
      <c r="PRV104" s="3"/>
      <c r="PRW104" s="3"/>
      <c r="PRX104" s="3"/>
      <c r="PRY104" s="3"/>
      <c r="PRZ104" s="3"/>
      <c r="PSA104" s="3"/>
      <c r="PSB104" s="3"/>
      <c r="PSC104" s="3"/>
      <c r="PSD104" s="3"/>
      <c r="PSE104" s="3"/>
      <c r="PSF104" s="3"/>
      <c r="PSG104" s="3"/>
      <c r="PSH104" s="3"/>
      <c r="PSI104" s="3"/>
      <c r="PSJ104" s="3"/>
      <c r="PSK104" s="3"/>
      <c r="PSL104" s="3"/>
      <c r="PSM104" s="3"/>
      <c r="PSN104" s="3"/>
      <c r="PSO104" s="3"/>
      <c r="PSP104" s="3"/>
      <c r="PSQ104" s="3"/>
      <c r="PSR104" s="3"/>
      <c r="PSS104" s="3"/>
      <c r="PST104" s="3"/>
      <c r="PSU104" s="3"/>
      <c r="PSV104" s="3"/>
      <c r="PSW104" s="3"/>
      <c r="PSX104" s="3"/>
      <c r="PSY104" s="3"/>
      <c r="PSZ104" s="3"/>
      <c r="PTA104" s="3"/>
      <c r="PTB104" s="3"/>
      <c r="PTC104" s="3"/>
      <c r="PTD104" s="3"/>
      <c r="PTE104" s="3"/>
      <c r="PTF104" s="3"/>
      <c r="PTG104" s="3"/>
      <c r="PTH104" s="3"/>
      <c r="PTI104" s="3"/>
      <c r="PTJ104" s="3"/>
      <c r="PTK104" s="3"/>
      <c r="PTL104" s="3"/>
      <c r="PTM104" s="3"/>
      <c r="PTN104" s="3"/>
      <c r="PTO104" s="3"/>
      <c r="PTP104" s="3"/>
      <c r="PTQ104" s="3"/>
      <c r="PTR104" s="3"/>
      <c r="PTS104" s="3"/>
      <c r="PTT104" s="3"/>
      <c r="PTU104" s="3"/>
      <c r="PTV104" s="3"/>
      <c r="PTW104" s="3"/>
      <c r="PTX104" s="3"/>
      <c r="PTY104" s="3"/>
      <c r="PTZ104" s="3"/>
      <c r="PUA104" s="3"/>
      <c r="PUB104" s="3"/>
      <c r="PUC104" s="3"/>
      <c r="PUD104" s="3"/>
      <c r="PUE104" s="3"/>
      <c r="PUF104" s="3"/>
      <c r="PUG104" s="3"/>
      <c r="PUH104" s="3"/>
      <c r="PUI104" s="3"/>
      <c r="PUJ104" s="3"/>
      <c r="PUK104" s="3"/>
      <c r="PUL104" s="3"/>
      <c r="PUM104" s="3"/>
      <c r="PUN104" s="3"/>
      <c r="PUO104" s="3"/>
      <c r="PUP104" s="3"/>
      <c r="PUQ104" s="3"/>
      <c r="PUR104" s="3"/>
      <c r="PUS104" s="3"/>
      <c r="PUT104" s="3"/>
      <c r="PUU104" s="3"/>
      <c r="PUV104" s="3"/>
      <c r="PUW104" s="3"/>
      <c r="PUX104" s="3"/>
      <c r="PUY104" s="3"/>
      <c r="PUZ104" s="3"/>
      <c r="PVA104" s="3"/>
      <c r="PVB104" s="3"/>
      <c r="PVC104" s="3"/>
      <c r="PVD104" s="3"/>
      <c r="PVE104" s="3"/>
      <c r="PVF104" s="3"/>
      <c r="PVG104" s="3"/>
      <c r="PVH104" s="3"/>
      <c r="PVI104" s="3"/>
      <c r="PVJ104" s="3"/>
      <c r="PVK104" s="3"/>
      <c r="PVL104" s="3"/>
      <c r="PVM104" s="3"/>
      <c r="PVN104" s="3"/>
      <c r="PVO104" s="3"/>
      <c r="PVP104" s="3"/>
      <c r="PVQ104" s="3"/>
      <c r="PVR104" s="3"/>
      <c r="PVS104" s="3"/>
      <c r="PVT104" s="3"/>
      <c r="PVU104" s="3"/>
      <c r="PVV104" s="3"/>
      <c r="PVW104" s="3"/>
      <c r="PVX104" s="3"/>
      <c r="PVY104" s="3"/>
      <c r="PVZ104" s="3"/>
      <c r="PWA104" s="3"/>
      <c r="PWB104" s="3"/>
      <c r="PWC104" s="3"/>
      <c r="PWD104" s="3"/>
      <c r="PWE104" s="3"/>
      <c r="PWF104" s="3"/>
      <c r="PWG104" s="3"/>
      <c r="PWH104" s="3"/>
      <c r="PWI104" s="3"/>
      <c r="PWJ104" s="3"/>
      <c r="PWK104" s="3"/>
      <c r="PWL104" s="3"/>
      <c r="PWM104" s="3"/>
      <c r="PWN104" s="3"/>
      <c r="PWO104" s="3"/>
      <c r="PWP104" s="3"/>
      <c r="PWQ104" s="3"/>
      <c r="PWR104" s="3"/>
      <c r="PWS104" s="3"/>
      <c r="PWT104" s="3"/>
      <c r="PWU104" s="3"/>
      <c r="PWV104" s="3"/>
      <c r="PWW104" s="3"/>
      <c r="PWX104" s="3"/>
      <c r="PWY104" s="3"/>
      <c r="PWZ104" s="3"/>
      <c r="PXA104" s="3"/>
      <c r="PXB104" s="3"/>
      <c r="PXC104" s="3"/>
      <c r="PXD104" s="3"/>
      <c r="PXE104" s="3"/>
      <c r="PXF104" s="3"/>
      <c r="PXG104" s="3"/>
      <c r="PXH104" s="3"/>
      <c r="PXI104" s="3"/>
      <c r="PXJ104" s="3"/>
      <c r="PXK104" s="3"/>
      <c r="PXL104" s="3"/>
      <c r="PXM104" s="3"/>
      <c r="PXN104" s="3"/>
      <c r="PXO104" s="3"/>
      <c r="PXP104" s="3"/>
      <c r="PXQ104" s="3"/>
      <c r="PXR104" s="3"/>
      <c r="PXS104" s="3"/>
      <c r="PXT104" s="3"/>
      <c r="PXU104" s="3"/>
      <c r="PXV104" s="3"/>
      <c r="PXW104" s="3"/>
      <c r="PXX104" s="3"/>
      <c r="PXY104" s="3"/>
      <c r="PXZ104" s="3"/>
      <c r="PYA104" s="3"/>
      <c r="PYB104" s="3"/>
      <c r="PYC104" s="3"/>
      <c r="PYD104" s="3"/>
      <c r="PYE104" s="3"/>
      <c r="PYF104" s="3"/>
      <c r="PYG104" s="3"/>
      <c r="PYH104" s="3"/>
      <c r="PYI104" s="3"/>
      <c r="PYJ104" s="3"/>
      <c r="PYK104" s="3"/>
      <c r="PYL104" s="3"/>
      <c r="PYM104" s="3"/>
      <c r="PYN104" s="3"/>
      <c r="PYO104" s="3"/>
      <c r="PYP104" s="3"/>
      <c r="PYQ104" s="3"/>
      <c r="PYR104" s="3"/>
      <c r="PYS104" s="3"/>
      <c r="PYT104" s="3"/>
      <c r="PYU104" s="3"/>
      <c r="PYV104" s="3"/>
      <c r="PYW104" s="3"/>
      <c r="PYX104" s="3"/>
      <c r="PYY104" s="3"/>
      <c r="PYZ104" s="3"/>
      <c r="PZA104" s="3"/>
      <c r="PZB104" s="3"/>
      <c r="PZC104" s="3"/>
      <c r="PZD104" s="3"/>
      <c r="PZE104" s="3"/>
      <c r="PZF104" s="3"/>
      <c r="PZG104" s="3"/>
      <c r="PZH104" s="3"/>
      <c r="PZI104" s="3"/>
      <c r="PZJ104" s="3"/>
      <c r="PZK104" s="3"/>
      <c r="PZL104" s="3"/>
      <c r="PZM104" s="3"/>
      <c r="PZN104" s="3"/>
      <c r="PZO104" s="3"/>
      <c r="PZP104" s="3"/>
      <c r="PZQ104" s="3"/>
      <c r="PZR104" s="3"/>
      <c r="PZS104" s="3"/>
      <c r="PZT104" s="3"/>
      <c r="PZU104" s="3"/>
      <c r="PZV104" s="3"/>
      <c r="PZW104" s="3"/>
      <c r="PZX104" s="3"/>
      <c r="PZY104" s="3"/>
      <c r="PZZ104" s="3"/>
      <c r="QAA104" s="3"/>
      <c r="QAB104" s="3"/>
      <c r="QAC104" s="3"/>
      <c r="QAD104" s="3"/>
      <c r="QAE104" s="3"/>
      <c r="QAF104" s="3"/>
      <c r="QAG104" s="3"/>
      <c r="QAH104" s="3"/>
      <c r="QAI104" s="3"/>
      <c r="QAJ104" s="3"/>
      <c r="QAK104" s="3"/>
      <c r="QAL104" s="3"/>
      <c r="QAM104" s="3"/>
      <c r="QAN104" s="3"/>
      <c r="QAO104" s="3"/>
      <c r="QAP104" s="3"/>
      <c r="QAQ104" s="3"/>
      <c r="QAR104" s="3"/>
      <c r="QAS104" s="3"/>
      <c r="QAT104" s="3"/>
      <c r="QAU104" s="3"/>
      <c r="QAV104" s="3"/>
      <c r="QAW104" s="3"/>
      <c r="QAX104" s="3"/>
      <c r="QAY104" s="3"/>
      <c r="QAZ104" s="3"/>
      <c r="QBA104" s="3"/>
      <c r="QBB104" s="3"/>
      <c r="QBC104" s="3"/>
      <c r="QBD104" s="3"/>
      <c r="QBE104" s="3"/>
      <c r="QBF104" s="3"/>
      <c r="QBG104" s="3"/>
      <c r="QBH104" s="3"/>
      <c r="QBI104" s="3"/>
      <c r="QBJ104" s="3"/>
      <c r="QBK104" s="3"/>
      <c r="QBL104" s="3"/>
      <c r="QBM104" s="3"/>
      <c r="QBN104" s="3"/>
      <c r="QBO104" s="3"/>
      <c r="QBP104" s="3"/>
      <c r="QBQ104" s="3"/>
      <c r="QBR104" s="3"/>
      <c r="QBS104" s="3"/>
      <c r="QBT104" s="3"/>
      <c r="QBU104" s="3"/>
      <c r="QBV104" s="3"/>
      <c r="QBW104" s="3"/>
      <c r="QBX104" s="3"/>
      <c r="QBY104" s="3"/>
      <c r="QBZ104" s="3"/>
      <c r="QCA104" s="3"/>
      <c r="QCB104" s="3"/>
      <c r="QCC104" s="3"/>
      <c r="QCD104" s="3"/>
      <c r="QCE104" s="3"/>
      <c r="QCF104" s="3"/>
      <c r="QCG104" s="3"/>
      <c r="QCH104" s="3"/>
      <c r="QCI104" s="3"/>
      <c r="QCJ104" s="3"/>
      <c r="QCK104" s="3"/>
      <c r="QCL104" s="3"/>
      <c r="QCM104" s="3"/>
      <c r="QCN104" s="3"/>
      <c r="QCO104" s="3"/>
      <c r="QCP104" s="3"/>
      <c r="QCQ104" s="3"/>
      <c r="QCR104" s="3"/>
      <c r="QCS104" s="3"/>
      <c r="QCT104" s="3"/>
      <c r="QCU104" s="3"/>
      <c r="QCV104" s="3"/>
      <c r="QCW104" s="3"/>
      <c r="QCX104" s="3"/>
      <c r="QCY104" s="3"/>
      <c r="QCZ104" s="3"/>
      <c r="QDA104" s="3"/>
      <c r="QDB104" s="3"/>
      <c r="QDC104" s="3"/>
      <c r="QDD104" s="3"/>
      <c r="QDE104" s="3"/>
      <c r="QDF104" s="3"/>
      <c r="QDG104" s="3"/>
      <c r="QDH104" s="3"/>
      <c r="QDI104" s="3"/>
      <c r="QDJ104" s="3"/>
      <c r="QDK104" s="3"/>
      <c r="QDL104" s="3"/>
      <c r="QDM104" s="3"/>
      <c r="QDN104" s="3"/>
      <c r="QDO104" s="3"/>
      <c r="QDP104" s="3"/>
      <c r="QDQ104" s="3"/>
      <c r="QDR104" s="3"/>
      <c r="QDS104" s="3"/>
      <c r="QDT104" s="3"/>
      <c r="QDU104" s="3"/>
      <c r="QDV104" s="3"/>
      <c r="QDW104" s="3"/>
      <c r="QDX104" s="3"/>
      <c r="QDY104" s="3"/>
      <c r="QDZ104" s="3"/>
      <c r="QEA104" s="3"/>
      <c r="QEB104" s="3"/>
      <c r="QEC104" s="3"/>
      <c r="QED104" s="3"/>
      <c r="QEE104" s="3"/>
      <c r="QEF104" s="3"/>
      <c r="QEG104" s="3"/>
      <c r="QEH104" s="3"/>
      <c r="QEI104" s="3"/>
      <c r="QEJ104" s="3"/>
      <c r="QEK104" s="3"/>
      <c r="QEL104" s="3"/>
      <c r="QEM104" s="3"/>
      <c r="QEN104" s="3"/>
      <c r="QEO104" s="3"/>
      <c r="QEP104" s="3"/>
      <c r="QEQ104" s="3"/>
      <c r="QER104" s="3"/>
      <c r="QES104" s="3"/>
      <c r="QET104" s="3"/>
      <c r="QEU104" s="3"/>
      <c r="QEV104" s="3"/>
      <c r="QEW104" s="3"/>
      <c r="QEX104" s="3"/>
      <c r="QEY104" s="3"/>
      <c r="QEZ104" s="3"/>
      <c r="QFA104" s="3"/>
      <c r="QFB104" s="3"/>
      <c r="QFC104" s="3"/>
      <c r="QFD104" s="3"/>
      <c r="QFE104" s="3"/>
      <c r="QFF104" s="3"/>
      <c r="QFG104" s="3"/>
      <c r="QFH104" s="3"/>
      <c r="QFI104" s="3"/>
      <c r="QFJ104" s="3"/>
      <c r="QFK104" s="3"/>
      <c r="QFL104" s="3"/>
      <c r="QFM104" s="3"/>
      <c r="QFN104" s="3"/>
      <c r="QFO104" s="3"/>
      <c r="QFP104" s="3"/>
      <c r="QFQ104" s="3"/>
      <c r="QFR104" s="3"/>
      <c r="QFS104" s="3"/>
      <c r="QFT104" s="3"/>
      <c r="QFU104" s="3"/>
      <c r="QFV104" s="3"/>
      <c r="QFW104" s="3"/>
      <c r="QFX104" s="3"/>
      <c r="QFY104" s="3"/>
      <c r="QFZ104" s="3"/>
      <c r="QGA104" s="3"/>
      <c r="QGB104" s="3"/>
      <c r="QGC104" s="3"/>
      <c r="QGD104" s="3"/>
      <c r="QGE104" s="3"/>
      <c r="QGF104" s="3"/>
      <c r="QGG104" s="3"/>
      <c r="QGH104" s="3"/>
      <c r="QGI104" s="3"/>
      <c r="QGJ104" s="3"/>
      <c r="QGK104" s="3"/>
      <c r="QGL104" s="3"/>
      <c r="QGM104" s="3"/>
      <c r="QGN104" s="3"/>
      <c r="QGO104" s="3"/>
      <c r="QGP104" s="3"/>
      <c r="QGQ104" s="3"/>
      <c r="QGR104" s="3"/>
      <c r="QGS104" s="3"/>
      <c r="QGT104" s="3"/>
      <c r="QGU104" s="3"/>
      <c r="QGV104" s="3"/>
      <c r="QGW104" s="3"/>
      <c r="QGX104" s="3"/>
      <c r="QGY104" s="3"/>
      <c r="QGZ104" s="3"/>
      <c r="QHA104" s="3"/>
      <c r="QHB104" s="3"/>
      <c r="QHC104" s="3"/>
      <c r="QHD104" s="3"/>
      <c r="QHE104" s="3"/>
      <c r="QHF104" s="3"/>
      <c r="QHG104" s="3"/>
      <c r="QHH104" s="3"/>
      <c r="QHI104" s="3"/>
      <c r="QHJ104" s="3"/>
      <c r="QHK104" s="3"/>
      <c r="QHL104" s="3"/>
      <c r="QHM104" s="3"/>
      <c r="QHN104" s="3"/>
      <c r="QHO104" s="3"/>
      <c r="QHP104" s="3"/>
      <c r="QHQ104" s="3"/>
      <c r="QHR104" s="3"/>
      <c r="QHS104" s="3"/>
      <c r="QHT104" s="3"/>
      <c r="QHU104" s="3"/>
      <c r="QHV104" s="3"/>
      <c r="QHW104" s="3"/>
      <c r="QHX104" s="3"/>
      <c r="QHY104" s="3"/>
      <c r="QHZ104" s="3"/>
      <c r="QIA104" s="3"/>
      <c r="QIB104" s="3"/>
      <c r="QIC104" s="3"/>
      <c r="QID104" s="3"/>
      <c r="QIE104" s="3"/>
      <c r="QIF104" s="3"/>
      <c r="QIG104" s="3"/>
      <c r="QIH104" s="3"/>
      <c r="QII104" s="3"/>
      <c r="QIJ104" s="3"/>
      <c r="QIK104" s="3"/>
      <c r="QIL104" s="3"/>
      <c r="QIM104" s="3"/>
      <c r="QIN104" s="3"/>
      <c r="QIO104" s="3"/>
      <c r="QIP104" s="3"/>
      <c r="QIQ104" s="3"/>
      <c r="QIR104" s="3"/>
      <c r="QIS104" s="3"/>
      <c r="QIT104" s="3"/>
      <c r="QIU104" s="3"/>
      <c r="QIV104" s="3"/>
      <c r="QIW104" s="3"/>
      <c r="QIX104" s="3"/>
      <c r="QIY104" s="3"/>
      <c r="QIZ104" s="3"/>
      <c r="QJA104" s="3"/>
      <c r="QJB104" s="3"/>
      <c r="QJC104" s="3"/>
      <c r="QJD104" s="3"/>
      <c r="QJE104" s="3"/>
      <c r="QJF104" s="3"/>
      <c r="QJG104" s="3"/>
      <c r="QJH104" s="3"/>
      <c r="QJI104" s="3"/>
      <c r="QJJ104" s="3"/>
      <c r="QJK104" s="3"/>
      <c r="QJL104" s="3"/>
      <c r="QJM104" s="3"/>
      <c r="QJN104" s="3"/>
      <c r="QJO104" s="3"/>
      <c r="QJP104" s="3"/>
      <c r="QJQ104" s="3"/>
      <c r="QJR104" s="3"/>
      <c r="QJS104" s="3"/>
      <c r="QJT104" s="3"/>
      <c r="QJU104" s="3"/>
      <c r="QJV104" s="3"/>
      <c r="QJW104" s="3"/>
      <c r="QJX104" s="3"/>
      <c r="QJY104" s="3"/>
      <c r="QJZ104" s="3"/>
      <c r="QKA104" s="3"/>
      <c r="QKB104" s="3"/>
      <c r="QKC104" s="3"/>
      <c r="QKD104" s="3"/>
      <c r="QKE104" s="3"/>
      <c r="QKF104" s="3"/>
      <c r="QKG104" s="3"/>
      <c r="QKH104" s="3"/>
      <c r="QKI104" s="3"/>
      <c r="QKJ104" s="3"/>
      <c r="QKK104" s="3"/>
      <c r="QKL104" s="3"/>
      <c r="QKM104" s="3"/>
      <c r="QKN104" s="3"/>
      <c r="QKO104" s="3"/>
      <c r="QKP104" s="3"/>
      <c r="QKQ104" s="3"/>
      <c r="QKR104" s="3"/>
      <c r="QKS104" s="3"/>
      <c r="QKT104" s="3"/>
      <c r="QKU104" s="3"/>
      <c r="QKV104" s="3"/>
      <c r="QKW104" s="3"/>
      <c r="QKX104" s="3"/>
      <c r="QKY104" s="3"/>
      <c r="QKZ104" s="3"/>
      <c r="QLA104" s="3"/>
      <c r="QLB104" s="3"/>
      <c r="QLC104" s="3"/>
      <c r="QLD104" s="3"/>
      <c r="QLE104" s="3"/>
      <c r="QLF104" s="3"/>
      <c r="QLG104" s="3"/>
      <c r="QLH104" s="3"/>
      <c r="QLI104" s="3"/>
      <c r="QLJ104" s="3"/>
      <c r="QLK104" s="3"/>
      <c r="QLL104" s="3"/>
      <c r="QLM104" s="3"/>
      <c r="QLN104" s="3"/>
      <c r="QLO104" s="3"/>
      <c r="QLP104" s="3"/>
      <c r="QLQ104" s="3"/>
      <c r="QLR104" s="3"/>
      <c r="QLS104" s="3"/>
      <c r="QLT104" s="3"/>
      <c r="QLU104" s="3"/>
      <c r="QLV104" s="3"/>
      <c r="QLW104" s="3"/>
      <c r="QLX104" s="3"/>
      <c r="QLY104" s="3"/>
      <c r="QLZ104" s="3"/>
      <c r="QMA104" s="3"/>
      <c r="QMB104" s="3"/>
      <c r="QMC104" s="3"/>
      <c r="QMD104" s="3"/>
      <c r="QME104" s="3"/>
      <c r="QMF104" s="3"/>
      <c r="QMG104" s="3"/>
      <c r="QMH104" s="3"/>
      <c r="QMI104" s="3"/>
      <c r="QMJ104" s="3"/>
      <c r="QMK104" s="3"/>
      <c r="QML104" s="3"/>
      <c r="QMM104" s="3"/>
      <c r="QMN104" s="3"/>
      <c r="QMO104" s="3"/>
      <c r="QMP104" s="3"/>
      <c r="QMQ104" s="3"/>
      <c r="QMR104" s="3"/>
      <c r="QMS104" s="3"/>
      <c r="QMT104" s="3"/>
      <c r="QMU104" s="3"/>
      <c r="QMV104" s="3"/>
      <c r="QMW104" s="3"/>
      <c r="QMX104" s="3"/>
      <c r="QMY104" s="3"/>
      <c r="QMZ104" s="3"/>
      <c r="QNA104" s="3"/>
      <c r="QNB104" s="3"/>
      <c r="QNC104" s="3"/>
      <c r="QND104" s="3"/>
      <c r="QNE104" s="3"/>
      <c r="QNF104" s="3"/>
      <c r="QNG104" s="3"/>
      <c r="QNH104" s="3"/>
      <c r="QNI104" s="3"/>
      <c r="QNJ104" s="3"/>
      <c r="QNK104" s="3"/>
      <c r="QNL104" s="3"/>
      <c r="QNM104" s="3"/>
      <c r="QNN104" s="3"/>
      <c r="QNO104" s="3"/>
      <c r="QNP104" s="3"/>
      <c r="QNQ104" s="3"/>
      <c r="QNR104" s="3"/>
      <c r="QNS104" s="3"/>
      <c r="QNT104" s="3"/>
      <c r="QNU104" s="3"/>
      <c r="QNV104" s="3"/>
      <c r="QNW104" s="3"/>
      <c r="QNX104" s="3"/>
      <c r="QNY104" s="3"/>
      <c r="QNZ104" s="3"/>
      <c r="QOA104" s="3"/>
      <c r="QOB104" s="3"/>
      <c r="QOC104" s="3"/>
      <c r="QOD104" s="3"/>
      <c r="QOE104" s="3"/>
      <c r="QOF104" s="3"/>
      <c r="QOG104" s="3"/>
      <c r="QOH104" s="3"/>
      <c r="QOI104" s="3"/>
      <c r="QOJ104" s="3"/>
      <c r="QOK104" s="3"/>
      <c r="QOL104" s="3"/>
      <c r="QOM104" s="3"/>
      <c r="QON104" s="3"/>
      <c r="QOO104" s="3"/>
      <c r="QOP104" s="3"/>
      <c r="QOQ104" s="3"/>
      <c r="QOR104" s="3"/>
      <c r="QOS104" s="3"/>
      <c r="QOT104" s="3"/>
      <c r="QOU104" s="3"/>
      <c r="QOV104" s="3"/>
      <c r="QOW104" s="3"/>
      <c r="QOX104" s="3"/>
      <c r="QOY104" s="3"/>
      <c r="QOZ104" s="3"/>
      <c r="QPA104" s="3"/>
      <c r="QPB104" s="3"/>
      <c r="QPC104" s="3"/>
      <c r="QPD104" s="3"/>
      <c r="QPE104" s="3"/>
      <c r="QPF104" s="3"/>
      <c r="QPG104" s="3"/>
      <c r="QPH104" s="3"/>
      <c r="QPI104" s="3"/>
      <c r="QPJ104" s="3"/>
      <c r="QPK104" s="3"/>
      <c r="QPL104" s="3"/>
      <c r="QPM104" s="3"/>
      <c r="QPN104" s="3"/>
      <c r="QPO104" s="3"/>
      <c r="QPP104" s="3"/>
      <c r="QPQ104" s="3"/>
      <c r="QPR104" s="3"/>
      <c r="QPS104" s="3"/>
      <c r="QPT104" s="3"/>
      <c r="QPU104" s="3"/>
      <c r="QPV104" s="3"/>
      <c r="QPW104" s="3"/>
      <c r="QPX104" s="3"/>
      <c r="QPY104" s="3"/>
      <c r="QPZ104" s="3"/>
      <c r="QQA104" s="3"/>
      <c r="QQB104" s="3"/>
      <c r="QQC104" s="3"/>
      <c r="QQD104" s="3"/>
      <c r="QQE104" s="3"/>
      <c r="QQF104" s="3"/>
      <c r="QQG104" s="3"/>
      <c r="QQH104" s="3"/>
      <c r="QQI104" s="3"/>
      <c r="QQJ104" s="3"/>
      <c r="QQK104" s="3"/>
      <c r="QQL104" s="3"/>
      <c r="QQM104" s="3"/>
      <c r="QQN104" s="3"/>
      <c r="QQO104" s="3"/>
      <c r="QQP104" s="3"/>
      <c r="QQQ104" s="3"/>
      <c r="QQR104" s="3"/>
      <c r="QQS104" s="3"/>
      <c r="QQT104" s="3"/>
      <c r="QQU104" s="3"/>
      <c r="QQV104" s="3"/>
      <c r="QQW104" s="3"/>
      <c r="QQX104" s="3"/>
      <c r="QQY104" s="3"/>
      <c r="QQZ104" s="3"/>
      <c r="QRA104" s="3"/>
      <c r="QRB104" s="3"/>
      <c r="QRC104" s="3"/>
      <c r="QRD104" s="3"/>
      <c r="QRE104" s="3"/>
      <c r="QRF104" s="3"/>
      <c r="QRG104" s="3"/>
      <c r="QRH104" s="3"/>
      <c r="QRI104" s="3"/>
      <c r="QRJ104" s="3"/>
      <c r="QRK104" s="3"/>
      <c r="QRL104" s="3"/>
      <c r="QRM104" s="3"/>
      <c r="QRN104" s="3"/>
      <c r="QRO104" s="3"/>
      <c r="QRP104" s="3"/>
      <c r="QRQ104" s="3"/>
      <c r="QRR104" s="3"/>
      <c r="QRS104" s="3"/>
      <c r="QRT104" s="3"/>
      <c r="QRU104" s="3"/>
      <c r="QRV104" s="3"/>
      <c r="QRW104" s="3"/>
      <c r="QRX104" s="3"/>
      <c r="QRY104" s="3"/>
      <c r="QRZ104" s="3"/>
      <c r="QSA104" s="3"/>
      <c r="QSB104" s="3"/>
      <c r="QSC104" s="3"/>
      <c r="QSD104" s="3"/>
      <c r="QSE104" s="3"/>
      <c r="QSF104" s="3"/>
      <c r="QSG104" s="3"/>
      <c r="QSH104" s="3"/>
      <c r="QSI104" s="3"/>
      <c r="QSJ104" s="3"/>
      <c r="QSK104" s="3"/>
      <c r="QSL104" s="3"/>
      <c r="QSM104" s="3"/>
      <c r="QSN104" s="3"/>
      <c r="QSO104" s="3"/>
      <c r="QSP104" s="3"/>
      <c r="QSQ104" s="3"/>
      <c r="QSR104" s="3"/>
      <c r="QSS104" s="3"/>
      <c r="QST104" s="3"/>
      <c r="QSU104" s="3"/>
      <c r="QSV104" s="3"/>
      <c r="QSW104" s="3"/>
      <c r="QSX104" s="3"/>
      <c r="QSY104" s="3"/>
      <c r="QSZ104" s="3"/>
      <c r="QTA104" s="3"/>
      <c r="QTB104" s="3"/>
      <c r="QTC104" s="3"/>
      <c r="QTD104" s="3"/>
      <c r="QTE104" s="3"/>
      <c r="QTF104" s="3"/>
      <c r="QTG104" s="3"/>
      <c r="QTH104" s="3"/>
      <c r="QTI104" s="3"/>
      <c r="QTJ104" s="3"/>
      <c r="QTK104" s="3"/>
      <c r="QTL104" s="3"/>
      <c r="QTM104" s="3"/>
      <c r="QTN104" s="3"/>
      <c r="QTO104" s="3"/>
      <c r="QTP104" s="3"/>
      <c r="QTQ104" s="3"/>
      <c r="QTR104" s="3"/>
      <c r="QTS104" s="3"/>
      <c r="QTT104" s="3"/>
      <c r="QTU104" s="3"/>
      <c r="QTV104" s="3"/>
      <c r="QTW104" s="3"/>
      <c r="QTX104" s="3"/>
      <c r="QTY104" s="3"/>
      <c r="QTZ104" s="3"/>
      <c r="QUA104" s="3"/>
      <c r="QUB104" s="3"/>
      <c r="QUC104" s="3"/>
      <c r="QUD104" s="3"/>
      <c r="QUE104" s="3"/>
      <c r="QUF104" s="3"/>
      <c r="QUG104" s="3"/>
      <c r="QUH104" s="3"/>
      <c r="QUI104" s="3"/>
      <c r="QUJ104" s="3"/>
      <c r="QUK104" s="3"/>
      <c r="QUL104" s="3"/>
      <c r="QUM104" s="3"/>
      <c r="QUN104" s="3"/>
      <c r="QUO104" s="3"/>
      <c r="QUP104" s="3"/>
      <c r="QUQ104" s="3"/>
      <c r="QUR104" s="3"/>
      <c r="QUS104" s="3"/>
      <c r="QUT104" s="3"/>
      <c r="QUU104" s="3"/>
      <c r="QUV104" s="3"/>
      <c r="QUW104" s="3"/>
      <c r="QUX104" s="3"/>
      <c r="QUY104" s="3"/>
      <c r="QUZ104" s="3"/>
      <c r="QVA104" s="3"/>
      <c r="QVB104" s="3"/>
      <c r="QVC104" s="3"/>
      <c r="QVD104" s="3"/>
      <c r="QVE104" s="3"/>
      <c r="QVF104" s="3"/>
      <c r="QVG104" s="3"/>
      <c r="QVH104" s="3"/>
      <c r="QVI104" s="3"/>
      <c r="QVJ104" s="3"/>
      <c r="QVK104" s="3"/>
      <c r="QVL104" s="3"/>
      <c r="QVM104" s="3"/>
      <c r="QVN104" s="3"/>
      <c r="QVO104" s="3"/>
      <c r="QVP104" s="3"/>
      <c r="QVQ104" s="3"/>
      <c r="QVR104" s="3"/>
      <c r="QVS104" s="3"/>
      <c r="QVT104" s="3"/>
      <c r="QVU104" s="3"/>
      <c r="QVV104" s="3"/>
      <c r="QVW104" s="3"/>
      <c r="QVX104" s="3"/>
      <c r="QVY104" s="3"/>
      <c r="QVZ104" s="3"/>
      <c r="QWA104" s="3"/>
      <c r="QWB104" s="3"/>
      <c r="QWC104" s="3"/>
      <c r="QWD104" s="3"/>
      <c r="QWE104" s="3"/>
      <c r="QWF104" s="3"/>
      <c r="QWG104" s="3"/>
      <c r="QWH104" s="3"/>
      <c r="QWI104" s="3"/>
      <c r="QWJ104" s="3"/>
      <c r="QWK104" s="3"/>
      <c r="QWL104" s="3"/>
      <c r="QWM104" s="3"/>
      <c r="QWN104" s="3"/>
      <c r="QWO104" s="3"/>
      <c r="QWP104" s="3"/>
      <c r="QWQ104" s="3"/>
      <c r="QWR104" s="3"/>
      <c r="QWS104" s="3"/>
      <c r="QWT104" s="3"/>
      <c r="QWU104" s="3"/>
      <c r="QWV104" s="3"/>
      <c r="QWW104" s="3"/>
      <c r="QWX104" s="3"/>
      <c r="QWY104" s="3"/>
      <c r="QWZ104" s="3"/>
      <c r="QXA104" s="3"/>
      <c r="QXB104" s="3"/>
      <c r="QXC104" s="3"/>
      <c r="QXD104" s="3"/>
      <c r="QXE104" s="3"/>
      <c r="QXF104" s="3"/>
      <c r="QXG104" s="3"/>
      <c r="QXH104" s="3"/>
      <c r="QXI104" s="3"/>
      <c r="QXJ104" s="3"/>
      <c r="QXK104" s="3"/>
      <c r="QXL104" s="3"/>
      <c r="QXM104" s="3"/>
      <c r="QXN104" s="3"/>
      <c r="QXO104" s="3"/>
      <c r="QXP104" s="3"/>
      <c r="QXQ104" s="3"/>
      <c r="QXR104" s="3"/>
      <c r="QXS104" s="3"/>
      <c r="QXT104" s="3"/>
      <c r="QXU104" s="3"/>
      <c r="QXV104" s="3"/>
      <c r="QXW104" s="3"/>
      <c r="QXX104" s="3"/>
      <c r="QXY104" s="3"/>
      <c r="QXZ104" s="3"/>
      <c r="QYA104" s="3"/>
      <c r="QYB104" s="3"/>
      <c r="QYC104" s="3"/>
      <c r="QYD104" s="3"/>
      <c r="QYE104" s="3"/>
      <c r="QYF104" s="3"/>
      <c r="QYG104" s="3"/>
      <c r="QYH104" s="3"/>
      <c r="QYI104" s="3"/>
      <c r="QYJ104" s="3"/>
      <c r="QYK104" s="3"/>
      <c r="QYL104" s="3"/>
      <c r="QYM104" s="3"/>
      <c r="QYN104" s="3"/>
      <c r="QYO104" s="3"/>
      <c r="QYP104" s="3"/>
      <c r="QYQ104" s="3"/>
      <c r="QYR104" s="3"/>
      <c r="QYS104" s="3"/>
      <c r="QYT104" s="3"/>
      <c r="QYU104" s="3"/>
      <c r="QYV104" s="3"/>
      <c r="QYW104" s="3"/>
      <c r="QYX104" s="3"/>
      <c r="QYY104" s="3"/>
      <c r="QYZ104" s="3"/>
      <c r="QZA104" s="3"/>
      <c r="QZB104" s="3"/>
      <c r="QZC104" s="3"/>
      <c r="QZD104" s="3"/>
      <c r="QZE104" s="3"/>
      <c r="QZF104" s="3"/>
      <c r="QZG104" s="3"/>
      <c r="QZH104" s="3"/>
      <c r="QZI104" s="3"/>
      <c r="QZJ104" s="3"/>
      <c r="QZK104" s="3"/>
      <c r="QZL104" s="3"/>
      <c r="QZM104" s="3"/>
      <c r="QZN104" s="3"/>
      <c r="QZO104" s="3"/>
      <c r="QZP104" s="3"/>
      <c r="QZQ104" s="3"/>
      <c r="QZR104" s="3"/>
      <c r="QZS104" s="3"/>
      <c r="QZT104" s="3"/>
      <c r="QZU104" s="3"/>
      <c r="QZV104" s="3"/>
      <c r="QZW104" s="3"/>
      <c r="QZX104" s="3"/>
      <c r="QZY104" s="3"/>
      <c r="QZZ104" s="3"/>
      <c r="RAA104" s="3"/>
      <c r="RAB104" s="3"/>
      <c r="RAC104" s="3"/>
      <c r="RAD104" s="3"/>
      <c r="RAE104" s="3"/>
      <c r="RAF104" s="3"/>
      <c r="RAG104" s="3"/>
      <c r="RAH104" s="3"/>
      <c r="RAI104" s="3"/>
      <c r="RAJ104" s="3"/>
      <c r="RAK104" s="3"/>
      <c r="RAL104" s="3"/>
      <c r="RAM104" s="3"/>
      <c r="RAN104" s="3"/>
      <c r="RAO104" s="3"/>
      <c r="RAP104" s="3"/>
      <c r="RAQ104" s="3"/>
      <c r="RAR104" s="3"/>
      <c r="RAS104" s="3"/>
      <c r="RAT104" s="3"/>
      <c r="RAU104" s="3"/>
      <c r="RAV104" s="3"/>
      <c r="RAW104" s="3"/>
      <c r="RAX104" s="3"/>
      <c r="RAY104" s="3"/>
      <c r="RAZ104" s="3"/>
      <c r="RBA104" s="3"/>
      <c r="RBB104" s="3"/>
      <c r="RBC104" s="3"/>
      <c r="RBD104" s="3"/>
      <c r="RBE104" s="3"/>
      <c r="RBF104" s="3"/>
      <c r="RBG104" s="3"/>
      <c r="RBH104" s="3"/>
      <c r="RBI104" s="3"/>
      <c r="RBJ104" s="3"/>
      <c r="RBK104" s="3"/>
      <c r="RBL104" s="3"/>
      <c r="RBM104" s="3"/>
      <c r="RBN104" s="3"/>
      <c r="RBO104" s="3"/>
      <c r="RBP104" s="3"/>
      <c r="RBQ104" s="3"/>
      <c r="RBR104" s="3"/>
      <c r="RBS104" s="3"/>
      <c r="RBT104" s="3"/>
      <c r="RBU104" s="3"/>
      <c r="RBV104" s="3"/>
      <c r="RBW104" s="3"/>
      <c r="RBX104" s="3"/>
      <c r="RBY104" s="3"/>
      <c r="RBZ104" s="3"/>
      <c r="RCA104" s="3"/>
      <c r="RCB104" s="3"/>
      <c r="RCC104" s="3"/>
      <c r="RCD104" s="3"/>
      <c r="RCE104" s="3"/>
      <c r="RCF104" s="3"/>
      <c r="RCG104" s="3"/>
      <c r="RCH104" s="3"/>
      <c r="RCI104" s="3"/>
      <c r="RCJ104" s="3"/>
      <c r="RCK104" s="3"/>
      <c r="RCL104" s="3"/>
      <c r="RCM104" s="3"/>
      <c r="RCN104" s="3"/>
      <c r="RCO104" s="3"/>
      <c r="RCP104" s="3"/>
      <c r="RCQ104" s="3"/>
      <c r="RCR104" s="3"/>
      <c r="RCS104" s="3"/>
      <c r="RCT104" s="3"/>
      <c r="RCU104" s="3"/>
      <c r="RCV104" s="3"/>
      <c r="RCW104" s="3"/>
      <c r="RCX104" s="3"/>
      <c r="RCY104" s="3"/>
      <c r="RCZ104" s="3"/>
      <c r="RDA104" s="3"/>
      <c r="RDB104" s="3"/>
      <c r="RDC104" s="3"/>
      <c r="RDD104" s="3"/>
      <c r="RDE104" s="3"/>
      <c r="RDF104" s="3"/>
      <c r="RDG104" s="3"/>
      <c r="RDH104" s="3"/>
      <c r="RDI104" s="3"/>
      <c r="RDJ104" s="3"/>
      <c r="RDK104" s="3"/>
      <c r="RDL104" s="3"/>
      <c r="RDM104" s="3"/>
      <c r="RDN104" s="3"/>
      <c r="RDO104" s="3"/>
      <c r="RDP104" s="3"/>
      <c r="RDQ104" s="3"/>
      <c r="RDR104" s="3"/>
      <c r="RDS104" s="3"/>
      <c r="RDT104" s="3"/>
      <c r="RDU104" s="3"/>
      <c r="RDV104" s="3"/>
      <c r="RDW104" s="3"/>
      <c r="RDX104" s="3"/>
      <c r="RDY104" s="3"/>
      <c r="RDZ104" s="3"/>
      <c r="REA104" s="3"/>
      <c r="REB104" s="3"/>
      <c r="REC104" s="3"/>
      <c r="RED104" s="3"/>
      <c r="REE104" s="3"/>
      <c r="REF104" s="3"/>
      <c r="REG104" s="3"/>
      <c r="REH104" s="3"/>
      <c r="REI104" s="3"/>
      <c r="REJ104" s="3"/>
      <c r="REK104" s="3"/>
      <c r="REL104" s="3"/>
      <c r="REM104" s="3"/>
      <c r="REN104" s="3"/>
      <c r="REO104" s="3"/>
      <c r="REP104" s="3"/>
      <c r="REQ104" s="3"/>
      <c r="RER104" s="3"/>
      <c r="RES104" s="3"/>
      <c r="RET104" s="3"/>
      <c r="REU104" s="3"/>
      <c r="REV104" s="3"/>
      <c r="REW104" s="3"/>
      <c r="REX104" s="3"/>
      <c r="REY104" s="3"/>
      <c r="REZ104" s="3"/>
      <c r="RFA104" s="3"/>
      <c r="RFB104" s="3"/>
      <c r="RFC104" s="3"/>
      <c r="RFD104" s="3"/>
      <c r="RFE104" s="3"/>
      <c r="RFF104" s="3"/>
      <c r="RFG104" s="3"/>
      <c r="RFH104" s="3"/>
      <c r="RFI104" s="3"/>
      <c r="RFJ104" s="3"/>
      <c r="RFK104" s="3"/>
      <c r="RFL104" s="3"/>
      <c r="RFM104" s="3"/>
      <c r="RFN104" s="3"/>
      <c r="RFO104" s="3"/>
      <c r="RFP104" s="3"/>
      <c r="RFQ104" s="3"/>
      <c r="RFR104" s="3"/>
      <c r="RFS104" s="3"/>
      <c r="RFT104" s="3"/>
      <c r="RFU104" s="3"/>
      <c r="RFV104" s="3"/>
      <c r="RFW104" s="3"/>
      <c r="RFX104" s="3"/>
      <c r="RFY104" s="3"/>
      <c r="RFZ104" s="3"/>
      <c r="RGA104" s="3"/>
      <c r="RGB104" s="3"/>
      <c r="RGC104" s="3"/>
      <c r="RGD104" s="3"/>
      <c r="RGE104" s="3"/>
      <c r="RGF104" s="3"/>
      <c r="RGG104" s="3"/>
      <c r="RGH104" s="3"/>
      <c r="RGI104" s="3"/>
      <c r="RGJ104" s="3"/>
      <c r="RGK104" s="3"/>
      <c r="RGL104" s="3"/>
      <c r="RGM104" s="3"/>
      <c r="RGN104" s="3"/>
      <c r="RGO104" s="3"/>
      <c r="RGP104" s="3"/>
      <c r="RGQ104" s="3"/>
      <c r="RGR104" s="3"/>
      <c r="RGS104" s="3"/>
      <c r="RGT104" s="3"/>
      <c r="RGU104" s="3"/>
      <c r="RGV104" s="3"/>
      <c r="RGW104" s="3"/>
      <c r="RGX104" s="3"/>
      <c r="RGY104" s="3"/>
      <c r="RGZ104" s="3"/>
      <c r="RHA104" s="3"/>
      <c r="RHB104" s="3"/>
      <c r="RHC104" s="3"/>
      <c r="RHD104" s="3"/>
      <c r="RHE104" s="3"/>
      <c r="RHF104" s="3"/>
      <c r="RHG104" s="3"/>
      <c r="RHH104" s="3"/>
      <c r="RHI104" s="3"/>
      <c r="RHJ104" s="3"/>
      <c r="RHK104" s="3"/>
      <c r="RHL104" s="3"/>
      <c r="RHM104" s="3"/>
      <c r="RHN104" s="3"/>
      <c r="RHO104" s="3"/>
      <c r="RHP104" s="3"/>
      <c r="RHQ104" s="3"/>
      <c r="RHR104" s="3"/>
      <c r="RHS104" s="3"/>
      <c r="RHT104" s="3"/>
      <c r="RHU104" s="3"/>
      <c r="RHV104" s="3"/>
      <c r="RHW104" s="3"/>
      <c r="RHX104" s="3"/>
      <c r="RHY104" s="3"/>
      <c r="RHZ104" s="3"/>
      <c r="RIA104" s="3"/>
      <c r="RIB104" s="3"/>
      <c r="RIC104" s="3"/>
      <c r="RID104" s="3"/>
      <c r="RIE104" s="3"/>
      <c r="RIF104" s="3"/>
      <c r="RIG104" s="3"/>
      <c r="RIH104" s="3"/>
      <c r="RII104" s="3"/>
      <c r="RIJ104" s="3"/>
      <c r="RIK104" s="3"/>
      <c r="RIL104" s="3"/>
      <c r="RIM104" s="3"/>
      <c r="RIN104" s="3"/>
      <c r="RIO104" s="3"/>
      <c r="RIP104" s="3"/>
      <c r="RIQ104" s="3"/>
      <c r="RIR104" s="3"/>
      <c r="RIS104" s="3"/>
      <c r="RIT104" s="3"/>
      <c r="RIU104" s="3"/>
      <c r="RIV104" s="3"/>
      <c r="RIW104" s="3"/>
      <c r="RIX104" s="3"/>
      <c r="RIY104" s="3"/>
      <c r="RIZ104" s="3"/>
      <c r="RJA104" s="3"/>
      <c r="RJB104" s="3"/>
      <c r="RJC104" s="3"/>
      <c r="RJD104" s="3"/>
      <c r="RJE104" s="3"/>
      <c r="RJF104" s="3"/>
      <c r="RJG104" s="3"/>
      <c r="RJH104" s="3"/>
      <c r="RJI104" s="3"/>
      <c r="RJJ104" s="3"/>
      <c r="RJK104" s="3"/>
      <c r="RJL104" s="3"/>
      <c r="RJM104" s="3"/>
      <c r="RJN104" s="3"/>
      <c r="RJO104" s="3"/>
      <c r="RJP104" s="3"/>
      <c r="RJQ104" s="3"/>
      <c r="RJR104" s="3"/>
      <c r="RJS104" s="3"/>
      <c r="RJT104" s="3"/>
      <c r="RJU104" s="3"/>
      <c r="RJV104" s="3"/>
      <c r="RJW104" s="3"/>
      <c r="RJX104" s="3"/>
      <c r="RJY104" s="3"/>
      <c r="RJZ104" s="3"/>
      <c r="RKA104" s="3"/>
      <c r="RKB104" s="3"/>
      <c r="RKC104" s="3"/>
      <c r="RKD104" s="3"/>
      <c r="RKE104" s="3"/>
      <c r="RKF104" s="3"/>
      <c r="RKG104" s="3"/>
      <c r="RKH104" s="3"/>
      <c r="RKI104" s="3"/>
      <c r="RKJ104" s="3"/>
      <c r="RKK104" s="3"/>
      <c r="RKL104" s="3"/>
      <c r="RKM104" s="3"/>
      <c r="RKN104" s="3"/>
      <c r="RKO104" s="3"/>
      <c r="RKP104" s="3"/>
      <c r="RKQ104" s="3"/>
      <c r="RKR104" s="3"/>
      <c r="RKS104" s="3"/>
      <c r="RKT104" s="3"/>
      <c r="RKU104" s="3"/>
      <c r="RKV104" s="3"/>
      <c r="RKW104" s="3"/>
      <c r="RKX104" s="3"/>
      <c r="RKY104" s="3"/>
      <c r="RKZ104" s="3"/>
      <c r="RLA104" s="3"/>
      <c r="RLB104" s="3"/>
      <c r="RLC104" s="3"/>
      <c r="RLD104" s="3"/>
      <c r="RLE104" s="3"/>
      <c r="RLF104" s="3"/>
      <c r="RLG104" s="3"/>
      <c r="RLH104" s="3"/>
      <c r="RLI104" s="3"/>
      <c r="RLJ104" s="3"/>
      <c r="RLK104" s="3"/>
      <c r="RLL104" s="3"/>
      <c r="RLM104" s="3"/>
      <c r="RLN104" s="3"/>
      <c r="RLO104" s="3"/>
      <c r="RLP104" s="3"/>
      <c r="RLQ104" s="3"/>
      <c r="RLR104" s="3"/>
      <c r="RLS104" s="3"/>
      <c r="RLT104" s="3"/>
      <c r="RLU104" s="3"/>
      <c r="RLV104" s="3"/>
      <c r="RLW104" s="3"/>
      <c r="RLX104" s="3"/>
      <c r="RLY104" s="3"/>
      <c r="RLZ104" s="3"/>
      <c r="RMA104" s="3"/>
      <c r="RMB104" s="3"/>
      <c r="RMC104" s="3"/>
      <c r="RMD104" s="3"/>
      <c r="RME104" s="3"/>
      <c r="RMF104" s="3"/>
      <c r="RMG104" s="3"/>
      <c r="RMH104" s="3"/>
      <c r="RMI104" s="3"/>
      <c r="RMJ104" s="3"/>
      <c r="RMK104" s="3"/>
      <c r="RML104" s="3"/>
      <c r="RMM104" s="3"/>
      <c r="RMN104" s="3"/>
      <c r="RMO104" s="3"/>
      <c r="RMP104" s="3"/>
      <c r="RMQ104" s="3"/>
      <c r="RMR104" s="3"/>
      <c r="RMS104" s="3"/>
      <c r="RMT104" s="3"/>
      <c r="RMU104" s="3"/>
      <c r="RMV104" s="3"/>
      <c r="RMW104" s="3"/>
      <c r="RMX104" s="3"/>
      <c r="RMY104" s="3"/>
      <c r="RMZ104" s="3"/>
      <c r="RNA104" s="3"/>
      <c r="RNB104" s="3"/>
      <c r="RNC104" s="3"/>
      <c r="RND104" s="3"/>
      <c r="RNE104" s="3"/>
      <c r="RNF104" s="3"/>
      <c r="RNG104" s="3"/>
      <c r="RNH104" s="3"/>
      <c r="RNI104" s="3"/>
      <c r="RNJ104" s="3"/>
      <c r="RNK104" s="3"/>
      <c r="RNL104" s="3"/>
      <c r="RNM104" s="3"/>
      <c r="RNN104" s="3"/>
      <c r="RNO104" s="3"/>
      <c r="RNP104" s="3"/>
      <c r="RNQ104" s="3"/>
      <c r="RNR104" s="3"/>
      <c r="RNS104" s="3"/>
      <c r="RNT104" s="3"/>
      <c r="RNU104" s="3"/>
      <c r="RNV104" s="3"/>
      <c r="RNW104" s="3"/>
      <c r="RNX104" s="3"/>
      <c r="RNY104" s="3"/>
      <c r="RNZ104" s="3"/>
      <c r="ROA104" s="3"/>
      <c r="ROB104" s="3"/>
      <c r="ROC104" s="3"/>
      <c r="ROD104" s="3"/>
      <c r="ROE104" s="3"/>
      <c r="ROF104" s="3"/>
      <c r="ROG104" s="3"/>
      <c r="ROH104" s="3"/>
      <c r="ROI104" s="3"/>
      <c r="ROJ104" s="3"/>
      <c r="ROK104" s="3"/>
      <c r="ROL104" s="3"/>
      <c r="ROM104" s="3"/>
      <c r="RON104" s="3"/>
      <c r="ROO104" s="3"/>
      <c r="ROP104" s="3"/>
      <c r="ROQ104" s="3"/>
      <c r="ROR104" s="3"/>
      <c r="ROS104" s="3"/>
      <c r="ROT104" s="3"/>
      <c r="ROU104" s="3"/>
      <c r="ROV104" s="3"/>
      <c r="ROW104" s="3"/>
      <c r="ROX104" s="3"/>
      <c r="ROY104" s="3"/>
      <c r="ROZ104" s="3"/>
      <c r="RPA104" s="3"/>
      <c r="RPB104" s="3"/>
      <c r="RPC104" s="3"/>
      <c r="RPD104" s="3"/>
      <c r="RPE104" s="3"/>
      <c r="RPF104" s="3"/>
      <c r="RPG104" s="3"/>
      <c r="RPH104" s="3"/>
      <c r="RPI104" s="3"/>
      <c r="RPJ104" s="3"/>
      <c r="RPK104" s="3"/>
      <c r="RPL104" s="3"/>
      <c r="RPM104" s="3"/>
      <c r="RPN104" s="3"/>
      <c r="RPO104" s="3"/>
      <c r="RPP104" s="3"/>
      <c r="RPQ104" s="3"/>
      <c r="RPR104" s="3"/>
      <c r="RPS104" s="3"/>
      <c r="RPT104" s="3"/>
      <c r="RPU104" s="3"/>
      <c r="RPV104" s="3"/>
      <c r="RPW104" s="3"/>
      <c r="RPX104" s="3"/>
      <c r="RPY104" s="3"/>
      <c r="RPZ104" s="3"/>
      <c r="RQA104" s="3"/>
      <c r="RQB104" s="3"/>
      <c r="RQC104" s="3"/>
      <c r="RQD104" s="3"/>
      <c r="RQE104" s="3"/>
      <c r="RQF104" s="3"/>
      <c r="RQG104" s="3"/>
      <c r="RQH104" s="3"/>
      <c r="RQI104" s="3"/>
      <c r="RQJ104" s="3"/>
      <c r="RQK104" s="3"/>
      <c r="RQL104" s="3"/>
      <c r="RQM104" s="3"/>
      <c r="RQN104" s="3"/>
      <c r="RQO104" s="3"/>
      <c r="RQP104" s="3"/>
      <c r="RQQ104" s="3"/>
      <c r="RQR104" s="3"/>
      <c r="RQS104" s="3"/>
      <c r="RQT104" s="3"/>
      <c r="RQU104" s="3"/>
      <c r="RQV104" s="3"/>
      <c r="RQW104" s="3"/>
      <c r="RQX104" s="3"/>
      <c r="RQY104" s="3"/>
      <c r="RQZ104" s="3"/>
      <c r="RRA104" s="3"/>
      <c r="RRB104" s="3"/>
      <c r="RRC104" s="3"/>
      <c r="RRD104" s="3"/>
      <c r="RRE104" s="3"/>
      <c r="RRF104" s="3"/>
      <c r="RRG104" s="3"/>
      <c r="RRH104" s="3"/>
      <c r="RRI104" s="3"/>
      <c r="RRJ104" s="3"/>
      <c r="RRK104" s="3"/>
      <c r="RRL104" s="3"/>
      <c r="RRM104" s="3"/>
      <c r="RRN104" s="3"/>
      <c r="RRO104" s="3"/>
      <c r="RRP104" s="3"/>
      <c r="RRQ104" s="3"/>
      <c r="RRR104" s="3"/>
      <c r="RRS104" s="3"/>
      <c r="RRT104" s="3"/>
      <c r="RRU104" s="3"/>
      <c r="RRV104" s="3"/>
      <c r="RRW104" s="3"/>
      <c r="RRX104" s="3"/>
      <c r="RRY104" s="3"/>
      <c r="RRZ104" s="3"/>
      <c r="RSA104" s="3"/>
      <c r="RSB104" s="3"/>
      <c r="RSC104" s="3"/>
      <c r="RSD104" s="3"/>
      <c r="RSE104" s="3"/>
      <c r="RSF104" s="3"/>
      <c r="RSG104" s="3"/>
      <c r="RSH104" s="3"/>
      <c r="RSI104" s="3"/>
      <c r="RSJ104" s="3"/>
      <c r="RSK104" s="3"/>
      <c r="RSL104" s="3"/>
      <c r="RSM104" s="3"/>
      <c r="RSN104" s="3"/>
      <c r="RSO104" s="3"/>
      <c r="RSP104" s="3"/>
      <c r="RSQ104" s="3"/>
      <c r="RSR104" s="3"/>
      <c r="RSS104" s="3"/>
      <c r="RST104" s="3"/>
      <c r="RSU104" s="3"/>
      <c r="RSV104" s="3"/>
      <c r="RSW104" s="3"/>
      <c r="RSX104" s="3"/>
      <c r="RSY104" s="3"/>
      <c r="RSZ104" s="3"/>
      <c r="RTA104" s="3"/>
      <c r="RTB104" s="3"/>
      <c r="RTC104" s="3"/>
      <c r="RTD104" s="3"/>
      <c r="RTE104" s="3"/>
      <c r="RTF104" s="3"/>
      <c r="RTG104" s="3"/>
      <c r="RTH104" s="3"/>
      <c r="RTI104" s="3"/>
      <c r="RTJ104" s="3"/>
      <c r="RTK104" s="3"/>
      <c r="RTL104" s="3"/>
      <c r="RTM104" s="3"/>
      <c r="RTN104" s="3"/>
      <c r="RTO104" s="3"/>
      <c r="RTP104" s="3"/>
      <c r="RTQ104" s="3"/>
      <c r="RTR104" s="3"/>
      <c r="RTS104" s="3"/>
      <c r="RTT104" s="3"/>
      <c r="RTU104" s="3"/>
      <c r="RTV104" s="3"/>
      <c r="RTW104" s="3"/>
      <c r="RTX104" s="3"/>
      <c r="RTY104" s="3"/>
      <c r="RTZ104" s="3"/>
      <c r="RUA104" s="3"/>
      <c r="RUB104" s="3"/>
      <c r="RUC104" s="3"/>
      <c r="RUD104" s="3"/>
      <c r="RUE104" s="3"/>
      <c r="RUF104" s="3"/>
      <c r="RUG104" s="3"/>
      <c r="RUH104" s="3"/>
      <c r="RUI104" s="3"/>
      <c r="RUJ104" s="3"/>
      <c r="RUK104" s="3"/>
      <c r="RUL104" s="3"/>
      <c r="RUM104" s="3"/>
      <c r="RUN104" s="3"/>
      <c r="RUO104" s="3"/>
      <c r="RUP104" s="3"/>
      <c r="RUQ104" s="3"/>
      <c r="RUR104" s="3"/>
      <c r="RUS104" s="3"/>
      <c r="RUT104" s="3"/>
      <c r="RUU104" s="3"/>
      <c r="RUV104" s="3"/>
      <c r="RUW104" s="3"/>
      <c r="RUX104" s="3"/>
      <c r="RUY104" s="3"/>
      <c r="RUZ104" s="3"/>
      <c r="RVA104" s="3"/>
      <c r="RVB104" s="3"/>
      <c r="RVC104" s="3"/>
      <c r="RVD104" s="3"/>
      <c r="RVE104" s="3"/>
      <c r="RVF104" s="3"/>
      <c r="RVG104" s="3"/>
      <c r="RVH104" s="3"/>
      <c r="RVI104" s="3"/>
      <c r="RVJ104" s="3"/>
      <c r="RVK104" s="3"/>
      <c r="RVL104" s="3"/>
      <c r="RVM104" s="3"/>
      <c r="RVN104" s="3"/>
      <c r="RVO104" s="3"/>
      <c r="RVP104" s="3"/>
      <c r="RVQ104" s="3"/>
      <c r="RVR104" s="3"/>
      <c r="RVS104" s="3"/>
      <c r="RVT104" s="3"/>
      <c r="RVU104" s="3"/>
      <c r="RVV104" s="3"/>
      <c r="RVW104" s="3"/>
      <c r="RVX104" s="3"/>
      <c r="RVY104" s="3"/>
      <c r="RVZ104" s="3"/>
      <c r="RWA104" s="3"/>
      <c r="RWB104" s="3"/>
      <c r="RWC104" s="3"/>
      <c r="RWD104" s="3"/>
      <c r="RWE104" s="3"/>
      <c r="RWF104" s="3"/>
      <c r="RWG104" s="3"/>
      <c r="RWH104" s="3"/>
      <c r="RWI104" s="3"/>
      <c r="RWJ104" s="3"/>
      <c r="RWK104" s="3"/>
      <c r="RWL104" s="3"/>
      <c r="RWM104" s="3"/>
      <c r="RWN104" s="3"/>
      <c r="RWO104" s="3"/>
      <c r="RWP104" s="3"/>
      <c r="RWQ104" s="3"/>
      <c r="RWR104" s="3"/>
      <c r="RWS104" s="3"/>
      <c r="RWT104" s="3"/>
      <c r="RWU104" s="3"/>
      <c r="RWV104" s="3"/>
      <c r="RWW104" s="3"/>
      <c r="RWX104" s="3"/>
      <c r="RWY104" s="3"/>
      <c r="RWZ104" s="3"/>
      <c r="RXA104" s="3"/>
      <c r="RXB104" s="3"/>
      <c r="RXC104" s="3"/>
      <c r="RXD104" s="3"/>
      <c r="RXE104" s="3"/>
      <c r="RXF104" s="3"/>
      <c r="RXG104" s="3"/>
      <c r="RXH104" s="3"/>
      <c r="RXI104" s="3"/>
      <c r="RXJ104" s="3"/>
      <c r="RXK104" s="3"/>
      <c r="RXL104" s="3"/>
      <c r="RXM104" s="3"/>
      <c r="RXN104" s="3"/>
      <c r="RXO104" s="3"/>
      <c r="RXP104" s="3"/>
      <c r="RXQ104" s="3"/>
      <c r="RXR104" s="3"/>
      <c r="RXS104" s="3"/>
      <c r="RXT104" s="3"/>
      <c r="RXU104" s="3"/>
      <c r="RXV104" s="3"/>
      <c r="RXW104" s="3"/>
      <c r="RXX104" s="3"/>
      <c r="RXY104" s="3"/>
      <c r="RXZ104" s="3"/>
      <c r="RYA104" s="3"/>
      <c r="RYB104" s="3"/>
      <c r="RYC104" s="3"/>
      <c r="RYD104" s="3"/>
      <c r="RYE104" s="3"/>
      <c r="RYF104" s="3"/>
      <c r="RYG104" s="3"/>
      <c r="RYH104" s="3"/>
      <c r="RYI104" s="3"/>
      <c r="RYJ104" s="3"/>
      <c r="RYK104" s="3"/>
      <c r="RYL104" s="3"/>
      <c r="RYM104" s="3"/>
      <c r="RYN104" s="3"/>
      <c r="RYO104" s="3"/>
      <c r="RYP104" s="3"/>
      <c r="RYQ104" s="3"/>
      <c r="RYR104" s="3"/>
      <c r="RYS104" s="3"/>
      <c r="RYT104" s="3"/>
      <c r="RYU104" s="3"/>
      <c r="RYV104" s="3"/>
      <c r="RYW104" s="3"/>
      <c r="RYX104" s="3"/>
      <c r="RYY104" s="3"/>
      <c r="RYZ104" s="3"/>
      <c r="RZA104" s="3"/>
      <c r="RZB104" s="3"/>
      <c r="RZC104" s="3"/>
      <c r="RZD104" s="3"/>
      <c r="RZE104" s="3"/>
      <c r="RZF104" s="3"/>
      <c r="RZG104" s="3"/>
      <c r="RZH104" s="3"/>
      <c r="RZI104" s="3"/>
      <c r="RZJ104" s="3"/>
      <c r="RZK104" s="3"/>
      <c r="RZL104" s="3"/>
      <c r="RZM104" s="3"/>
      <c r="RZN104" s="3"/>
      <c r="RZO104" s="3"/>
      <c r="RZP104" s="3"/>
      <c r="RZQ104" s="3"/>
      <c r="RZR104" s="3"/>
      <c r="RZS104" s="3"/>
      <c r="RZT104" s="3"/>
      <c r="RZU104" s="3"/>
      <c r="RZV104" s="3"/>
      <c r="RZW104" s="3"/>
      <c r="RZX104" s="3"/>
      <c r="RZY104" s="3"/>
      <c r="RZZ104" s="3"/>
      <c r="SAA104" s="3"/>
      <c r="SAB104" s="3"/>
      <c r="SAC104" s="3"/>
      <c r="SAD104" s="3"/>
      <c r="SAE104" s="3"/>
      <c r="SAF104" s="3"/>
      <c r="SAG104" s="3"/>
      <c r="SAH104" s="3"/>
      <c r="SAI104" s="3"/>
      <c r="SAJ104" s="3"/>
      <c r="SAK104" s="3"/>
      <c r="SAL104" s="3"/>
      <c r="SAM104" s="3"/>
      <c r="SAN104" s="3"/>
      <c r="SAO104" s="3"/>
      <c r="SAP104" s="3"/>
      <c r="SAQ104" s="3"/>
      <c r="SAR104" s="3"/>
      <c r="SAS104" s="3"/>
      <c r="SAT104" s="3"/>
      <c r="SAU104" s="3"/>
      <c r="SAV104" s="3"/>
      <c r="SAW104" s="3"/>
      <c r="SAX104" s="3"/>
      <c r="SAY104" s="3"/>
      <c r="SAZ104" s="3"/>
      <c r="SBA104" s="3"/>
      <c r="SBB104" s="3"/>
      <c r="SBC104" s="3"/>
      <c r="SBD104" s="3"/>
      <c r="SBE104" s="3"/>
      <c r="SBF104" s="3"/>
      <c r="SBG104" s="3"/>
      <c r="SBH104" s="3"/>
      <c r="SBI104" s="3"/>
      <c r="SBJ104" s="3"/>
      <c r="SBK104" s="3"/>
      <c r="SBL104" s="3"/>
      <c r="SBM104" s="3"/>
      <c r="SBN104" s="3"/>
      <c r="SBO104" s="3"/>
      <c r="SBP104" s="3"/>
      <c r="SBQ104" s="3"/>
      <c r="SBR104" s="3"/>
      <c r="SBS104" s="3"/>
      <c r="SBT104" s="3"/>
      <c r="SBU104" s="3"/>
      <c r="SBV104" s="3"/>
      <c r="SBW104" s="3"/>
      <c r="SBX104" s="3"/>
      <c r="SBY104" s="3"/>
      <c r="SBZ104" s="3"/>
      <c r="SCA104" s="3"/>
      <c r="SCB104" s="3"/>
      <c r="SCC104" s="3"/>
      <c r="SCD104" s="3"/>
      <c r="SCE104" s="3"/>
      <c r="SCF104" s="3"/>
      <c r="SCG104" s="3"/>
      <c r="SCH104" s="3"/>
      <c r="SCI104" s="3"/>
      <c r="SCJ104" s="3"/>
      <c r="SCK104" s="3"/>
      <c r="SCL104" s="3"/>
      <c r="SCM104" s="3"/>
      <c r="SCN104" s="3"/>
      <c r="SCO104" s="3"/>
      <c r="SCP104" s="3"/>
      <c r="SCQ104" s="3"/>
      <c r="SCR104" s="3"/>
      <c r="SCS104" s="3"/>
      <c r="SCT104" s="3"/>
      <c r="SCU104" s="3"/>
      <c r="SCV104" s="3"/>
      <c r="SCW104" s="3"/>
      <c r="SCX104" s="3"/>
      <c r="SCY104" s="3"/>
      <c r="SCZ104" s="3"/>
      <c r="SDA104" s="3"/>
      <c r="SDB104" s="3"/>
      <c r="SDC104" s="3"/>
      <c r="SDD104" s="3"/>
      <c r="SDE104" s="3"/>
      <c r="SDF104" s="3"/>
      <c r="SDG104" s="3"/>
      <c r="SDH104" s="3"/>
      <c r="SDI104" s="3"/>
      <c r="SDJ104" s="3"/>
      <c r="SDK104" s="3"/>
      <c r="SDL104" s="3"/>
      <c r="SDM104" s="3"/>
      <c r="SDN104" s="3"/>
      <c r="SDO104" s="3"/>
      <c r="SDP104" s="3"/>
      <c r="SDQ104" s="3"/>
      <c r="SDR104" s="3"/>
      <c r="SDS104" s="3"/>
      <c r="SDT104" s="3"/>
      <c r="SDU104" s="3"/>
      <c r="SDV104" s="3"/>
      <c r="SDW104" s="3"/>
      <c r="SDX104" s="3"/>
      <c r="SDY104" s="3"/>
      <c r="SDZ104" s="3"/>
      <c r="SEA104" s="3"/>
      <c r="SEB104" s="3"/>
      <c r="SEC104" s="3"/>
      <c r="SED104" s="3"/>
      <c r="SEE104" s="3"/>
      <c r="SEF104" s="3"/>
      <c r="SEG104" s="3"/>
      <c r="SEH104" s="3"/>
      <c r="SEI104" s="3"/>
      <c r="SEJ104" s="3"/>
      <c r="SEK104" s="3"/>
      <c r="SEL104" s="3"/>
      <c r="SEM104" s="3"/>
      <c r="SEN104" s="3"/>
      <c r="SEO104" s="3"/>
      <c r="SEP104" s="3"/>
      <c r="SEQ104" s="3"/>
      <c r="SER104" s="3"/>
      <c r="SES104" s="3"/>
      <c r="SET104" s="3"/>
      <c r="SEU104" s="3"/>
      <c r="SEV104" s="3"/>
      <c r="SEW104" s="3"/>
      <c r="SEX104" s="3"/>
      <c r="SEY104" s="3"/>
      <c r="SEZ104" s="3"/>
      <c r="SFA104" s="3"/>
      <c r="SFB104" s="3"/>
      <c r="SFC104" s="3"/>
      <c r="SFD104" s="3"/>
      <c r="SFE104" s="3"/>
      <c r="SFF104" s="3"/>
      <c r="SFG104" s="3"/>
      <c r="SFH104" s="3"/>
      <c r="SFI104" s="3"/>
      <c r="SFJ104" s="3"/>
      <c r="SFK104" s="3"/>
      <c r="SFL104" s="3"/>
      <c r="SFM104" s="3"/>
      <c r="SFN104" s="3"/>
      <c r="SFO104" s="3"/>
      <c r="SFP104" s="3"/>
      <c r="SFQ104" s="3"/>
      <c r="SFR104" s="3"/>
      <c r="SFS104" s="3"/>
      <c r="SFT104" s="3"/>
      <c r="SFU104" s="3"/>
      <c r="SFV104" s="3"/>
      <c r="SFW104" s="3"/>
      <c r="SFX104" s="3"/>
      <c r="SFY104" s="3"/>
      <c r="SFZ104" s="3"/>
      <c r="SGA104" s="3"/>
      <c r="SGB104" s="3"/>
      <c r="SGC104" s="3"/>
      <c r="SGD104" s="3"/>
      <c r="SGE104" s="3"/>
      <c r="SGF104" s="3"/>
      <c r="SGG104" s="3"/>
      <c r="SGH104" s="3"/>
      <c r="SGI104" s="3"/>
      <c r="SGJ104" s="3"/>
      <c r="SGK104" s="3"/>
      <c r="SGL104" s="3"/>
      <c r="SGM104" s="3"/>
      <c r="SGN104" s="3"/>
      <c r="SGO104" s="3"/>
      <c r="SGP104" s="3"/>
      <c r="SGQ104" s="3"/>
      <c r="SGR104" s="3"/>
      <c r="SGS104" s="3"/>
      <c r="SGT104" s="3"/>
      <c r="SGU104" s="3"/>
      <c r="SGV104" s="3"/>
      <c r="SGW104" s="3"/>
      <c r="SGX104" s="3"/>
      <c r="SGY104" s="3"/>
      <c r="SGZ104" s="3"/>
      <c r="SHA104" s="3"/>
      <c r="SHB104" s="3"/>
      <c r="SHC104" s="3"/>
      <c r="SHD104" s="3"/>
      <c r="SHE104" s="3"/>
      <c r="SHF104" s="3"/>
      <c r="SHG104" s="3"/>
      <c r="SHH104" s="3"/>
      <c r="SHI104" s="3"/>
      <c r="SHJ104" s="3"/>
      <c r="SHK104" s="3"/>
      <c r="SHL104" s="3"/>
      <c r="SHM104" s="3"/>
      <c r="SHN104" s="3"/>
      <c r="SHO104" s="3"/>
      <c r="SHP104" s="3"/>
      <c r="SHQ104" s="3"/>
      <c r="SHR104" s="3"/>
      <c r="SHS104" s="3"/>
      <c r="SHT104" s="3"/>
      <c r="SHU104" s="3"/>
      <c r="SHV104" s="3"/>
      <c r="SHW104" s="3"/>
      <c r="SHX104" s="3"/>
      <c r="SHY104" s="3"/>
      <c r="SHZ104" s="3"/>
      <c r="SIA104" s="3"/>
      <c r="SIB104" s="3"/>
      <c r="SIC104" s="3"/>
      <c r="SID104" s="3"/>
      <c r="SIE104" s="3"/>
      <c r="SIF104" s="3"/>
      <c r="SIG104" s="3"/>
      <c r="SIH104" s="3"/>
      <c r="SII104" s="3"/>
      <c r="SIJ104" s="3"/>
      <c r="SIK104" s="3"/>
      <c r="SIL104" s="3"/>
      <c r="SIM104" s="3"/>
      <c r="SIN104" s="3"/>
      <c r="SIO104" s="3"/>
      <c r="SIP104" s="3"/>
      <c r="SIQ104" s="3"/>
      <c r="SIR104" s="3"/>
      <c r="SIS104" s="3"/>
      <c r="SIT104" s="3"/>
      <c r="SIU104" s="3"/>
      <c r="SIV104" s="3"/>
      <c r="SIW104" s="3"/>
      <c r="SIX104" s="3"/>
      <c r="SIY104" s="3"/>
      <c r="SIZ104" s="3"/>
      <c r="SJA104" s="3"/>
      <c r="SJB104" s="3"/>
      <c r="SJC104" s="3"/>
      <c r="SJD104" s="3"/>
      <c r="SJE104" s="3"/>
      <c r="SJF104" s="3"/>
      <c r="SJG104" s="3"/>
      <c r="SJH104" s="3"/>
      <c r="SJI104" s="3"/>
      <c r="SJJ104" s="3"/>
      <c r="SJK104" s="3"/>
      <c r="SJL104" s="3"/>
      <c r="SJM104" s="3"/>
      <c r="SJN104" s="3"/>
      <c r="SJO104" s="3"/>
      <c r="SJP104" s="3"/>
      <c r="SJQ104" s="3"/>
      <c r="SJR104" s="3"/>
      <c r="SJS104" s="3"/>
      <c r="SJT104" s="3"/>
      <c r="SJU104" s="3"/>
      <c r="SJV104" s="3"/>
      <c r="SJW104" s="3"/>
      <c r="SJX104" s="3"/>
      <c r="SJY104" s="3"/>
      <c r="SJZ104" s="3"/>
      <c r="SKA104" s="3"/>
      <c r="SKB104" s="3"/>
      <c r="SKC104" s="3"/>
      <c r="SKD104" s="3"/>
      <c r="SKE104" s="3"/>
      <c r="SKF104" s="3"/>
      <c r="SKG104" s="3"/>
      <c r="SKH104" s="3"/>
      <c r="SKI104" s="3"/>
      <c r="SKJ104" s="3"/>
      <c r="SKK104" s="3"/>
      <c r="SKL104" s="3"/>
      <c r="SKM104" s="3"/>
      <c r="SKN104" s="3"/>
      <c r="SKO104" s="3"/>
      <c r="SKP104" s="3"/>
      <c r="SKQ104" s="3"/>
      <c r="SKR104" s="3"/>
      <c r="SKS104" s="3"/>
      <c r="SKT104" s="3"/>
      <c r="SKU104" s="3"/>
      <c r="SKV104" s="3"/>
      <c r="SKW104" s="3"/>
      <c r="SKX104" s="3"/>
      <c r="SKY104" s="3"/>
      <c r="SKZ104" s="3"/>
      <c r="SLA104" s="3"/>
      <c r="SLB104" s="3"/>
      <c r="SLC104" s="3"/>
      <c r="SLD104" s="3"/>
      <c r="SLE104" s="3"/>
      <c r="SLF104" s="3"/>
      <c r="SLG104" s="3"/>
      <c r="SLH104" s="3"/>
      <c r="SLI104" s="3"/>
      <c r="SLJ104" s="3"/>
      <c r="SLK104" s="3"/>
      <c r="SLL104" s="3"/>
      <c r="SLM104" s="3"/>
      <c r="SLN104" s="3"/>
      <c r="SLO104" s="3"/>
      <c r="SLP104" s="3"/>
      <c r="SLQ104" s="3"/>
      <c r="SLR104" s="3"/>
      <c r="SLS104" s="3"/>
      <c r="SLT104" s="3"/>
      <c r="SLU104" s="3"/>
      <c r="SLV104" s="3"/>
      <c r="SLW104" s="3"/>
      <c r="SLX104" s="3"/>
      <c r="SLY104" s="3"/>
      <c r="SLZ104" s="3"/>
      <c r="SMA104" s="3"/>
      <c r="SMB104" s="3"/>
      <c r="SMC104" s="3"/>
      <c r="SMD104" s="3"/>
      <c r="SME104" s="3"/>
      <c r="SMF104" s="3"/>
      <c r="SMG104" s="3"/>
      <c r="SMH104" s="3"/>
      <c r="SMI104" s="3"/>
      <c r="SMJ104" s="3"/>
      <c r="SMK104" s="3"/>
      <c r="SML104" s="3"/>
      <c r="SMM104" s="3"/>
      <c r="SMN104" s="3"/>
      <c r="SMO104" s="3"/>
      <c r="SMP104" s="3"/>
      <c r="SMQ104" s="3"/>
      <c r="SMR104" s="3"/>
      <c r="SMS104" s="3"/>
      <c r="SMT104" s="3"/>
      <c r="SMU104" s="3"/>
      <c r="SMV104" s="3"/>
      <c r="SMW104" s="3"/>
      <c r="SMX104" s="3"/>
      <c r="SMY104" s="3"/>
      <c r="SMZ104" s="3"/>
      <c r="SNA104" s="3"/>
      <c r="SNB104" s="3"/>
      <c r="SNC104" s="3"/>
      <c r="SND104" s="3"/>
      <c r="SNE104" s="3"/>
      <c r="SNF104" s="3"/>
      <c r="SNG104" s="3"/>
      <c r="SNH104" s="3"/>
      <c r="SNI104" s="3"/>
      <c r="SNJ104" s="3"/>
      <c r="SNK104" s="3"/>
      <c r="SNL104" s="3"/>
      <c r="SNM104" s="3"/>
      <c r="SNN104" s="3"/>
      <c r="SNO104" s="3"/>
      <c r="SNP104" s="3"/>
      <c r="SNQ104" s="3"/>
      <c r="SNR104" s="3"/>
      <c r="SNS104" s="3"/>
      <c r="SNT104" s="3"/>
      <c r="SNU104" s="3"/>
      <c r="SNV104" s="3"/>
      <c r="SNW104" s="3"/>
      <c r="SNX104" s="3"/>
      <c r="SNY104" s="3"/>
      <c r="SNZ104" s="3"/>
      <c r="SOA104" s="3"/>
      <c r="SOB104" s="3"/>
      <c r="SOC104" s="3"/>
      <c r="SOD104" s="3"/>
      <c r="SOE104" s="3"/>
      <c r="SOF104" s="3"/>
      <c r="SOG104" s="3"/>
      <c r="SOH104" s="3"/>
      <c r="SOI104" s="3"/>
      <c r="SOJ104" s="3"/>
      <c r="SOK104" s="3"/>
      <c r="SOL104" s="3"/>
      <c r="SOM104" s="3"/>
      <c r="SON104" s="3"/>
      <c r="SOO104" s="3"/>
      <c r="SOP104" s="3"/>
      <c r="SOQ104" s="3"/>
      <c r="SOR104" s="3"/>
      <c r="SOS104" s="3"/>
      <c r="SOT104" s="3"/>
      <c r="SOU104" s="3"/>
      <c r="SOV104" s="3"/>
      <c r="SOW104" s="3"/>
      <c r="SOX104" s="3"/>
      <c r="SOY104" s="3"/>
      <c r="SOZ104" s="3"/>
      <c r="SPA104" s="3"/>
      <c r="SPB104" s="3"/>
      <c r="SPC104" s="3"/>
      <c r="SPD104" s="3"/>
      <c r="SPE104" s="3"/>
      <c r="SPF104" s="3"/>
      <c r="SPG104" s="3"/>
      <c r="SPH104" s="3"/>
      <c r="SPI104" s="3"/>
      <c r="SPJ104" s="3"/>
      <c r="SPK104" s="3"/>
      <c r="SPL104" s="3"/>
      <c r="SPM104" s="3"/>
      <c r="SPN104" s="3"/>
      <c r="SPO104" s="3"/>
      <c r="SPP104" s="3"/>
      <c r="SPQ104" s="3"/>
      <c r="SPR104" s="3"/>
      <c r="SPS104" s="3"/>
      <c r="SPT104" s="3"/>
      <c r="SPU104" s="3"/>
      <c r="SPV104" s="3"/>
      <c r="SPW104" s="3"/>
      <c r="SPX104" s="3"/>
      <c r="SPY104" s="3"/>
      <c r="SPZ104" s="3"/>
      <c r="SQA104" s="3"/>
      <c r="SQB104" s="3"/>
      <c r="SQC104" s="3"/>
      <c r="SQD104" s="3"/>
      <c r="SQE104" s="3"/>
      <c r="SQF104" s="3"/>
      <c r="SQG104" s="3"/>
      <c r="SQH104" s="3"/>
      <c r="SQI104" s="3"/>
      <c r="SQJ104" s="3"/>
      <c r="SQK104" s="3"/>
      <c r="SQL104" s="3"/>
      <c r="SQM104" s="3"/>
      <c r="SQN104" s="3"/>
      <c r="SQO104" s="3"/>
      <c r="SQP104" s="3"/>
      <c r="SQQ104" s="3"/>
      <c r="SQR104" s="3"/>
      <c r="SQS104" s="3"/>
      <c r="SQT104" s="3"/>
      <c r="SQU104" s="3"/>
      <c r="SQV104" s="3"/>
      <c r="SQW104" s="3"/>
      <c r="SQX104" s="3"/>
      <c r="SQY104" s="3"/>
      <c r="SQZ104" s="3"/>
      <c r="SRA104" s="3"/>
      <c r="SRB104" s="3"/>
      <c r="SRC104" s="3"/>
      <c r="SRD104" s="3"/>
      <c r="SRE104" s="3"/>
      <c r="SRF104" s="3"/>
      <c r="SRG104" s="3"/>
      <c r="SRH104" s="3"/>
      <c r="SRI104" s="3"/>
      <c r="SRJ104" s="3"/>
      <c r="SRK104" s="3"/>
      <c r="SRL104" s="3"/>
      <c r="SRM104" s="3"/>
      <c r="SRN104" s="3"/>
      <c r="SRO104" s="3"/>
      <c r="SRP104" s="3"/>
      <c r="SRQ104" s="3"/>
      <c r="SRR104" s="3"/>
      <c r="SRS104" s="3"/>
      <c r="SRT104" s="3"/>
      <c r="SRU104" s="3"/>
      <c r="SRV104" s="3"/>
      <c r="SRW104" s="3"/>
      <c r="SRX104" s="3"/>
      <c r="SRY104" s="3"/>
      <c r="SRZ104" s="3"/>
      <c r="SSA104" s="3"/>
      <c r="SSB104" s="3"/>
      <c r="SSC104" s="3"/>
      <c r="SSD104" s="3"/>
      <c r="SSE104" s="3"/>
      <c r="SSF104" s="3"/>
      <c r="SSG104" s="3"/>
      <c r="SSH104" s="3"/>
      <c r="SSI104" s="3"/>
      <c r="SSJ104" s="3"/>
      <c r="SSK104" s="3"/>
      <c r="SSL104" s="3"/>
      <c r="SSM104" s="3"/>
      <c r="SSN104" s="3"/>
      <c r="SSO104" s="3"/>
      <c r="SSP104" s="3"/>
      <c r="SSQ104" s="3"/>
      <c r="SSR104" s="3"/>
      <c r="SSS104" s="3"/>
      <c r="SST104" s="3"/>
      <c r="SSU104" s="3"/>
      <c r="SSV104" s="3"/>
      <c r="SSW104" s="3"/>
      <c r="SSX104" s="3"/>
      <c r="SSY104" s="3"/>
      <c r="SSZ104" s="3"/>
      <c r="STA104" s="3"/>
      <c r="STB104" s="3"/>
      <c r="STC104" s="3"/>
      <c r="STD104" s="3"/>
      <c r="STE104" s="3"/>
      <c r="STF104" s="3"/>
      <c r="STG104" s="3"/>
      <c r="STH104" s="3"/>
      <c r="STI104" s="3"/>
      <c r="STJ104" s="3"/>
      <c r="STK104" s="3"/>
      <c r="STL104" s="3"/>
      <c r="STM104" s="3"/>
      <c r="STN104" s="3"/>
      <c r="STO104" s="3"/>
      <c r="STP104" s="3"/>
      <c r="STQ104" s="3"/>
      <c r="STR104" s="3"/>
      <c r="STS104" s="3"/>
      <c r="STT104" s="3"/>
      <c r="STU104" s="3"/>
      <c r="STV104" s="3"/>
      <c r="STW104" s="3"/>
      <c r="STX104" s="3"/>
      <c r="STY104" s="3"/>
      <c r="STZ104" s="3"/>
      <c r="SUA104" s="3"/>
      <c r="SUB104" s="3"/>
      <c r="SUC104" s="3"/>
      <c r="SUD104" s="3"/>
      <c r="SUE104" s="3"/>
      <c r="SUF104" s="3"/>
      <c r="SUG104" s="3"/>
      <c r="SUH104" s="3"/>
      <c r="SUI104" s="3"/>
      <c r="SUJ104" s="3"/>
      <c r="SUK104" s="3"/>
      <c r="SUL104" s="3"/>
      <c r="SUM104" s="3"/>
      <c r="SUN104" s="3"/>
      <c r="SUO104" s="3"/>
      <c r="SUP104" s="3"/>
      <c r="SUQ104" s="3"/>
      <c r="SUR104" s="3"/>
      <c r="SUS104" s="3"/>
      <c r="SUT104" s="3"/>
      <c r="SUU104" s="3"/>
      <c r="SUV104" s="3"/>
      <c r="SUW104" s="3"/>
      <c r="SUX104" s="3"/>
      <c r="SUY104" s="3"/>
      <c r="SUZ104" s="3"/>
      <c r="SVA104" s="3"/>
      <c r="SVB104" s="3"/>
      <c r="SVC104" s="3"/>
      <c r="SVD104" s="3"/>
      <c r="SVE104" s="3"/>
      <c r="SVF104" s="3"/>
      <c r="SVG104" s="3"/>
      <c r="SVH104" s="3"/>
      <c r="SVI104" s="3"/>
      <c r="SVJ104" s="3"/>
      <c r="SVK104" s="3"/>
      <c r="SVL104" s="3"/>
      <c r="SVM104" s="3"/>
      <c r="SVN104" s="3"/>
      <c r="SVO104" s="3"/>
      <c r="SVP104" s="3"/>
      <c r="SVQ104" s="3"/>
      <c r="SVR104" s="3"/>
      <c r="SVS104" s="3"/>
      <c r="SVT104" s="3"/>
      <c r="SVU104" s="3"/>
      <c r="SVV104" s="3"/>
      <c r="SVW104" s="3"/>
      <c r="SVX104" s="3"/>
      <c r="SVY104" s="3"/>
      <c r="SVZ104" s="3"/>
      <c r="SWA104" s="3"/>
      <c r="SWB104" s="3"/>
      <c r="SWC104" s="3"/>
      <c r="SWD104" s="3"/>
      <c r="SWE104" s="3"/>
      <c r="SWF104" s="3"/>
      <c r="SWG104" s="3"/>
      <c r="SWH104" s="3"/>
      <c r="SWI104" s="3"/>
      <c r="SWJ104" s="3"/>
      <c r="SWK104" s="3"/>
      <c r="SWL104" s="3"/>
      <c r="SWM104" s="3"/>
      <c r="SWN104" s="3"/>
      <c r="SWO104" s="3"/>
      <c r="SWP104" s="3"/>
      <c r="SWQ104" s="3"/>
      <c r="SWR104" s="3"/>
      <c r="SWS104" s="3"/>
      <c r="SWT104" s="3"/>
      <c r="SWU104" s="3"/>
      <c r="SWV104" s="3"/>
      <c r="SWW104" s="3"/>
      <c r="SWX104" s="3"/>
      <c r="SWY104" s="3"/>
      <c r="SWZ104" s="3"/>
      <c r="SXA104" s="3"/>
      <c r="SXB104" s="3"/>
      <c r="SXC104" s="3"/>
      <c r="SXD104" s="3"/>
      <c r="SXE104" s="3"/>
      <c r="SXF104" s="3"/>
      <c r="SXG104" s="3"/>
      <c r="SXH104" s="3"/>
      <c r="SXI104" s="3"/>
      <c r="SXJ104" s="3"/>
      <c r="SXK104" s="3"/>
      <c r="SXL104" s="3"/>
      <c r="SXM104" s="3"/>
      <c r="SXN104" s="3"/>
      <c r="SXO104" s="3"/>
      <c r="SXP104" s="3"/>
      <c r="SXQ104" s="3"/>
      <c r="SXR104" s="3"/>
      <c r="SXS104" s="3"/>
      <c r="SXT104" s="3"/>
      <c r="SXU104" s="3"/>
      <c r="SXV104" s="3"/>
      <c r="SXW104" s="3"/>
      <c r="SXX104" s="3"/>
      <c r="SXY104" s="3"/>
      <c r="SXZ104" s="3"/>
      <c r="SYA104" s="3"/>
      <c r="SYB104" s="3"/>
      <c r="SYC104" s="3"/>
      <c r="SYD104" s="3"/>
      <c r="SYE104" s="3"/>
      <c r="SYF104" s="3"/>
      <c r="SYG104" s="3"/>
      <c r="SYH104" s="3"/>
      <c r="SYI104" s="3"/>
      <c r="SYJ104" s="3"/>
      <c r="SYK104" s="3"/>
      <c r="SYL104" s="3"/>
      <c r="SYM104" s="3"/>
      <c r="SYN104" s="3"/>
      <c r="SYO104" s="3"/>
      <c r="SYP104" s="3"/>
      <c r="SYQ104" s="3"/>
      <c r="SYR104" s="3"/>
      <c r="SYS104" s="3"/>
      <c r="SYT104" s="3"/>
      <c r="SYU104" s="3"/>
      <c r="SYV104" s="3"/>
      <c r="SYW104" s="3"/>
      <c r="SYX104" s="3"/>
      <c r="SYY104" s="3"/>
      <c r="SYZ104" s="3"/>
      <c r="SZA104" s="3"/>
      <c r="SZB104" s="3"/>
      <c r="SZC104" s="3"/>
      <c r="SZD104" s="3"/>
      <c r="SZE104" s="3"/>
      <c r="SZF104" s="3"/>
      <c r="SZG104" s="3"/>
      <c r="SZH104" s="3"/>
      <c r="SZI104" s="3"/>
      <c r="SZJ104" s="3"/>
      <c r="SZK104" s="3"/>
      <c r="SZL104" s="3"/>
      <c r="SZM104" s="3"/>
      <c r="SZN104" s="3"/>
      <c r="SZO104" s="3"/>
      <c r="SZP104" s="3"/>
      <c r="SZQ104" s="3"/>
      <c r="SZR104" s="3"/>
      <c r="SZS104" s="3"/>
      <c r="SZT104" s="3"/>
      <c r="SZU104" s="3"/>
      <c r="SZV104" s="3"/>
      <c r="SZW104" s="3"/>
      <c r="SZX104" s="3"/>
      <c r="SZY104" s="3"/>
      <c r="SZZ104" s="3"/>
      <c r="TAA104" s="3"/>
      <c r="TAB104" s="3"/>
      <c r="TAC104" s="3"/>
      <c r="TAD104" s="3"/>
      <c r="TAE104" s="3"/>
      <c r="TAF104" s="3"/>
      <c r="TAG104" s="3"/>
      <c r="TAH104" s="3"/>
      <c r="TAI104" s="3"/>
      <c r="TAJ104" s="3"/>
      <c r="TAK104" s="3"/>
      <c r="TAL104" s="3"/>
      <c r="TAM104" s="3"/>
      <c r="TAN104" s="3"/>
      <c r="TAO104" s="3"/>
      <c r="TAP104" s="3"/>
      <c r="TAQ104" s="3"/>
      <c r="TAR104" s="3"/>
      <c r="TAS104" s="3"/>
      <c r="TAT104" s="3"/>
      <c r="TAU104" s="3"/>
      <c r="TAV104" s="3"/>
      <c r="TAW104" s="3"/>
      <c r="TAX104" s="3"/>
      <c r="TAY104" s="3"/>
      <c r="TAZ104" s="3"/>
      <c r="TBA104" s="3"/>
      <c r="TBB104" s="3"/>
      <c r="TBC104" s="3"/>
      <c r="TBD104" s="3"/>
      <c r="TBE104" s="3"/>
      <c r="TBF104" s="3"/>
      <c r="TBG104" s="3"/>
      <c r="TBH104" s="3"/>
      <c r="TBI104" s="3"/>
      <c r="TBJ104" s="3"/>
      <c r="TBK104" s="3"/>
      <c r="TBL104" s="3"/>
      <c r="TBM104" s="3"/>
      <c r="TBN104" s="3"/>
      <c r="TBO104" s="3"/>
      <c r="TBP104" s="3"/>
      <c r="TBQ104" s="3"/>
      <c r="TBR104" s="3"/>
      <c r="TBS104" s="3"/>
      <c r="TBT104" s="3"/>
      <c r="TBU104" s="3"/>
      <c r="TBV104" s="3"/>
      <c r="TBW104" s="3"/>
      <c r="TBX104" s="3"/>
      <c r="TBY104" s="3"/>
      <c r="TBZ104" s="3"/>
      <c r="TCA104" s="3"/>
      <c r="TCB104" s="3"/>
      <c r="TCC104" s="3"/>
      <c r="TCD104" s="3"/>
      <c r="TCE104" s="3"/>
      <c r="TCF104" s="3"/>
      <c r="TCG104" s="3"/>
      <c r="TCH104" s="3"/>
      <c r="TCI104" s="3"/>
      <c r="TCJ104" s="3"/>
      <c r="TCK104" s="3"/>
      <c r="TCL104" s="3"/>
      <c r="TCM104" s="3"/>
      <c r="TCN104" s="3"/>
      <c r="TCO104" s="3"/>
      <c r="TCP104" s="3"/>
      <c r="TCQ104" s="3"/>
      <c r="TCR104" s="3"/>
      <c r="TCS104" s="3"/>
      <c r="TCT104" s="3"/>
      <c r="TCU104" s="3"/>
      <c r="TCV104" s="3"/>
      <c r="TCW104" s="3"/>
      <c r="TCX104" s="3"/>
      <c r="TCY104" s="3"/>
      <c r="TCZ104" s="3"/>
      <c r="TDA104" s="3"/>
      <c r="TDB104" s="3"/>
      <c r="TDC104" s="3"/>
      <c r="TDD104" s="3"/>
      <c r="TDE104" s="3"/>
      <c r="TDF104" s="3"/>
      <c r="TDG104" s="3"/>
      <c r="TDH104" s="3"/>
      <c r="TDI104" s="3"/>
      <c r="TDJ104" s="3"/>
      <c r="TDK104" s="3"/>
      <c r="TDL104" s="3"/>
      <c r="TDM104" s="3"/>
      <c r="TDN104" s="3"/>
      <c r="TDO104" s="3"/>
      <c r="TDP104" s="3"/>
      <c r="TDQ104" s="3"/>
      <c r="TDR104" s="3"/>
      <c r="TDS104" s="3"/>
      <c r="TDT104" s="3"/>
      <c r="TDU104" s="3"/>
      <c r="TDV104" s="3"/>
      <c r="TDW104" s="3"/>
      <c r="TDX104" s="3"/>
      <c r="TDY104" s="3"/>
      <c r="TDZ104" s="3"/>
      <c r="TEA104" s="3"/>
      <c r="TEB104" s="3"/>
      <c r="TEC104" s="3"/>
      <c r="TED104" s="3"/>
      <c r="TEE104" s="3"/>
      <c r="TEF104" s="3"/>
      <c r="TEG104" s="3"/>
      <c r="TEH104" s="3"/>
      <c r="TEI104" s="3"/>
      <c r="TEJ104" s="3"/>
      <c r="TEK104" s="3"/>
      <c r="TEL104" s="3"/>
      <c r="TEM104" s="3"/>
      <c r="TEN104" s="3"/>
      <c r="TEO104" s="3"/>
      <c r="TEP104" s="3"/>
      <c r="TEQ104" s="3"/>
      <c r="TER104" s="3"/>
      <c r="TES104" s="3"/>
      <c r="TET104" s="3"/>
      <c r="TEU104" s="3"/>
      <c r="TEV104" s="3"/>
      <c r="TEW104" s="3"/>
      <c r="TEX104" s="3"/>
      <c r="TEY104" s="3"/>
      <c r="TEZ104" s="3"/>
      <c r="TFA104" s="3"/>
      <c r="TFB104" s="3"/>
      <c r="TFC104" s="3"/>
      <c r="TFD104" s="3"/>
      <c r="TFE104" s="3"/>
      <c r="TFF104" s="3"/>
      <c r="TFG104" s="3"/>
      <c r="TFH104" s="3"/>
      <c r="TFI104" s="3"/>
      <c r="TFJ104" s="3"/>
      <c r="TFK104" s="3"/>
      <c r="TFL104" s="3"/>
      <c r="TFM104" s="3"/>
      <c r="TFN104" s="3"/>
      <c r="TFO104" s="3"/>
      <c r="TFP104" s="3"/>
      <c r="TFQ104" s="3"/>
      <c r="TFR104" s="3"/>
      <c r="TFS104" s="3"/>
      <c r="TFT104" s="3"/>
      <c r="TFU104" s="3"/>
      <c r="TFV104" s="3"/>
      <c r="TFW104" s="3"/>
      <c r="TFX104" s="3"/>
      <c r="TFY104" s="3"/>
      <c r="TFZ104" s="3"/>
      <c r="TGA104" s="3"/>
      <c r="TGB104" s="3"/>
      <c r="TGC104" s="3"/>
      <c r="TGD104" s="3"/>
      <c r="TGE104" s="3"/>
      <c r="TGF104" s="3"/>
      <c r="TGG104" s="3"/>
      <c r="TGH104" s="3"/>
      <c r="TGI104" s="3"/>
      <c r="TGJ104" s="3"/>
      <c r="TGK104" s="3"/>
      <c r="TGL104" s="3"/>
      <c r="TGM104" s="3"/>
      <c r="TGN104" s="3"/>
      <c r="TGO104" s="3"/>
      <c r="TGP104" s="3"/>
      <c r="TGQ104" s="3"/>
      <c r="TGR104" s="3"/>
      <c r="TGS104" s="3"/>
      <c r="TGT104" s="3"/>
      <c r="TGU104" s="3"/>
      <c r="TGV104" s="3"/>
      <c r="TGW104" s="3"/>
      <c r="TGX104" s="3"/>
      <c r="TGY104" s="3"/>
      <c r="TGZ104" s="3"/>
      <c r="THA104" s="3"/>
      <c r="THB104" s="3"/>
      <c r="THC104" s="3"/>
      <c r="THD104" s="3"/>
      <c r="THE104" s="3"/>
      <c r="THF104" s="3"/>
      <c r="THG104" s="3"/>
      <c r="THH104" s="3"/>
      <c r="THI104" s="3"/>
      <c r="THJ104" s="3"/>
      <c r="THK104" s="3"/>
      <c r="THL104" s="3"/>
      <c r="THM104" s="3"/>
      <c r="THN104" s="3"/>
      <c r="THO104" s="3"/>
      <c r="THP104" s="3"/>
      <c r="THQ104" s="3"/>
      <c r="THR104" s="3"/>
      <c r="THS104" s="3"/>
      <c r="THT104" s="3"/>
      <c r="THU104" s="3"/>
      <c r="THV104" s="3"/>
      <c r="THW104" s="3"/>
      <c r="THX104" s="3"/>
      <c r="THY104" s="3"/>
      <c r="THZ104" s="3"/>
      <c r="TIA104" s="3"/>
      <c r="TIB104" s="3"/>
      <c r="TIC104" s="3"/>
      <c r="TID104" s="3"/>
      <c r="TIE104" s="3"/>
      <c r="TIF104" s="3"/>
      <c r="TIG104" s="3"/>
      <c r="TIH104" s="3"/>
      <c r="TII104" s="3"/>
      <c r="TIJ104" s="3"/>
      <c r="TIK104" s="3"/>
      <c r="TIL104" s="3"/>
      <c r="TIM104" s="3"/>
      <c r="TIN104" s="3"/>
      <c r="TIO104" s="3"/>
      <c r="TIP104" s="3"/>
      <c r="TIQ104" s="3"/>
      <c r="TIR104" s="3"/>
      <c r="TIS104" s="3"/>
      <c r="TIT104" s="3"/>
      <c r="TIU104" s="3"/>
      <c r="TIV104" s="3"/>
      <c r="TIW104" s="3"/>
      <c r="TIX104" s="3"/>
      <c r="TIY104" s="3"/>
      <c r="TIZ104" s="3"/>
      <c r="TJA104" s="3"/>
      <c r="TJB104" s="3"/>
      <c r="TJC104" s="3"/>
      <c r="TJD104" s="3"/>
      <c r="TJE104" s="3"/>
      <c r="TJF104" s="3"/>
      <c r="TJG104" s="3"/>
      <c r="TJH104" s="3"/>
      <c r="TJI104" s="3"/>
      <c r="TJJ104" s="3"/>
      <c r="TJK104" s="3"/>
      <c r="TJL104" s="3"/>
      <c r="TJM104" s="3"/>
      <c r="TJN104" s="3"/>
      <c r="TJO104" s="3"/>
      <c r="TJP104" s="3"/>
      <c r="TJQ104" s="3"/>
      <c r="TJR104" s="3"/>
      <c r="TJS104" s="3"/>
      <c r="TJT104" s="3"/>
      <c r="TJU104" s="3"/>
      <c r="TJV104" s="3"/>
      <c r="TJW104" s="3"/>
      <c r="TJX104" s="3"/>
      <c r="TJY104" s="3"/>
      <c r="TJZ104" s="3"/>
      <c r="TKA104" s="3"/>
      <c r="TKB104" s="3"/>
      <c r="TKC104" s="3"/>
      <c r="TKD104" s="3"/>
      <c r="TKE104" s="3"/>
      <c r="TKF104" s="3"/>
      <c r="TKG104" s="3"/>
      <c r="TKH104" s="3"/>
      <c r="TKI104" s="3"/>
      <c r="TKJ104" s="3"/>
      <c r="TKK104" s="3"/>
      <c r="TKL104" s="3"/>
      <c r="TKM104" s="3"/>
      <c r="TKN104" s="3"/>
      <c r="TKO104" s="3"/>
      <c r="TKP104" s="3"/>
      <c r="TKQ104" s="3"/>
      <c r="TKR104" s="3"/>
      <c r="TKS104" s="3"/>
      <c r="TKT104" s="3"/>
      <c r="TKU104" s="3"/>
      <c r="TKV104" s="3"/>
      <c r="TKW104" s="3"/>
      <c r="TKX104" s="3"/>
      <c r="TKY104" s="3"/>
      <c r="TKZ104" s="3"/>
      <c r="TLA104" s="3"/>
      <c r="TLB104" s="3"/>
      <c r="TLC104" s="3"/>
      <c r="TLD104" s="3"/>
      <c r="TLE104" s="3"/>
      <c r="TLF104" s="3"/>
      <c r="TLG104" s="3"/>
      <c r="TLH104" s="3"/>
      <c r="TLI104" s="3"/>
      <c r="TLJ104" s="3"/>
      <c r="TLK104" s="3"/>
      <c r="TLL104" s="3"/>
      <c r="TLM104" s="3"/>
      <c r="TLN104" s="3"/>
      <c r="TLO104" s="3"/>
      <c r="TLP104" s="3"/>
      <c r="TLQ104" s="3"/>
      <c r="TLR104" s="3"/>
      <c r="TLS104" s="3"/>
      <c r="TLT104" s="3"/>
      <c r="TLU104" s="3"/>
      <c r="TLV104" s="3"/>
      <c r="TLW104" s="3"/>
      <c r="TLX104" s="3"/>
      <c r="TLY104" s="3"/>
      <c r="TLZ104" s="3"/>
      <c r="TMA104" s="3"/>
      <c r="TMB104" s="3"/>
      <c r="TMC104" s="3"/>
      <c r="TMD104" s="3"/>
      <c r="TME104" s="3"/>
      <c r="TMF104" s="3"/>
      <c r="TMG104" s="3"/>
      <c r="TMH104" s="3"/>
      <c r="TMI104" s="3"/>
      <c r="TMJ104" s="3"/>
      <c r="TMK104" s="3"/>
      <c r="TML104" s="3"/>
      <c r="TMM104" s="3"/>
      <c r="TMN104" s="3"/>
      <c r="TMO104" s="3"/>
      <c r="TMP104" s="3"/>
      <c r="TMQ104" s="3"/>
      <c r="TMR104" s="3"/>
      <c r="TMS104" s="3"/>
      <c r="TMT104" s="3"/>
      <c r="TMU104" s="3"/>
      <c r="TMV104" s="3"/>
      <c r="TMW104" s="3"/>
      <c r="TMX104" s="3"/>
      <c r="TMY104" s="3"/>
      <c r="TMZ104" s="3"/>
      <c r="TNA104" s="3"/>
      <c r="TNB104" s="3"/>
      <c r="TNC104" s="3"/>
      <c r="TND104" s="3"/>
      <c r="TNE104" s="3"/>
      <c r="TNF104" s="3"/>
      <c r="TNG104" s="3"/>
      <c r="TNH104" s="3"/>
      <c r="TNI104" s="3"/>
      <c r="TNJ104" s="3"/>
      <c r="TNK104" s="3"/>
      <c r="TNL104" s="3"/>
      <c r="TNM104" s="3"/>
      <c r="TNN104" s="3"/>
      <c r="TNO104" s="3"/>
      <c r="TNP104" s="3"/>
      <c r="TNQ104" s="3"/>
      <c r="TNR104" s="3"/>
      <c r="TNS104" s="3"/>
      <c r="TNT104" s="3"/>
      <c r="TNU104" s="3"/>
      <c r="TNV104" s="3"/>
      <c r="TNW104" s="3"/>
      <c r="TNX104" s="3"/>
      <c r="TNY104" s="3"/>
      <c r="TNZ104" s="3"/>
      <c r="TOA104" s="3"/>
      <c r="TOB104" s="3"/>
      <c r="TOC104" s="3"/>
      <c r="TOD104" s="3"/>
      <c r="TOE104" s="3"/>
      <c r="TOF104" s="3"/>
      <c r="TOG104" s="3"/>
      <c r="TOH104" s="3"/>
      <c r="TOI104" s="3"/>
      <c r="TOJ104" s="3"/>
      <c r="TOK104" s="3"/>
      <c r="TOL104" s="3"/>
      <c r="TOM104" s="3"/>
      <c r="TON104" s="3"/>
      <c r="TOO104" s="3"/>
      <c r="TOP104" s="3"/>
      <c r="TOQ104" s="3"/>
      <c r="TOR104" s="3"/>
      <c r="TOS104" s="3"/>
      <c r="TOT104" s="3"/>
      <c r="TOU104" s="3"/>
      <c r="TOV104" s="3"/>
      <c r="TOW104" s="3"/>
      <c r="TOX104" s="3"/>
      <c r="TOY104" s="3"/>
      <c r="TOZ104" s="3"/>
      <c r="TPA104" s="3"/>
      <c r="TPB104" s="3"/>
      <c r="TPC104" s="3"/>
      <c r="TPD104" s="3"/>
      <c r="TPE104" s="3"/>
      <c r="TPF104" s="3"/>
      <c r="TPG104" s="3"/>
      <c r="TPH104" s="3"/>
      <c r="TPI104" s="3"/>
      <c r="TPJ104" s="3"/>
      <c r="TPK104" s="3"/>
      <c r="TPL104" s="3"/>
      <c r="TPM104" s="3"/>
      <c r="TPN104" s="3"/>
      <c r="TPO104" s="3"/>
      <c r="TPP104" s="3"/>
      <c r="TPQ104" s="3"/>
      <c r="TPR104" s="3"/>
      <c r="TPS104" s="3"/>
      <c r="TPT104" s="3"/>
      <c r="TPU104" s="3"/>
      <c r="TPV104" s="3"/>
      <c r="TPW104" s="3"/>
      <c r="TPX104" s="3"/>
      <c r="TPY104" s="3"/>
      <c r="TPZ104" s="3"/>
      <c r="TQA104" s="3"/>
      <c r="TQB104" s="3"/>
      <c r="TQC104" s="3"/>
      <c r="TQD104" s="3"/>
      <c r="TQE104" s="3"/>
      <c r="TQF104" s="3"/>
      <c r="TQG104" s="3"/>
      <c r="TQH104" s="3"/>
      <c r="TQI104" s="3"/>
      <c r="TQJ104" s="3"/>
      <c r="TQK104" s="3"/>
      <c r="TQL104" s="3"/>
      <c r="TQM104" s="3"/>
      <c r="TQN104" s="3"/>
      <c r="TQO104" s="3"/>
      <c r="TQP104" s="3"/>
      <c r="TQQ104" s="3"/>
      <c r="TQR104" s="3"/>
      <c r="TQS104" s="3"/>
      <c r="TQT104" s="3"/>
      <c r="TQU104" s="3"/>
      <c r="TQV104" s="3"/>
      <c r="TQW104" s="3"/>
      <c r="TQX104" s="3"/>
      <c r="TQY104" s="3"/>
      <c r="TQZ104" s="3"/>
      <c r="TRA104" s="3"/>
      <c r="TRB104" s="3"/>
      <c r="TRC104" s="3"/>
      <c r="TRD104" s="3"/>
      <c r="TRE104" s="3"/>
      <c r="TRF104" s="3"/>
      <c r="TRG104" s="3"/>
      <c r="TRH104" s="3"/>
      <c r="TRI104" s="3"/>
      <c r="TRJ104" s="3"/>
      <c r="TRK104" s="3"/>
      <c r="TRL104" s="3"/>
      <c r="TRM104" s="3"/>
      <c r="TRN104" s="3"/>
      <c r="TRO104" s="3"/>
      <c r="TRP104" s="3"/>
      <c r="TRQ104" s="3"/>
      <c r="TRR104" s="3"/>
      <c r="TRS104" s="3"/>
      <c r="TRT104" s="3"/>
      <c r="TRU104" s="3"/>
      <c r="TRV104" s="3"/>
      <c r="TRW104" s="3"/>
      <c r="TRX104" s="3"/>
      <c r="TRY104" s="3"/>
      <c r="TRZ104" s="3"/>
      <c r="TSA104" s="3"/>
      <c r="TSB104" s="3"/>
      <c r="TSC104" s="3"/>
      <c r="TSD104" s="3"/>
      <c r="TSE104" s="3"/>
      <c r="TSF104" s="3"/>
      <c r="TSG104" s="3"/>
      <c r="TSH104" s="3"/>
      <c r="TSI104" s="3"/>
      <c r="TSJ104" s="3"/>
      <c r="TSK104" s="3"/>
      <c r="TSL104" s="3"/>
      <c r="TSM104" s="3"/>
      <c r="TSN104" s="3"/>
      <c r="TSO104" s="3"/>
      <c r="TSP104" s="3"/>
      <c r="TSQ104" s="3"/>
      <c r="TSR104" s="3"/>
      <c r="TSS104" s="3"/>
      <c r="TST104" s="3"/>
      <c r="TSU104" s="3"/>
      <c r="TSV104" s="3"/>
      <c r="TSW104" s="3"/>
      <c r="TSX104" s="3"/>
      <c r="TSY104" s="3"/>
      <c r="TSZ104" s="3"/>
      <c r="TTA104" s="3"/>
      <c r="TTB104" s="3"/>
      <c r="TTC104" s="3"/>
      <c r="TTD104" s="3"/>
      <c r="TTE104" s="3"/>
      <c r="TTF104" s="3"/>
      <c r="TTG104" s="3"/>
      <c r="TTH104" s="3"/>
      <c r="TTI104" s="3"/>
      <c r="TTJ104" s="3"/>
      <c r="TTK104" s="3"/>
      <c r="TTL104" s="3"/>
      <c r="TTM104" s="3"/>
      <c r="TTN104" s="3"/>
      <c r="TTO104" s="3"/>
      <c r="TTP104" s="3"/>
      <c r="TTQ104" s="3"/>
      <c r="TTR104" s="3"/>
      <c r="TTS104" s="3"/>
      <c r="TTT104" s="3"/>
      <c r="TTU104" s="3"/>
      <c r="TTV104" s="3"/>
      <c r="TTW104" s="3"/>
      <c r="TTX104" s="3"/>
      <c r="TTY104" s="3"/>
      <c r="TTZ104" s="3"/>
      <c r="TUA104" s="3"/>
      <c r="TUB104" s="3"/>
      <c r="TUC104" s="3"/>
      <c r="TUD104" s="3"/>
      <c r="TUE104" s="3"/>
      <c r="TUF104" s="3"/>
      <c r="TUG104" s="3"/>
      <c r="TUH104" s="3"/>
      <c r="TUI104" s="3"/>
      <c r="TUJ104" s="3"/>
      <c r="TUK104" s="3"/>
      <c r="TUL104" s="3"/>
      <c r="TUM104" s="3"/>
      <c r="TUN104" s="3"/>
      <c r="TUO104" s="3"/>
      <c r="TUP104" s="3"/>
      <c r="TUQ104" s="3"/>
      <c r="TUR104" s="3"/>
      <c r="TUS104" s="3"/>
      <c r="TUT104" s="3"/>
      <c r="TUU104" s="3"/>
      <c r="TUV104" s="3"/>
      <c r="TUW104" s="3"/>
      <c r="TUX104" s="3"/>
      <c r="TUY104" s="3"/>
      <c r="TUZ104" s="3"/>
      <c r="TVA104" s="3"/>
      <c r="TVB104" s="3"/>
      <c r="TVC104" s="3"/>
      <c r="TVD104" s="3"/>
      <c r="TVE104" s="3"/>
      <c r="TVF104" s="3"/>
      <c r="TVG104" s="3"/>
      <c r="TVH104" s="3"/>
      <c r="TVI104" s="3"/>
      <c r="TVJ104" s="3"/>
      <c r="TVK104" s="3"/>
      <c r="TVL104" s="3"/>
      <c r="TVM104" s="3"/>
      <c r="TVN104" s="3"/>
      <c r="TVO104" s="3"/>
      <c r="TVP104" s="3"/>
      <c r="TVQ104" s="3"/>
      <c r="TVR104" s="3"/>
      <c r="TVS104" s="3"/>
      <c r="TVT104" s="3"/>
      <c r="TVU104" s="3"/>
      <c r="TVV104" s="3"/>
      <c r="TVW104" s="3"/>
      <c r="TVX104" s="3"/>
      <c r="TVY104" s="3"/>
      <c r="TVZ104" s="3"/>
      <c r="TWA104" s="3"/>
      <c r="TWB104" s="3"/>
      <c r="TWC104" s="3"/>
      <c r="TWD104" s="3"/>
      <c r="TWE104" s="3"/>
      <c r="TWF104" s="3"/>
      <c r="TWG104" s="3"/>
      <c r="TWH104" s="3"/>
      <c r="TWI104" s="3"/>
      <c r="TWJ104" s="3"/>
      <c r="TWK104" s="3"/>
      <c r="TWL104" s="3"/>
      <c r="TWM104" s="3"/>
      <c r="TWN104" s="3"/>
      <c r="TWO104" s="3"/>
      <c r="TWP104" s="3"/>
      <c r="TWQ104" s="3"/>
      <c r="TWR104" s="3"/>
      <c r="TWS104" s="3"/>
      <c r="TWT104" s="3"/>
      <c r="TWU104" s="3"/>
      <c r="TWV104" s="3"/>
      <c r="TWW104" s="3"/>
      <c r="TWX104" s="3"/>
      <c r="TWY104" s="3"/>
      <c r="TWZ104" s="3"/>
      <c r="TXA104" s="3"/>
      <c r="TXB104" s="3"/>
      <c r="TXC104" s="3"/>
      <c r="TXD104" s="3"/>
      <c r="TXE104" s="3"/>
      <c r="TXF104" s="3"/>
      <c r="TXG104" s="3"/>
      <c r="TXH104" s="3"/>
      <c r="TXI104" s="3"/>
      <c r="TXJ104" s="3"/>
      <c r="TXK104" s="3"/>
      <c r="TXL104" s="3"/>
      <c r="TXM104" s="3"/>
      <c r="TXN104" s="3"/>
      <c r="TXO104" s="3"/>
      <c r="TXP104" s="3"/>
      <c r="TXQ104" s="3"/>
      <c r="TXR104" s="3"/>
      <c r="TXS104" s="3"/>
      <c r="TXT104" s="3"/>
      <c r="TXU104" s="3"/>
      <c r="TXV104" s="3"/>
      <c r="TXW104" s="3"/>
      <c r="TXX104" s="3"/>
      <c r="TXY104" s="3"/>
      <c r="TXZ104" s="3"/>
      <c r="TYA104" s="3"/>
      <c r="TYB104" s="3"/>
      <c r="TYC104" s="3"/>
      <c r="TYD104" s="3"/>
      <c r="TYE104" s="3"/>
      <c r="TYF104" s="3"/>
      <c r="TYG104" s="3"/>
      <c r="TYH104" s="3"/>
      <c r="TYI104" s="3"/>
      <c r="TYJ104" s="3"/>
      <c r="TYK104" s="3"/>
      <c r="TYL104" s="3"/>
      <c r="TYM104" s="3"/>
      <c r="TYN104" s="3"/>
      <c r="TYO104" s="3"/>
      <c r="TYP104" s="3"/>
      <c r="TYQ104" s="3"/>
      <c r="TYR104" s="3"/>
      <c r="TYS104" s="3"/>
      <c r="TYT104" s="3"/>
      <c r="TYU104" s="3"/>
      <c r="TYV104" s="3"/>
      <c r="TYW104" s="3"/>
      <c r="TYX104" s="3"/>
      <c r="TYY104" s="3"/>
      <c r="TYZ104" s="3"/>
      <c r="TZA104" s="3"/>
      <c r="TZB104" s="3"/>
      <c r="TZC104" s="3"/>
      <c r="TZD104" s="3"/>
      <c r="TZE104" s="3"/>
      <c r="TZF104" s="3"/>
      <c r="TZG104" s="3"/>
      <c r="TZH104" s="3"/>
      <c r="TZI104" s="3"/>
      <c r="TZJ104" s="3"/>
      <c r="TZK104" s="3"/>
      <c r="TZL104" s="3"/>
      <c r="TZM104" s="3"/>
      <c r="TZN104" s="3"/>
      <c r="TZO104" s="3"/>
      <c r="TZP104" s="3"/>
      <c r="TZQ104" s="3"/>
      <c r="TZR104" s="3"/>
      <c r="TZS104" s="3"/>
      <c r="TZT104" s="3"/>
      <c r="TZU104" s="3"/>
      <c r="TZV104" s="3"/>
      <c r="TZW104" s="3"/>
      <c r="TZX104" s="3"/>
      <c r="TZY104" s="3"/>
      <c r="TZZ104" s="3"/>
      <c r="UAA104" s="3"/>
      <c r="UAB104" s="3"/>
      <c r="UAC104" s="3"/>
      <c r="UAD104" s="3"/>
      <c r="UAE104" s="3"/>
      <c r="UAF104" s="3"/>
      <c r="UAG104" s="3"/>
      <c r="UAH104" s="3"/>
      <c r="UAI104" s="3"/>
      <c r="UAJ104" s="3"/>
      <c r="UAK104" s="3"/>
      <c r="UAL104" s="3"/>
      <c r="UAM104" s="3"/>
      <c r="UAN104" s="3"/>
      <c r="UAO104" s="3"/>
      <c r="UAP104" s="3"/>
      <c r="UAQ104" s="3"/>
      <c r="UAR104" s="3"/>
      <c r="UAS104" s="3"/>
      <c r="UAT104" s="3"/>
      <c r="UAU104" s="3"/>
      <c r="UAV104" s="3"/>
      <c r="UAW104" s="3"/>
      <c r="UAX104" s="3"/>
      <c r="UAY104" s="3"/>
      <c r="UAZ104" s="3"/>
      <c r="UBA104" s="3"/>
      <c r="UBB104" s="3"/>
      <c r="UBC104" s="3"/>
      <c r="UBD104" s="3"/>
      <c r="UBE104" s="3"/>
      <c r="UBF104" s="3"/>
      <c r="UBG104" s="3"/>
      <c r="UBH104" s="3"/>
      <c r="UBI104" s="3"/>
      <c r="UBJ104" s="3"/>
      <c r="UBK104" s="3"/>
      <c r="UBL104" s="3"/>
      <c r="UBM104" s="3"/>
      <c r="UBN104" s="3"/>
      <c r="UBO104" s="3"/>
      <c r="UBP104" s="3"/>
      <c r="UBQ104" s="3"/>
      <c r="UBR104" s="3"/>
      <c r="UBS104" s="3"/>
      <c r="UBT104" s="3"/>
      <c r="UBU104" s="3"/>
      <c r="UBV104" s="3"/>
      <c r="UBW104" s="3"/>
      <c r="UBX104" s="3"/>
      <c r="UBY104" s="3"/>
      <c r="UBZ104" s="3"/>
      <c r="UCA104" s="3"/>
      <c r="UCB104" s="3"/>
      <c r="UCC104" s="3"/>
      <c r="UCD104" s="3"/>
      <c r="UCE104" s="3"/>
      <c r="UCF104" s="3"/>
      <c r="UCG104" s="3"/>
      <c r="UCH104" s="3"/>
      <c r="UCI104" s="3"/>
      <c r="UCJ104" s="3"/>
      <c r="UCK104" s="3"/>
      <c r="UCL104" s="3"/>
      <c r="UCM104" s="3"/>
      <c r="UCN104" s="3"/>
      <c r="UCO104" s="3"/>
      <c r="UCP104" s="3"/>
      <c r="UCQ104" s="3"/>
      <c r="UCR104" s="3"/>
      <c r="UCS104" s="3"/>
      <c r="UCT104" s="3"/>
      <c r="UCU104" s="3"/>
      <c r="UCV104" s="3"/>
      <c r="UCW104" s="3"/>
      <c r="UCX104" s="3"/>
      <c r="UCY104" s="3"/>
      <c r="UCZ104" s="3"/>
      <c r="UDA104" s="3"/>
      <c r="UDB104" s="3"/>
      <c r="UDC104" s="3"/>
      <c r="UDD104" s="3"/>
      <c r="UDE104" s="3"/>
      <c r="UDF104" s="3"/>
      <c r="UDG104" s="3"/>
      <c r="UDH104" s="3"/>
      <c r="UDI104" s="3"/>
      <c r="UDJ104" s="3"/>
      <c r="UDK104" s="3"/>
      <c r="UDL104" s="3"/>
      <c r="UDM104" s="3"/>
      <c r="UDN104" s="3"/>
      <c r="UDO104" s="3"/>
      <c r="UDP104" s="3"/>
      <c r="UDQ104" s="3"/>
      <c r="UDR104" s="3"/>
      <c r="UDS104" s="3"/>
      <c r="UDT104" s="3"/>
      <c r="UDU104" s="3"/>
      <c r="UDV104" s="3"/>
      <c r="UDW104" s="3"/>
      <c r="UDX104" s="3"/>
      <c r="UDY104" s="3"/>
      <c r="UDZ104" s="3"/>
      <c r="UEA104" s="3"/>
      <c r="UEB104" s="3"/>
      <c r="UEC104" s="3"/>
      <c r="UED104" s="3"/>
      <c r="UEE104" s="3"/>
      <c r="UEF104" s="3"/>
      <c r="UEG104" s="3"/>
      <c r="UEH104" s="3"/>
      <c r="UEI104" s="3"/>
      <c r="UEJ104" s="3"/>
      <c r="UEK104" s="3"/>
      <c r="UEL104" s="3"/>
      <c r="UEM104" s="3"/>
      <c r="UEN104" s="3"/>
      <c r="UEO104" s="3"/>
      <c r="UEP104" s="3"/>
      <c r="UEQ104" s="3"/>
      <c r="UER104" s="3"/>
      <c r="UES104" s="3"/>
      <c r="UET104" s="3"/>
      <c r="UEU104" s="3"/>
      <c r="UEV104" s="3"/>
      <c r="UEW104" s="3"/>
      <c r="UEX104" s="3"/>
      <c r="UEY104" s="3"/>
      <c r="UEZ104" s="3"/>
      <c r="UFA104" s="3"/>
      <c r="UFB104" s="3"/>
      <c r="UFC104" s="3"/>
      <c r="UFD104" s="3"/>
      <c r="UFE104" s="3"/>
      <c r="UFF104" s="3"/>
      <c r="UFG104" s="3"/>
      <c r="UFH104" s="3"/>
      <c r="UFI104" s="3"/>
      <c r="UFJ104" s="3"/>
      <c r="UFK104" s="3"/>
      <c r="UFL104" s="3"/>
      <c r="UFM104" s="3"/>
      <c r="UFN104" s="3"/>
      <c r="UFO104" s="3"/>
      <c r="UFP104" s="3"/>
      <c r="UFQ104" s="3"/>
      <c r="UFR104" s="3"/>
      <c r="UFS104" s="3"/>
      <c r="UFT104" s="3"/>
      <c r="UFU104" s="3"/>
      <c r="UFV104" s="3"/>
      <c r="UFW104" s="3"/>
      <c r="UFX104" s="3"/>
      <c r="UFY104" s="3"/>
      <c r="UFZ104" s="3"/>
      <c r="UGA104" s="3"/>
      <c r="UGB104" s="3"/>
      <c r="UGC104" s="3"/>
      <c r="UGD104" s="3"/>
      <c r="UGE104" s="3"/>
      <c r="UGF104" s="3"/>
      <c r="UGG104" s="3"/>
      <c r="UGH104" s="3"/>
      <c r="UGI104" s="3"/>
      <c r="UGJ104" s="3"/>
      <c r="UGK104" s="3"/>
      <c r="UGL104" s="3"/>
      <c r="UGM104" s="3"/>
      <c r="UGN104" s="3"/>
      <c r="UGO104" s="3"/>
      <c r="UGP104" s="3"/>
      <c r="UGQ104" s="3"/>
      <c r="UGR104" s="3"/>
      <c r="UGS104" s="3"/>
      <c r="UGT104" s="3"/>
      <c r="UGU104" s="3"/>
      <c r="UGV104" s="3"/>
      <c r="UGW104" s="3"/>
      <c r="UGX104" s="3"/>
      <c r="UGY104" s="3"/>
      <c r="UGZ104" s="3"/>
      <c r="UHA104" s="3"/>
      <c r="UHB104" s="3"/>
      <c r="UHC104" s="3"/>
      <c r="UHD104" s="3"/>
      <c r="UHE104" s="3"/>
      <c r="UHF104" s="3"/>
      <c r="UHG104" s="3"/>
      <c r="UHH104" s="3"/>
      <c r="UHI104" s="3"/>
      <c r="UHJ104" s="3"/>
      <c r="UHK104" s="3"/>
      <c r="UHL104" s="3"/>
      <c r="UHM104" s="3"/>
      <c r="UHN104" s="3"/>
      <c r="UHO104" s="3"/>
      <c r="UHP104" s="3"/>
      <c r="UHQ104" s="3"/>
      <c r="UHR104" s="3"/>
      <c r="UHS104" s="3"/>
      <c r="UHT104" s="3"/>
      <c r="UHU104" s="3"/>
      <c r="UHV104" s="3"/>
      <c r="UHW104" s="3"/>
      <c r="UHX104" s="3"/>
      <c r="UHY104" s="3"/>
      <c r="UHZ104" s="3"/>
      <c r="UIA104" s="3"/>
      <c r="UIB104" s="3"/>
      <c r="UIC104" s="3"/>
      <c r="UID104" s="3"/>
      <c r="UIE104" s="3"/>
      <c r="UIF104" s="3"/>
      <c r="UIG104" s="3"/>
      <c r="UIH104" s="3"/>
      <c r="UII104" s="3"/>
      <c r="UIJ104" s="3"/>
      <c r="UIK104" s="3"/>
      <c r="UIL104" s="3"/>
      <c r="UIM104" s="3"/>
      <c r="UIN104" s="3"/>
      <c r="UIO104" s="3"/>
      <c r="UIP104" s="3"/>
      <c r="UIQ104" s="3"/>
      <c r="UIR104" s="3"/>
      <c r="UIS104" s="3"/>
      <c r="UIT104" s="3"/>
      <c r="UIU104" s="3"/>
      <c r="UIV104" s="3"/>
      <c r="UIW104" s="3"/>
      <c r="UIX104" s="3"/>
      <c r="UIY104" s="3"/>
      <c r="UIZ104" s="3"/>
      <c r="UJA104" s="3"/>
      <c r="UJB104" s="3"/>
      <c r="UJC104" s="3"/>
      <c r="UJD104" s="3"/>
      <c r="UJE104" s="3"/>
      <c r="UJF104" s="3"/>
      <c r="UJG104" s="3"/>
      <c r="UJH104" s="3"/>
      <c r="UJI104" s="3"/>
      <c r="UJJ104" s="3"/>
      <c r="UJK104" s="3"/>
      <c r="UJL104" s="3"/>
      <c r="UJM104" s="3"/>
      <c r="UJN104" s="3"/>
      <c r="UJO104" s="3"/>
      <c r="UJP104" s="3"/>
      <c r="UJQ104" s="3"/>
      <c r="UJR104" s="3"/>
      <c r="UJS104" s="3"/>
      <c r="UJT104" s="3"/>
      <c r="UJU104" s="3"/>
      <c r="UJV104" s="3"/>
      <c r="UJW104" s="3"/>
      <c r="UJX104" s="3"/>
      <c r="UJY104" s="3"/>
      <c r="UJZ104" s="3"/>
      <c r="UKA104" s="3"/>
      <c r="UKB104" s="3"/>
      <c r="UKC104" s="3"/>
      <c r="UKD104" s="3"/>
      <c r="UKE104" s="3"/>
      <c r="UKF104" s="3"/>
      <c r="UKG104" s="3"/>
      <c r="UKH104" s="3"/>
      <c r="UKI104" s="3"/>
      <c r="UKJ104" s="3"/>
      <c r="UKK104" s="3"/>
      <c r="UKL104" s="3"/>
      <c r="UKM104" s="3"/>
      <c r="UKN104" s="3"/>
      <c r="UKO104" s="3"/>
      <c r="UKP104" s="3"/>
      <c r="UKQ104" s="3"/>
      <c r="UKR104" s="3"/>
      <c r="UKS104" s="3"/>
      <c r="UKT104" s="3"/>
      <c r="UKU104" s="3"/>
      <c r="UKV104" s="3"/>
      <c r="UKW104" s="3"/>
      <c r="UKX104" s="3"/>
      <c r="UKY104" s="3"/>
      <c r="UKZ104" s="3"/>
      <c r="ULA104" s="3"/>
      <c r="ULB104" s="3"/>
      <c r="ULC104" s="3"/>
      <c r="ULD104" s="3"/>
      <c r="ULE104" s="3"/>
      <c r="ULF104" s="3"/>
      <c r="ULG104" s="3"/>
      <c r="ULH104" s="3"/>
      <c r="ULI104" s="3"/>
      <c r="ULJ104" s="3"/>
      <c r="ULK104" s="3"/>
      <c r="ULL104" s="3"/>
      <c r="ULM104" s="3"/>
      <c r="ULN104" s="3"/>
      <c r="ULO104" s="3"/>
      <c r="ULP104" s="3"/>
      <c r="ULQ104" s="3"/>
      <c r="ULR104" s="3"/>
      <c r="ULS104" s="3"/>
      <c r="ULT104" s="3"/>
      <c r="ULU104" s="3"/>
      <c r="ULV104" s="3"/>
      <c r="ULW104" s="3"/>
      <c r="ULX104" s="3"/>
      <c r="ULY104" s="3"/>
      <c r="ULZ104" s="3"/>
      <c r="UMA104" s="3"/>
      <c r="UMB104" s="3"/>
      <c r="UMC104" s="3"/>
      <c r="UMD104" s="3"/>
      <c r="UME104" s="3"/>
      <c r="UMF104" s="3"/>
      <c r="UMG104" s="3"/>
      <c r="UMH104" s="3"/>
      <c r="UMI104" s="3"/>
      <c r="UMJ104" s="3"/>
      <c r="UMK104" s="3"/>
      <c r="UML104" s="3"/>
      <c r="UMM104" s="3"/>
      <c r="UMN104" s="3"/>
      <c r="UMO104" s="3"/>
      <c r="UMP104" s="3"/>
      <c r="UMQ104" s="3"/>
      <c r="UMR104" s="3"/>
      <c r="UMS104" s="3"/>
      <c r="UMT104" s="3"/>
      <c r="UMU104" s="3"/>
      <c r="UMV104" s="3"/>
      <c r="UMW104" s="3"/>
      <c r="UMX104" s="3"/>
      <c r="UMY104" s="3"/>
      <c r="UMZ104" s="3"/>
      <c r="UNA104" s="3"/>
      <c r="UNB104" s="3"/>
      <c r="UNC104" s="3"/>
      <c r="UND104" s="3"/>
      <c r="UNE104" s="3"/>
      <c r="UNF104" s="3"/>
      <c r="UNG104" s="3"/>
      <c r="UNH104" s="3"/>
      <c r="UNI104" s="3"/>
      <c r="UNJ104" s="3"/>
      <c r="UNK104" s="3"/>
      <c r="UNL104" s="3"/>
      <c r="UNM104" s="3"/>
      <c r="UNN104" s="3"/>
      <c r="UNO104" s="3"/>
      <c r="UNP104" s="3"/>
      <c r="UNQ104" s="3"/>
      <c r="UNR104" s="3"/>
      <c r="UNS104" s="3"/>
      <c r="UNT104" s="3"/>
      <c r="UNU104" s="3"/>
      <c r="UNV104" s="3"/>
      <c r="UNW104" s="3"/>
      <c r="UNX104" s="3"/>
      <c r="UNY104" s="3"/>
      <c r="UNZ104" s="3"/>
      <c r="UOA104" s="3"/>
      <c r="UOB104" s="3"/>
      <c r="UOC104" s="3"/>
      <c r="UOD104" s="3"/>
      <c r="UOE104" s="3"/>
      <c r="UOF104" s="3"/>
      <c r="UOG104" s="3"/>
      <c r="UOH104" s="3"/>
      <c r="UOI104" s="3"/>
      <c r="UOJ104" s="3"/>
      <c r="UOK104" s="3"/>
      <c r="UOL104" s="3"/>
      <c r="UOM104" s="3"/>
      <c r="UON104" s="3"/>
      <c r="UOO104" s="3"/>
      <c r="UOP104" s="3"/>
      <c r="UOQ104" s="3"/>
      <c r="UOR104" s="3"/>
      <c r="UOS104" s="3"/>
      <c r="UOT104" s="3"/>
      <c r="UOU104" s="3"/>
      <c r="UOV104" s="3"/>
      <c r="UOW104" s="3"/>
      <c r="UOX104" s="3"/>
      <c r="UOY104" s="3"/>
      <c r="UOZ104" s="3"/>
      <c r="UPA104" s="3"/>
      <c r="UPB104" s="3"/>
      <c r="UPC104" s="3"/>
      <c r="UPD104" s="3"/>
      <c r="UPE104" s="3"/>
      <c r="UPF104" s="3"/>
      <c r="UPG104" s="3"/>
      <c r="UPH104" s="3"/>
      <c r="UPI104" s="3"/>
      <c r="UPJ104" s="3"/>
      <c r="UPK104" s="3"/>
      <c r="UPL104" s="3"/>
      <c r="UPM104" s="3"/>
      <c r="UPN104" s="3"/>
      <c r="UPO104" s="3"/>
      <c r="UPP104" s="3"/>
      <c r="UPQ104" s="3"/>
      <c r="UPR104" s="3"/>
      <c r="UPS104" s="3"/>
      <c r="UPT104" s="3"/>
      <c r="UPU104" s="3"/>
      <c r="UPV104" s="3"/>
      <c r="UPW104" s="3"/>
      <c r="UPX104" s="3"/>
      <c r="UPY104" s="3"/>
      <c r="UPZ104" s="3"/>
      <c r="UQA104" s="3"/>
      <c r="UQB104" s="3"/>
      <c r="UQC104" s="3"/>
      <c r="UQD104" s="3"/>
      <c r="UQE104" s="3"/>
      <c r="UQF104" s="3"/>
      <c r="UQG104" s="3"/>
      <c r="UQH104" s="3"/>
      <c r="UQI104" s="3"/>
      <c r="UQJ104" s="3"/>
      <c r="UQK104" s="3"/>
      <c r="UQL104" s="3"/>
      <c r="UQM104" s="3"/>
      <c r="UQN104" s="3"/>
      <c r="UQO104" s="3"/>
      <c r="UQP104" s="3"/>
      <c r="UQQ104" s="3"/>
      <c r="UQR104" s="3"/>
      <c r="UQS104" s="3"/>
      <c r="UQT104" s="3"/>
      <c r="UQU104" s="3"/>
      <c r="UQV104" s="3"/>
      <c r="UQW104" s="3"/>
      <c r="UQX104" s="3"/>
      <c r="UQY104" s="3"/>
      <c r="UQZ104" s="3"/>
      <c r="URA104" s="3"/>
      <c r="URB104" s="3"/>
      <c r="URC104" s="3"/>
      <c r="URD104" s="3"/>
      <c r="URE104" s="3"/>
      <c r="URF104" s="3"/>
      <c r="URG104" s="3"/>
      <c r="URH104" s="3"/>
      <c r="URI104" s="3"/>
      <c r="URJ104" s="3"/>
      <c r="URK104" s="3"/>
      <c r="URL104" s="3"/>
      <c r="URM104" s="3"/>
      <c r="URN104" s="3"/>
      <c r="URO104" s="3"/>
      <c r="URP104" s="3"/>
      <c r="URQ104" s="3"/>
      <c r="URR104" s="3"/>
      <c r="URS104" s="3"/>
      <c r="URT104" s="3"/>
      <c r="URU104" s="3"/>
      <c r="URV104" s="3"/>
      <c r="URW104" s="3"/>
      <c r="URX104" s="3"/>
      <c r="URY104" s="3"/>
      <c r="URZ104" s="3"/>
      <c r="USA104" s="3"/>
      <c r="USB104" s="3"/>
      <c r="USC104" s="3"/>
      <c r="USD104" s="3"/>
      <c r="USE104" s="3"/>
      <c r="USF104" s="3"/>
      <c r="USG104" s="3"/>
      <c r="USH104" s="3"/>
      <c r="USI104" s="3"/>
      <c r="USJ104" s="3"/>
      <c r="USK104" s="3"/>
      <c r="USL104" s="3"/>
      <c r="USM104" s="3"/>
      <c r="USN104" s="3"/>
      <c r="USO104" s="3"/>
      <c r="USP104" s="3"/>
      <c r="USQ104" s="3"/>
      <c r="USR104" s="3"/>
      <c r="USS104" s="3"/>
      <c r="UST104" s="3"/>
      <c r="USU104" s="3"/>
      <c r="USV104" s="3"/>
      <c r="USW104" s="3"/>
      <c r="USX104" s="3"/>
      <c r="USY104" s="3"/>
      <c r="USZ104" s="3"/>
      <c r="UTA104" s="3"/>
      <c r="UTB104" s="3"/>
      <c r="UTC104" s="3"/>
      <c r="UTD104" s="3"/>
      <c r="UTE104" s="3"/>
      <c r="UTF104" s="3"/>
      <c r="UTG104" s="3"/>
      <c r="UTH104" s="3"/>
      <c r="UTI104" s="3"/>
      <c r="UTJ104" s="3"/>
      <c r="UTK104" s="3"/>
      <c r="UTL104" s="3"/>
      <c r="UTM104" s="3"/>
      <c r="UTN104" s="3"/>
      <c r="UTO104" s="3"/>
      <c r="UTP104" s="3"/>
      <c r="UTQ104" s="3"/>
      <c r="UTR104" s="3"/>
      <c r="UTS104" s="3"/>
      <c r="UTT104" s="3"/>
      <c r="UTU104" s="3"/>
      <c r="UTV104" s="3"/>
      <c r="UTW104" s="3"/>
      <c r="UTX104" s="3"/>
      <c r="UTY104" s="3"/>
      <c r="UTZ104" s="3"/>
      <c r="UUA104" s="3"/>
      <c r="UUB104" s="3"/>
      <c r="UUC104" s="3"/>
      <c r="UUD104" s="3"/>
      <c r="UUE104" s="3"/>
      <c r="UUF104" s="3"/>
      <c r="UUG104" s="3"/>
      <c r="UUH104" s="3"/>
      <c r="UUI104" s="3"/>
      <c r="UUJ104" s="3"/>
      <c r="UUK104" s="3"/>
      <c r="UUL104" s="3"/>
      <c r="UUM104" s="3"/>
      <c r="UUN104" s="3"/>
      <c r="UUO104" s="3"/>
      <c r="UUP104" s="3"/>
      <c r="UUQ104" s="3"/>
      <c r="UUR104" s="3"/>
      <c r="UUS104" s="3"/>
      <c r="UUT104" s="3"/>
      <c r="UUU104" s="3"/>
      <c r="UUV104" s="3"/>
      <c r="UUW104" s="3"/>
      <c r="UUX104" s="3"/>
      <c r="UUY104" s="3"/>
      <c r="UUZ104" s="3"/>
      <c r="UVA104" s="3"/>
      <c r="UVB104" s="3"/>
      <c r="UVC104" s="3"/>
      <c r="UVD104" s="3"/>
      <c r="UVE104" s="3"/>
      <c r="UVF104" s="3"/>
      <c r="UVG104" s="3"/>
      <c r="UVH104" s="3"/>
      <c r="UVI104" s="3"/>
      <c r="UVJ104" s="3"/>
      <c r="UVK104" s="3"/>
      <c r="UVL104" s="3"/>
      <c r="UVM104" s="3"/>
      <c r="UVN104" s="3"/>
      <c r="UVO104" s="3"/>
      <c r="UVP104" s="3"/>
      <c r="UVQ104" s="3"/>
      <c r="UVR104" s="3"/>
      <c r="UVS104" s="3"/>
      <c r="UVT104" s="3"/>
      <c r="UVU104" s="3"/>
      <c r="UVV104" s="3"/>
      <c r="UVW104" s="3"/>
      <c r="UVX104" s="3"/>
      <c r="UVY104" s="3"/>
      <c r="UVZ104" s="3"/>
      <c r="UWA104" s="3"/>
      <c r="UWB104" s="3"/>
      <c r="UWC104" s="3"/>
      <c r="UWD104" s="3"/>
      <c r="UWE104" s="3"/>
      <c r="UWF104" s="3"/>
      <c r="UWG104" s="3"/>
      <c r="UWH104" s="3"/>
      <c r="UWI104" s="3"/>
      <c r="UWJ104" s="3"/>
      <c r="UWK104" s="3"/>
      <c r="UWL104" s="3"/>
      <c r="UWM104" s="3"/>
      <c r="UWN104" s="3"/>
      <c r="UWO104" s="3"/>
      <c r="UWP104" s="3"/>
      <c r="UWQ104" s="3"/>
      <c r="UWR104" s="3"/>
      <c r="UWS104" s="3"/>
      <c r="UWT104" s="3"/>
      <c r="UWU104" s="3"/>
      <c r="UWV104" s="3"/>
      <c r="UWW104" s="3"/>
      <c r="UWX104" s="3"/>
      <c r="UWY104" s="3"/>
      <c r="UWZ104" s="3"/>
      <c r="UXA104" s="3"/>
      <c r="UXB104" s="3"/>
      <c r="UXC104" s="3"/>
      <c r="UXD104" s="3"/>
      <c r="UXE104" s="3"/>
      <c r="UXF104" s="3"/>
      <c r="UXG104" s="3"/>
      <c r="UXH104" s="3"/>
      <c r="UXI104" s="3"/>
      <c r="UXJ104" s="3"/>
      <c r="UXK104" s="3"/>
      <c r="UXL104" s="3"/>
      <c r="UXM104" s="3"/>
      <c r="UXN104" s="3"/>
      <c r="UXO104" s="3"/>
      <c r="UXP104" s="3"/>
      <c r="UXQ104" s="3"/>
      <c r="UXR104" s="3"/>
      <c r="UXS104" s="3"/>
      <c r="UXT104" s="3"/>
      <c r="UXU104" s="3"/>
      <c r="UXV104" s="3"/>
      <c r="UXW104" s="3"/>
      <c r="UXX104" s="3"/>
      <c r="UXY104" s="3"/>
      <c r="UXZ104" s="3"/>
      <c r="UYA104" s="3"/>
      <c r="UYB104" s="3"/>
      <c r="UYC104" s="3"/>
      <c r="UYD104" s="3"/>
      <c r="UYE104" s="3"/>
      <c r="UYF104" s="3"/>
      <c r="UYG104" s="3"/>
      <c r="UYH104" s="3"/>
      <c r="UYI104" s="3"/>
      <c r="UYJ104" s="3"/>
      <c r="UYK104" s="3"/>
      <c r="UYL104" s="3"/>
      <c r="UYM104" s="3"/>
      <c r="UYN104" s="3"/>
      <c r="UYO104" s="3"/>
      <c r="UYP104" s="3"/>
      <c r="UYQ104" s="3"/>
      <c r="UYR104" s="3"/>
      <c r="UYS104" s="3"/>
      <c r="UYT104" s="3"/>
      <c r="UYU104" s="3"/>
      <c r="UYV104" s="3"/>
      <c r="UYW104" s="3"/>
      <c r="UYX104" s="3"/>
      <c r="UYY104" s="3"/>
      <c r="UYZ104" s="3"/>
      <c r="UZA104" s="3"/>
      <c r="UZB104" s="3"/>
      <c r="UZC104" s="3"/>
      <c r="UZD104" s="3"/>
      <c r="UZE104" s="3"/>
      <c r="UZF104" s="3"/>
      <c r="UZG104" s="3"/>
      <c r="UZH104" s="3"/>
      <c r="UZI104" s="3"/>
      <c r="UZJ104" s="3"/>
      <c r="UZK104" s="3"/>
      <c r="UZL104" s="3"/>
      <c r="UZM104" s="3"/>
      <c r="UZN104" s="3"/>
      <c r="UZO104" s="3"/>
      <c r="UZP104" s="3"/>
      <c r="UZQ104" s="3"/>
      <c r="UZR104" s="3"/>
      <c r="UZS104" s="3"/>
      <c r="UZT104" s="3"/>
      <c r="UZU104" s="3"/>
      <c r="UZV104" s="3"/>
      <c r="UZW104" s="3"/>
      <c r="UZX104" s="3"/>
      <c r="UZY104" s="3"/>
      <c r="UZZ104" s="3"/>
      <c r="VAA104" s="3"/>
      <c r="VAB104" s="3"/>
      <c r="VAC104" s="3"/>
      <c r="VAD104" s="3"/>
      <c r="VAE104" s="3"/>
      <c r="VAF104" s="3"/>
      <c r="VAG104" s="3"/>
      <c r="VAH104" s="3"/>
      <c r="VAI104" s="3"/>
      <c r="VAJ104" s="3"/>
      <c r="VAK104" s="3"/>
      <c r="VAL104" s="3"/>
      <c r="VAM104" s="3"/>
      <c r="VAN104" s="3"/>
      <c r="VAO104" s="3"/>
      <c r="VAP104" s="3"/>
      <c r="VAQ104" s="3"/>
      <c r="VAR104" s="3"/>
      <c r="VAS104" s="3"/>
      <c r="VAT104" s="3"/>
      <c r="VAU104" s="3"/>
      <c r="VAV104" s="3"/>
      <c r="VAW104" s="3"/>
      <c r="VAX104" s="3"/>
      <c r="VAY104" s="3"/>
      <c r="VAZ104" s="3"/>
      <c r="VBA104" s="3"/>
      <c r="VBB104" s="3"/>
      <c r="VBC104" s="3"/>
      <c r="VBD104" s="3"/>
      <c r="VBE104" s="3"/>
      <c r="VBF104" s="3"/>
      <c r="VBG104" s="3"/>
      <c r="VBH104" s="3"/>
      <c r="VBI104" s="3"/>
      <c r="VBJ104" s="3"/>
      <c r="VBK104" s="3"/>
      <c r="VBL104" s="3"/>
      <c r="VBM104" s="3"/>
      <c r="VBN104" s="3"/>
      <c r="VBO104" s="3"/>
      <c r="VBP104" s="3"/>
      <c r="VBQ104" s="3"/>
      <c r="VBR104" s="3"/>
      <c r="VBS104" s="3"/>
      <c r="VBT104" s="3"/>
      <c r="VBU104" s="3"/>
      <c r="VBV104" s="3"/>
      <c r="VBW104" s="3"/>
      <c r="VBX104" s="3"/>
      <c r="VBY104" s="3"/>
      <c r="VBZ104" s="3"/>
      <c r="VCA104" s="3"/>
      <c r="VCB104" s="3"/>
      <c r="VCC104" s="3"/>
      <c r="VCD104" s="3"/>
      <c r="VCE104" s="3"/>
      <c r="VCF104" s="3"/>
      <c r="VCG104" s="3"/>
      <c r="VCH104" s="3"/>
      <c r="VCI104" s="3"/>
      <c r="VCJ104" s="3"/>
      <c r="VCK104" s="3"/>
      <c r="VCL104" s="3"/>
      <c r="VCM104" s="3"/>
      <c r="VCN104" s="3"/>
      <c r="VCO104" s="3"/>
      <c r="VCP104" s="3"/>
      <c r="VCQ104" s="3"/>
      <c r="VCR104" s="3"/>
      <c r="VCS104" s="3"/>
      <c r="VCT104" s="3"/>
      <c r="VCU104" s="3"/>
      <c r="VCV104" s="3"/>
      <c r="VCW104" s="3"/>
      <c r="VCX104" s="3"/>
      <c r="VCY104" s="3"/>
      <c r="VCZ104" s="3"/>
      <c r="VDA104" s="3"/>
      <c r="VDB104" s="3"/>
      <c r="VDC104" s="3"/>
      <c r="VDD104" s="3"/>
      <c r="VDE104" s="3"/>
      <c r="VDF104" s="3"/>
      <c r="VDG104" s="3"/>
      <c r="VDH104" s="3"/>
      <c r="VDI104" s="3"/>
      <c r="VDJ104" s="3"/>
      <c r="VDK104" s="3"/>
      <c r="VDL104" s="3"/>
      <c r="VDM104" s="3"/>
      <c r="VDN104" s="3"/>
      <c r="VDO104" s="3"/>
      <c r="VDP104" s="3"/>
      <c r="VDQ104" s="3"/>
      <c r="VDR104" s="3"/>
      <c r="VDS104" s="3"/>
      <c r="VDT104" s="3"/>
      <c r="VDU104" s="3"/>
      <c r="VDV104" s="3"/>
      <c r="VDW104" s="3"/>
      <c r="VDX104" s="3"/>
      <c r="VDY104" s="3"/>
      <c r="VDZ104" s="3"/>
      <c r="VEA104" s="3"/>
      <c r="VEB104" s="3"/>
      <c r="VEC104" s="3"/>
      <c r="VED104" s="3"/>
      <c r="VEE104" s="3"/>
      <c r="VEF104" s="3"/>
      <c r="VEG104" s="3"/>
      <c r="VEH104" s="3"/>
      <c r="VEI104" s="3"/>
      <c r="VEJ104" s="3"/>
      <c r="VEK104" s="3"/>
      <c r="VEL104" s="3"/>
      <c r="VEM104" s="3"/>
      <c r="VEN104" s="3"/>
      <c r="VEO104" s="3"/>
      <c r="VEP104" s="3"/>
      <c r="VEQ104" s="3"/>
      <c r="VER104" s="3"/>
      <c r="VES104" s="3"/>
      <c r="VET104" s="3"/>
      <c r="VEU104" s="3"/>
      <c r="VEV104" s="3"/>
      <c r="VEW104" s="3"/>
      <c r="VEX104" s="3"/>
      <c r="VEY104" s="3"/>
      <c r="VEZ104" s="3"/>
      <c r="VFA104" s="3"/>
      <c r="VFB104" s="3"/>
      <c r="VFC104" s="3"/>
      <c r="VFD104" s="3"/>
      <c r="VFE104" s="3"/>
      <c r="VFF104" s="3"/>
      <c r="VFG104" s="3"/>
      <c r="VFH104" s="3"/>
      <c r="VFI104" s="3"/>
      <c r="VFJ104" s="3"/>
      <c r="VFK104" s="3"/>
      <c r="VFL104" s="3"/>
      <c r="VFM104" s="3"/>
      <c r="VFN104" s="3"/>
      <c r="VFO104" s="3"/>
      <c r="VFP104" s="3"/>
      <c r="VFQ104" s="3"/>
      <c r="VFR104" s="3"/>
      <c r="VFS104" s="3"/>
      <c r="VFT104" s="3"/>
      <c r="VFU104" s="3"/>
      <c r="VFV104" s="3"/>
      <c r="VFW104" s="3"/>
      <c r="VFX104" s="3"/>
      <c r="VFY104" s="3"/>
      <c r="VFZ104" s="3"/>
      <c r="VGA104" s="3"/>
      <c r="VGB104" s="3"/>
      <c r="VGC104" s="3"/>
      <c r="VGD104" s="3"/>
      <c r="VGE104" s="3"/>
      <c r="VGF104" s="3"/>
      <c r="VGG104" s="3"/>
      <c r="VGH104" s="3"/>
      <c r="VGI104" s="3"/>
      <c r="VGJ104" s="3"/>
      <c r="VGK104" s="3"/>
      <c r="VGL104" s="3"/>
      <c r="VGM104" s="3"/>
      <c r="VGN104" s="3"/>
      <c r="VGO104" s="3"/>
      <c r="VGP104" s="3"/>
      <c r="VGQ104" s="3"/>
      <c r="VGR104" s="3"/>
      <c r="VGS104" s="3"/>
      <c r="VGT104" s="3"/>
      <c r="VGU104" s="3"/>
      <c r="VGV104" s="3"/>
      <c r="VGW104" s="3"/>
      <c r="VGX104" s="3"/>
      <c r="VGY104" s="3"/>
      <c r="VGZ104" s="3"/>
      <c r="VHA104" s="3"/>
      <c r="VHB104" s="3"/>
      <c r="VHC104" s="3"/>
      <c r="VHD104" s="3"/>
      <c r="VHE104" s="3"/>
      <c r="VHF104" s="3"/>
      <c r="VHG104" s="3"/>
      <c r="VHH104" s="3"/>
      <c r="VHI104" s="3"/>
      <c r="VHJ104" s="3"/>
      <c r="VHK104" s="3"/>
      <c r="VHL104" s="3"/>
      <c r="VHM104" s="3"/>
      <c r="VHN104" s="3"/>
      <c r="VHO104" s="3"/>
      <c r="VHP104" s="3"/>
      <c r="VHQ104" s="3"/>
      <c r="VHR104" s="3"/>
      <c r="VHS104" s="3"/>
      <c r="VHT104" s="3"/>
      <c r="VHU104" s="3"/>
      <c r="VHV104" s="3"/>
      <c r="VHW104" s="3"/>
      <c r="VHX104" s="3"/>
      <c r="VHY104" s="3"/>
      <c r="VHZ104" s="3"/>
      <c r="VIA104" s="3"/>
      <c r="VIB104" s="3"/>
      <c r="VIC104" s="3"/>
      <c r="VID104" s="3"/>
      <c r="VIE104" s="3"/>
      <c r="VIF104" s="3"/>
      <c r="VIG104" s="3"/>
      <c r="VIH104" s="3"/>
      <c r="VII104" s="3"/>
      <c r="VIJ104" s="3"/>
      <c r="VIK104" s="3"/>
      <c r="VIL104" s="3"/>
      <c r="VIM104" s="3"/>
      <c r="VIN104" s="3"/>
      <c r="VIO104" s="3"/>
      <c r="VIP104" s="3"/>
      <c r="VIQ104" s="3"/>
      <c r="VIR104" s="3"/>
      <c r="VIS104" s="3"/>
      <c r="VIT104" s="3"/>
      <c r="VIU104" s="3"/>
      <c r="VIV104" s="3"/>
      <c r="VIW104" s="3"/>
      <c r="VIX104" s="3"/>
      <c r="VIY104" s="3"/>
      <c r="VIZ104" s="3"/>
      <c r="VJA104" s="3"/>
      <c r="VJB104" s="3"/>
      <c r="VJC104" s="3"/>
      <c r="VJD104" s="3"/>
      <c r="VJE104" s="3"/>
      <c r="VJF104" s="3"/>
      <c r="VJG104" s="3"/>
      <c r="VJH104" s="3"/>
      <c r="VJI104" s="3"/>
      <c r="VJJ104" s="3"/>
      <c r="VJK104" s="3"/>
      <c r="VJL104" s="3"/>
      <c r="VJM104" s="3"/>
      <c r="VJN104" s="3"/>
      <c r="VJO104" s="3"/>
      <c r="VJP104" s="3"/>
      <c r="VJQ104" s="3"/>
      <c r="VJR104" s="3"/>
      <c r="VJS104" s="3"/>
      <c r="VJT104" s="3"/>
      <c r="VJU104" s="3"/>
      <c r="VJV104" s="3"/>
      <c r="VJW104" s="3"/>
      <c r="VJX104" s="3"/>
      <c r="VJY104" s="3"/>
      <c r="VJZ104" s="3"/>
      <c r="VKA104" s="3"/>
      <c r="VKB104" s="3"/>
      <c r="VKC104" s="3"/>
      <c r="VKD104" s="3"/>
      <c r="VKE104" s="3"/>
      <c r="VKF104" s="3"/>
      <c r="VKG104" s="3"/>
      <c r="VKH104" s="3"/>
      <c r="VKI104" s="3"/>
      <c r="VKJ104" s="3"/>
      <c r="VKK104" s="3"/>
      <c r="VKL104" s="3"/>
      <c r="VKM104" s="3"/>
      <c r="VKN104" s="3"/>
      <c r="VKO104" s="3"/>
      <c r="VKP104" s="3"/>
      <c r="VKQ104" s="3"/>
      <c r="VKR104" s="3"/>
      <c r="VKS104" s="3"/>
      <c r="VKT104" s="3"/>
      <c r="VKU104" s="3"/>
      <c r="VKV104" s="3"/>
      <c r="VKW104" s="3"/>
      <c r="VKX104" s="3"/>
      <c r="VKY104" s="3"/>
      <c r="VKZ104" s="3"/>
      <c r="VLA104" s="3"/>
      <c r="VLB104" s="3"/>
      <c r="VLC104" s="3"/>
      <c r="VLD104" s="3"/>
      <c r="VLE104" s="3"/>
      <c r="VLF104" s="3"/>
      <c r="VLG104" s="3"/>
      <c r="VLH104" s="3"/>
      <c r="VLI104" s="3"/>
      <c r="VLJ104" s="3"/>
      <c r="VLK104" s="3"/>
      <c r="VLL104" s="3"/>
      <c r="VLM104" s="3"/>
      <c r="VLN104" s="3"/>
      <c r="VLO104" s="3"/>
      <c r="VLP104" s="3"/>
      <c r="VLQ104" s="3"/>
      <c r="VLR104" s="3"/>
      <c r="VLS104" s="3"/>
      <c r="VLT104" s="3"/>
      <c r="VLU104" s="3"/>
      <c r="VLV104" s="3"/>
      <c r="VLW104" s="3"/>
      <c r="VLX104" s="3"/>
      <c r="VLY104" s="3"/>
      <c r="VLZ104" s="3"/>
      <c r="VMA104" s="3"/>
      <c r="VMB104" s="3"/>
      <c r="VMC104" s="3"/>
      <c r="VMD104" s="3"/>
      <c r="VME104" s="3"/>
      <c r="VMF104" s="3"/>
      <c r="VMG104" s="3"/>
      <c r="VMH104" s="3"/>
      <c r="VMI104" s="3"/>
      <c r="VMJ104" s="3"/>
      <c r="VMK104" s="3"/>
      <c r="VML104" s="3"/>
      <c r="VMM104" s="3"/>
      <c r="VMN104" s="3"/>
      <c r="VMO104" s="3"/>
      <c r="VMP104" s="3"/>
      <c r="VMQ104" s="3"/>
      <c r="VMR104" s="3"/>
      <c r="VMS104" s="3"/>
      <c r="VMT104" s="3"/>
      <c r="VMU104" s="3"/>
      <c r="VMV104" s="3"/>
      <c r="VMW104" s="3"/>
      <c r="VMX104" s="3"/>
      <c r="VMY104" s="3"/>
      <c r="VMZ104" s="3"/>
      <c r="VNA104" s="3"/>
      <c r="VNB104" s="3"/>
      <c r="VNC104" s="3"/>
      <c r="VND104" s="3"/>
      <c r="VNE104" s="3"/>
      <c r="VNF104" s="3"/>
      <c r="VNG104" s="3"/>
      <c r="VNH104" s="3"/>
      <c r="VNI104" s="3"/>
      <c r="VNJ104" s="3"/>
      <c r="VNK104" s="3"/>
      <c r="VNL104" s="3"/>
      <c r="VNM104" s="3"/>
      <c r="VNN104" s="3"/>
      <c r="VNO104" s="3"/>
      <c r="VNP104" s="3"/>
      <c r="VNQ104" s="3"/>
      <c r="VNR104" s="3"/>
      <c r="VNS104" s="3"/>
      <c r="VNT104" s="3"/>
      <c r="VNU104" s="3"/>
      <c r="VNV104" s="3"/>
      <c r="VNW104" s="3"/>
      <c r="VNX104" s="3"/>
      <c r="VNY104" s="3"/>
      <c r="VNZ104" s="3"/>
      <c r="VOA104" s="3"/>
      <c r="VOB104" s="3"/>
      <c r="VOC104" s="3"/>
      <c r="VOD104" s="3"/>
      <c r="VOE104" s="3"/>
      <c r="VOF104" s="3"/>
      <c r="VOG104" s="3"/>
      <c r="VOH104" s="3"/>
      <c r="VOI104" s="3"/>
      <c r="VOJ104" s="3"/>
      <c r="VOK104" s="3"/>
      <c r="VOL104" s="3"/>
      <c r="VOM104" s="3"/>
      <c r="VON104" s="3"/>
      <c r="VOO104" s="3"/>
      <c r="VOP104" s="3"/>
      <c r="VOQ104" s="3"/>
      <c r="VOR104" s="3"/>
      <c r="VOS104" s="3"/>
      <c r="VOT104" s="3"/>
      <c r="VOU104" s="3"/>
      <c r="VOV104" s="3"/>
      <c r="VOW104" s="3"/>
      <c r="VOX104" s="3"/>
      <c r="VOY104" s="3"/>
      <c r="VOZ104" s="3"/>
      <c r="VPA104" s="3"/>
      <c r="VPB104" s="3"/>
      <c r="VPC104" s="3"/>
      <c r="VPD104" s="3"/>
      <c r="VPE104" s="3"/>
      <c r="VPF104" s="3"/>
      <c r="VPG104" s="3"/>
      <c r="VPH104" s="3"/>
      <c r="VPI104" s="3"/>
      <c r="VPJ104" s="3"/>
      <c r="VPK104" s="3"/>
      <c r="VPL104" s="3"/>
      <c r="VPM104" s="3"/>
      <c r="VPN104" s="3"/>
      <c r="VPO104" s="3"/>
      <c r="VPP104" s="3"/>
      <c r="VPQ104" s="3"/>
      <c r="VPR104" s="3"/>
      <c r="VPS104" s="3"/>
      <c r="VPT104" s="3"/>
      <c r="VPU104" s="3"/>
      <c r="VPV104" s="3"/>
      <c r="VPW104" s="3"/>
      <c r="VPX104" s="3"/>
      <c r="VPY104" s="3"/>
      <c r="VPZ104" s="3"/>
      <c r="VQA104" s="3"/>
      <c r="VQB104" s="3"/>
      <c r="VQC104" s="3"/>
      <c r="VQD104" s="3"/>
      <c r="VQE104" s="3"/>
      <c r="VQF104" s="3"/>
      <c r="VQG104" s="3"/>
      <c r="VQH104" s="3"/>
      <c r="VQI104" s="3"/>
      <c r="VQJ104" s="3"/>
      <c r="VQK104" s="3"/>
      <c r="VQL104" s="3"/>
      <c r="VQM104" s="3"/>
      <c r="VQN104" s="3"/>
      <c r="VQO104" s="3"/>
      <c r="VQP104" s="3"/>
      <c r="VQQ104" s="3"/>
      <c r="VQR104" s="3"/>
      <c r="VQS104" s="3"/>
      <c r="VQT104" s="3"/>
      <c r="VQU104" s="3"/>
      <c r="VQV104" s="3"/>
      <c r="VQW104" s="3"/>
      <c r="VQX104" s="3"/>
      <c r="VQY104" s="3"/>
      <c r="VQZ104" s="3"/>
      <c r="VRA104" s="3"/>
      <c r="VRB104" s="3"/>
      <c r="VRC104" s="3"/>
      <c r="VRD104" s="3"/>
      <c r="VRE104" s="3"/>
      <c r="VRF104" s="3"/>
      <c r="VRG104" s="3"/>
      <c r="VRH104" s="3"/>
      <c r="VRI104" s="3"/>
      <c r="VRJ104" s="3"/>
      <c r="VRK104" s="3"/>
      <c r="VRL104" s="3"/>
      <c r="VRM104" s="3"/>
      <c r="VRN104" s="3"/>
      <c r="VRO104" s="3"/>
      <c r="VRP104" s="3"/>
      <c r="VRQ104" s="3"/>
      <c r="VRR104" s="3"/>
      <c r="VRS104" s="3"/>
      <c r="VRT104" s="3"/>
      <c r="VRU104" s="3"/>
      <c r="VRV104" s="3"/>
      <c r="VRW104" s="3"/>
      <c r="VRX104" s="3"/>
      <c r="VRY104" s="3"/>
      <c r="VRZ104" s="3"/>
      <c r="VSA104" s="3"/>
      <c r="VSB104" s="3"/>
      <c r="VSC104" s="3"/>
      <c r="VSD104" s="3"/>
      <c r="VSE104" s="3"/>
      <c r="VSF104" s="3"/>
      <c r="VSG104" s="3"/>
      <c r="VSH104" s="3"/>
      <c r="VSI104" s="3"/>
      <c r="VSJ104" s="3"/>
      <c r="VSK104" s="3"/>
      <c r="VSL104" s="3"/>
      <c r="VSM104" s="3"/>
      <c r="VSN104" s="3"/>
      <c r="VSO104" s="3"/>
      <c r="VSP104" s="3"/>
      <c r="VSQ104" s="3"/>
      <c r="VSR104" s="3"/>
      <c r="VSS104" s="3"/>
      <c r="VST104" s="3"/>
      <c r="VSU104" s="3"/>
      <c r="VSV104" s="3"/>
      <c r="VSW104" s="3"/>
      <c r="VSX104" s="3"/>
      <c r="VSY104" s="3"/>
      <c r="VSZ104" s="3"/>
      <c r="VTA104" s="3"/>
      <c r="VTB104" s="3"/>
      <c r="VTC104" s="3"/>
      <c r="VTD104" s="3"/>
      <c r="VTE104" s="3"/>
      <c r="VTF104" s="3"/>
      <c r="VTG104" s="3"/>
      <c r="VTH104" s="3"/>
      <c r="VTI104" s="3"/>
      <c r="VTJ104" s="3"/>
      <c r="VTK104" s="3"/>
      <c r="VTL104" s="3"/>
      <c r="VTM104" s="3"/>
      <c r="VTN104" s="3"/>
      <c r="VTO104" s="3"/>
      <c r="VTP104" s="3"/>
      <c r="VTQ104" s="3"/>
      <c r="VTR104" s="3"/>
      <c r="VTS104" s="3"/>
      <c r="VTT104" s="3"/>
      <c r="VTU104" s="3"/>
      <c r="VTV104" s="3"/>
      <c r="VTW104" s="3"/>
      <c r="VTX104" s="3"/>
      <c r="VTY104" s="3"/>
      <c r="VTZ104" s="3"/>
      <c r="VUA104" s="3"/>
      <c r="VUB104" s="3"/>
      <c r="VUC104" s="3"/>
      <c r="VUD104" s="3"/>
      <c r="VUE104" s="3"/>
      <c r="VUF104" s="3"/>
      <c r="VUG104" s="3"/>
      <c r="VUH104" s="3"/>
      <c r="VUI104" s="3"/>
      <c r="VUJ104" s="3"/>
      <c r="VUK104" s="3"/>
      <c r="VUL104" s="3"/>
      <c r="VUM104" s="3"/>
      <c r="VUN104" s="3"/>
      <c r="VUO104" s="3"/>
      <c r="VUP104" s="3"/>
      <c r="VUQ104" s="3"/>
      <c r="VUR104" s="3"/>
      <c r="VUS104" s="3"/>
      <c r="VUT104" s="3"/>
      <c r="VUU104" s="3"/>
      <c r="VUV104" s="3"/>
      <c r="VUW104" s="3"/>
      <c r="VUX104" s="3"/>
      <c r="VUY104" s="3"/>
      <c r="VUZ104" s="3"/>
      <c r="VVA104" s="3"/>
      <c r="VVB104" s="3"/>
      <c r="VVC104" s="3"/>
      <c r="VVD104" s="3"/>
      <c r="VVE104" s="3"/>
      <c r="VVF104" s="3"/>
      <c r="VVG104" s="3"/>
      <c r="VVH104" s="3"/>
      <c r="VVI104" s="3"/>
      <c r="VVJ104" s="3"/>
      <c r="VVK104" s="3"/>
      <c r="VVL104" s="3"/>
      <c r="VVM104" s="3"/>
      <c r="VVN104" s="3"/>
      <c r="VVO104" s="3"/>
      <c r="VVP104" s="3"/>
      <c r="VVQ104" s="3"/>
      <c r="VVR104" s="3"/>
      <c r="VVS104" s="3"/>
      <c r="VVT104" s="3"/>
      <c r="VVU104" s="3"/>
      <c r="VVV104" s="3"/>
      <c r="VVW104" s="3"/>
      <c r="VVX104" s="3"/>
      <c r="VVY104" s="3"/>
      <c r="VVZ104" s="3"/>
      <c r="VWA104" s="3"/>
      <c r="VWB104" s="3"/>
      <c r="VWC104" s="3"/>
      <c r="VWD104" s="3"/>
      <c r="VWE104" s="3"/>
      <c r="VWF104" s="3"/>
      <c r="VWG104" s="3"/>
      <c r="VWH104" s="3"/>
      <c r="VWI104" s="3"/>
      <c r="VWJ104" s="3"/>
      <c r="VWK104" s="3"/>
      <c r="VWL104" s="3"/>
      <c r="VWM104" s="3"/>
      <c r="VWN104" s="3"/>
      <c r="VWO104" s="3"/>
      <c r="VWP104" s="3"/>
      <c r="VWQ104" s="3"/>
      <c r="VWR104" s="3"/>
      <c r="VWS104" s="3"/>
      <c r="VWT104" s="3"/>
      <c r="VWU104" s="3"/>
      <c r="VWV104" s="3"/>
      <c r="VWW104" s="3"/>
      <c r="VWX104" s="3"/>
      <c r="VWY104" s="3"/>
      <c r="VWZ104" s="3"/>
      <c r="VXA104" s="3"/>
      <c r="VXB104" s="3"/>
      <c r="VXC104" s="3"/>
      <c r="VXD104" s="3"/>
      <c r="VXE104" s="3"/>
      <c r="VXF104" s="3"/>
      <c r="VXG104" s="3"/>
      <c r="VXH104" s="3"/>
      <c r="VXI104" s="3"/>
      <c r="VXJ104" s="3"/>
      <c r="VXK104" s="3"/>
      <c r="VXL104" s="3"/>
      <c r="VXM104" s="3"/>
      <c r="VXN104" s="3"/>
      <c r="VXO104" s="3"/>
      <c r="VXP104" s="3"/>
      <c r="VXQ104" s="3"/>
      <c r="VXR104" s="3"/>
      <c r="VXS104" s="3"/>
      <c r="VXT104" s="3"/>
      <c r="VXU104" s="3"/>
      <c r="VXV104" s="3"/>
      <c r="VXW104" s="3"/>
      <c r="VXX104" s="3"/>
      <c r="VXY104" s="3"/>
      <c r="VXZ104" s="3"/>
      <c r="VYA104" s="3"/>
      <c r="VYB104" s="3"/>
      <c r="VYC104" s="3"/>
      <c r="VYD104" s="3"/>
      <c r="VYE104" s="3"/>
      <c r="VYF104" s="3"/>
      <c r="VYG104" s="3"/>
      <c r="VYH104" s="3"/>
      <c r="VYI104" s="3"/>
      <c r="VYJ104" s="3"/>
      <c r="VYK104" s="3"/>
      <c r="VYL104" s="3"/>
      <c r="VYM104" s="3"/>
      <c r="VYN104" s="3"/>
      <c r="VYO104" s="3"/>
      <c r="VYP104" s="3"/>
      <c r="VYQ104" s="3"/>
      <c r="VYR104" s="3"/>
      <c r="VYS104" s="3"/>
      <c r="VYT104" s="3"/>
      <c r="VYU104" s="3"/>
      <c r="VYV104" s="3"/>
      <c r="VYW104" s="3"/>
      <c r="VYX104" s="3"/>
      <c r="VYY104" s="3"/>
      <c r="VYZ104" s="3"/>
      <c r="VZA104" s="3"/>
      <c r="VZB104" s="3"/>
      <c r="VZC104" s="3"/>
      <c r="VZD104" s="3"/>
      <c r="VZE104" s="3"/>
      <c r="VZF104" s="3"/>
      <c r="VZG104" s="3"/>
      <c r="VZH104" s="3"/>
      <c r="VZI104" s="3"/>
      <c r="VZJ104" s="3"/>
      <c r="VZK104" s="3"/>
      <c r="VZL104" s="3"/>
      <c r="VZM104" s="3"/>
      <c r="VZN104" s="3"/>
      <c r="VZO104" s="3"/>
      <c r="VZP104" s="3"/>
      <c r="VZQ104" s="3"/>
      <c r="VZR104" s="3"/>
      <c r="VZS104" s="3"/>
      <c r="VZT104" s="3"/>
      <c r="VZU104" s="3"/>
      <c r="VZV104" s="3"/>
      <c r="VZW104" s="3"/>
      <c r="VZX104" s="3"/>
      <c r="VZY104" s="3"/>
      <c r="VZZ104" s="3"/>
      <c r="WAA104" s="3"/>
      <c r="WAB104" s="3"/>
      <c r="WAC104" s="3"/>
      <c r="WAD104" s="3"/>
      <c r="WAE104" s="3"/>
      <c r="WAF104" s="3"/>
      <c r="WAG104" s="3"/>
      <c r="WAH104" s="3"/>
      <c r="WAI104" s="3"/>
      <c r="WAJ104" s="3"/>
      <c r="WAK104" s="3"/>
      <c r="WAL104" s="3"/>
      <c r="WAM104" s="3"/>
      <c r="WAN104" s="3"/>
      <c r="WAO104" s="3"/>
      <c r="WAP104" s="3"/>
      <c r="WAQ104" s="3"/>
      <c r="WAR104" s="3"/>
      <c r="WAS104" s="3"/>
      <c r="WAT104" s="3"/>
      <c r="WAU104" s="3"/>
      <c r="WAV104" s="3"/>
      <c r="WAW104" s="3"/>
      <c r="WAX104" s="3"/>
      <c r="WAY104" s="3"/>
      <c r="WAZ104" s="3"/>
      <c r="WBA104" s="3"/>
      <c r="WBB104" s="3"/>
      <c r="WBC104" s="3"/>
      <c r="WBD104" s="3"/>
      <c r="WBE104" s="3"/>
      <c r="WBF104" s="3"/>
      <c r="WBG104" s="3"/>
      <c r="WBH104" s="3"/>
      <c r="WBI104" s="3"/>
      <c r="WBJ104" s="3"/>
      <c r="WBK104" s="3"/>
      <c r="WBL104" s="3"/>
      <c r="WBM104" s="3"/>
      <c r="WBN104" s="3"/>
      <c r="WBO104" s="3"/>
      <c r="WBP104" s="3"/>
      <c r="WBQ104" s="3"/>
      <c r="WBR104" s="3"/>
      <c r="WBS104" s="3"/>
      <c r="WBT104" s="3"/>
      <c r="WBU104" s="3"/>
      <c r="WBV104" s="3"/>
      <c r="WBW104" s="3"/>
      <c r="WBX104" s="3"/>
      <c r="WBY104" s="3"/>
      <c r="WBZ104" s="3"/>
      <c r="WCA104" s="3"/>
      <c r="WCB104" s="3"/>
      <c r="WCC104" s="3"/>
      <c r="WCD104" s="3"/>
      <c r="WCE104" s="3"/>
      <c r="WCF104" s="3"/>
      <c r="WCG104" s="3"/>
      <c r="WCH104" s="3"/>
      <c r="WCI104" s="3"/>
      <c r="WCJ104" s="3"/>
      <c r="WCK104" s="3"/>
      <c r="WCL104" s="3"/>
      <c r="WCM104" s="3"/>
      <c r="WCN104" s="3"/>
      <c r="WCO104" s="3"/>
      <c r="WCP104" s="3"/>
      <c r="WCQ104" s="3"/>
      <c r="WCR104" s="3"/>
      <c r="WCS104" s="3"/>
      <c r="WCT104" s="3"/>
      <c r="WCU104" s="3"/>
      <c r="WCV104" s="3"/>
      <c r="WCW104" s="3"/>
      <c r="WCX104" s="3"/>
      <c r="WCY104" s="3"/>
      <c r="WCZ104" s="3"/>
      <c r="WDA104" s="3"/>
      <c r="WDB104" s="3"/>
      <c r="WDC104" s="3"/>
      <c r="WDD104" s="3"/>
      <c r="WDE104" s="3"/>
      <c r="WDF104" s="3"/>
      <c r="WDG104" s="3"/>
      <c r="WDH104" s="3"/>
      <c r="WDI104" s="3"/>
      <c r="WDJ104" s="3"/>
      <c r="WDK104" s="3"/>
      <c r="WDL104" s="3"/>
      <c r="WDM104" s="3"/>
      <c r="WDN104" s="3"/>
      <c r="WDO104" s="3"/>
      <c r="WDP104" s="3"/>
      <c r="WDQ104" s="3"/>
      <c r="WDR104" s="3"/>
      <c r="WDS104" s="3"/>
      <c r="WDT104" s="3"/>
      <c r="WDU104" s="3"/>
      <c r="WDV104" s="3"/>
      <c r="WDW104" s="3"/>
      <c r="WDX104" s="3"/>
      <c r="WDY104" s="3"/>
      <c r="WDZ104" s="3"/>
      <c r="WEA104" s="3"/>
      <c r="WEB104" s="3"/>
      <c r="WEC104" s="3"/>
      <c r="WED104" s="3"/>
      <c r="WEE104" s="3"/>
      <c r="WEF104" s="3"/>
      <c r="WEG104" s="3"/>
      <c r="WEH104" s="3"/>
      <c r="WEI104" s="3"/>
      <c r="WEJ104" s="3"/>
      <c r="WEK104" s="3"/>
      <c r="WEL104" s="3"/>
      <c r="WEM104" s="3"/>
      <c r="WEN104" s="3"/>
      <c r="WEO104" s="3"/>
      <c r="WEP104" s="3"/>
      <c r="WEQ104" s="3"/>
      <c r="WER104" s="3"/>
      <c r="WES104" s="3"/>
      <c r="WET104" s="3"/>
      <c r="WEU104" s="3"/>
      <c r="WEV104" s="3"/>
      <c r="WEW104" s="3"/>
      <c r="WEX104" s="3"/>
      <c r="WEY104" s="3"/>
      <c r="WEZ104" s="3"/>
      <c r="WFA104" s="3"/>
      <c r="WFB104" s="3"/>
      <c r="WFC104" s="3"/>
      <c r="WFD104" s="3"/>
      <c r="WFE104" s="3"/>
      <c r="WFF104" s="3"/>
      <c r="WFG104" s="3"/>
      <c r="WFH104" s="3"/>
      <c r="WFI104" s="3"/>
      <c r="WFJ104" s="3"/>
      <c r="WFK104" s="3"/>
      <c r="WFL104" s="3"/>
      <c r="WFM104" s="3"/>
      <c r="WFN104" s="3"/>
      <c r="WFO104" s="3"/>
      <c r="WFP104" s="3"/>
      <c r="WFQ104" s="3"/>
      <c r="WFR104" s="3"/>
      <c r="WFS104" s="3"/>
      <c r="WFT104" s="3"/>
      <c r="WFU104" s="3"/>
      <c r="WFV104" s="3"/>
      <c r="WFW104" s="3"/>
      <c r="WFX104" s="3"/>
      <c r="WFY104" s="3"/>
      <c r="WFZ104" s="3"/>
      <c r="WGA104" s="3"/>
      <c r="WGB104" s="3"/>
      <c r="WGC104" s="3"/>
      <c r="WGD104" s="3"/>
      <c r="WGE104" s="3"/>
      <c r="WGF104" s="3"/>
      <c r="WGG104" s="3"/>
      <c r="WGH104" s="3"/>
      <c r="WGI104" s="3"/>
      <c r="WGJ104" s="3"/>
      <c r="WGK104" s="3"/>
      <c r="WGL104" s="3"/>
      <c r="WGM104" s="3"/>
      <c r="WGN104" s="3"/>
      <c r="WGO104" s="3"/>
      <c r="WGP104" s="3"/>
      <c r="WGQ104" s="3"/>
      <c r="WGR104" s="3"/>
      <c r="WGS104" s="3"/>
      <c r="WGT104" s="3"/>
      <c r="WGU104" s="3"/>
      <c r="WGV104" s="3"/>
      <c r="WGW104" s="3"/>
      <c r="WGX104" s="3"/>
      <c r="WGY104" s="3"/>
      <c r="WGZ104" s="3"/>
      <c r="WHA104" s="3"/>
      <c r="WHB104" s="3"/>
      <c r="WHC104" s="3"/>
      <c r="WHD104" s="3"/>
      <c r="WHE104" s="3"/>
      <c r="WHF104" s="3"/>
      <c r="WHG104" s="3"/>
      <c r="WHH104" s="3"/>
      <c r="WHI104" s="3"/>
      <c r="WHJ104" s="3"/>
      <c r="WHK104" s="3"/>
      <c r="WHL104" s="3"/>
      <c r="WHM104" s="3"/>
      <c r="WHN104" s="3"/>
      <c r="WHO104" s="3"/>
      <c r="WHP104" s="3"/>
      <c r="WHQ104" s="3"/>
      <c r="WHR104" s="3"/>
      <c r="WHS104" s="3"/>
      <c r="WHT104" s="3"/>
      <c r="WHU104" s="3"/>
      <c r="WHV104" s="3"/>
      <c r="WHW104" s="3"/>
      <c r="WHX104" s="3"/>
      <c r="WHY104" s="3"/>
      <c r="WHZ104" s="3"/>
      <c r="WIA104" s="3"/>
      <c r="WIB104" s="3"/>
      <c r="WIC104" s="3"/>
      <c r="WID104" s="3"/>
      <c r="WIE104" s="3"/>
      <c r="WIF104" s="3"/>
      <c r="WIG104" s="3"/>
      <c r="WIH104" s="3"/>
      <c r="WII104" s="3"/>
      <c r="WIJ104" s="3"/>
      <c r="WIK104" s="3"/>
      <c r="WIL104" s="3"/>
      <c r="WIM104" s="3"/>
      <c r="WIN104" s="3"/>
      <c r="WIO104" s="3"/>
      <c r="WIP104" s="3"/>
      <c r="WIQ104" s="3"/>
      <c r="WIR104" s="3"/>
      <c r="WIS104" s="3"/>
      <c r="WIT104" s="3"/>
      <c r="WIU104" s="3"/>
      <c r="WIV104" s="3"/>
      <c r="WIW104" s="3"/>
      <c r="WIX104" s="3"/>
      <c r="WIY104" s="3"/>
      <c r="WIZ104" s="3"/>
      <c r="WJA104" s="3"/>
      <c r="WJB104" s="3"/>
      <c r="WJC104" s="3"/>
      <c r="WJD104" s="3"/>
      <c r="WJE104" s="3"/>
      <c r="WJF104" s="3"/>
      <c r="WJG104" s="3"/>
      <c r="WJH104" s="3"/>
      <c r="WJI104" s="3"/>
      <c r="WJJ104" s="3"/>
      <c r="WJK104" s="3"/>
      <c r="WJL104" s="3"/>
      <c r="WJM104" s="3"/>
      <c r="WJN104" s="3"/>
      <c r="WJO104" s="3"/>
      <c r="WJP104" s="3"/>
      <c r="WJQ104" s="3"/>
      <c r="WJR104" s="3"/>
      <c r="WJS104" s="3"/>
      <c r="WJT104" s="3"/>
      <c r="WJU104" s="3"/>
      <c r="WJV104" s="3"/>
      <c r="WJW104" s="3"/>
      <c r="WJX104" s="3"/>
      <c r="WJY104" s="3"/>
      <c r="WJZ104" s="3"/>
      <c r="WKA104" s="3"/>
      <c r="WKB104" s="3"/>
      <c r="WKC104" s="3"/>
      <c r="WKD104" s="3"/>
      <c r="WKE104" s="3"/>
      <c r="WKF104" s="3"/>
      <c r="WKG104" s="3"/>
      <c r="WKH104" s="3"/>
      <c r="WKI104" s="3"/>
      <c r="WKJ104" s="3"/>
      <c r="WKK104" s="3"/>
      <c r="WKL104" s="3"/>
      <c r="WKM104" s="3"/>
      <c r="WKN104" s="3"/>
      <c r="WKO104" s="3"/>
      <c r="WKP104" s="3"/>
      <c r="WKQ104" s="3"/>
      <c r="WKR104" s="3"/>
      <c r="WKS104" s="3"/>
      <c r="WKT104" s="3"/>
      <c r="WKU104" s="3"/>
      <c r="WKV104" s="3"/>
      <c r="WKW104" s="3"/>
      <c r="WKX104" s="3"/>
      <c r="WKY104" s="3"/>
      <c r="WKZ104" s="3"/>
      <c r="WLA104" s="3"/>
      <c r="WLB104" s="3"/>
      <c r="WLC104" s="3"/>
      <c r="WLD104" s="3"/>
      <c r="WLE104" s="3"/>
      <c r="WLF104" s="3"/>
      <c r="WLG104" s="3"/>
      <c r="WLH104" s="3"/>
      <c r="WLI104" s="3"/>
      <c r="WLJ104" s="3"/>
      <c r="WLK104" s="3"/>
      <c r="WLL104" s="3"/>
      <c r="WLM104" s="3"/>
      <c r="WLN104" s="3"/>
      <c r="WLO104" s="3"/>
      <c r="WLP104" s="3"/>
      <c r="WLQ104" s="3"/>
      <c r="WLR104" s="3"/>
      <c r="WLS104" s="3"/>
      <c r="WLT104" s="3"/>
      <c r="WLU104" s="3"/>
      <c r="WLV104" s="3"/>
      <c r="WLW104" s="3"/>
      <c r="WLX104" s="3"/>
      <c r="WLY104" s="3"/>
      <c r="WLZ104" s="3"/>
      <c r="WMA104" s="3"/>
      <c r="WMB104" s="3"/>
      <c r="WMC104" s="3"/>
      <c r="WMD104" s="3"/>
      <c r="WME104" s="3"/>
      <c r="WMF104" s="3"/>
      <c r="WMG104" s="3"/>
      <c r="WMH104" s="3"/>
      <c r="WMI104" s="3"/>
      <c r="WMJ104" s="3"/>
      <c r="WMK104" s="3"/>
      <c r="WML104" s="3"/>
      <c r="WMM104" s="3"/>
      <c r="WMN104" s="3"/>
      <c r="WMO104" s="3"/>
      <c r="WMP104" s="3"/>
      <c r="WMQ104" s="3"/>
      <c r="WMR104" s="3"/>
      <c r="WMS104" s="3"/>
      <c r="WMT104" s="3"/>
      <c r="WMU104" s="3"/>
      <c r="WMV104" s="3"/>
      <c r="WMW104" s="3"/>
      <c r="WMX104" s="3"/>
      <c r="WMY104" s="3"/>
      <c r="WMZ104" s="3"/>
      <c r="WNA104" s="3"/>
      <c r="WNB104" s="3"/>
      <c r="WNC104" s="3"/>
      <c r="WND104" s="3"/>
      <c r="WNE104" s="3"/>
      <c r="WNF104" s="3"/>
      <c r="WNG104" s="3"/>
      <c r="WNH104" s="3"/>
      <c r="WNI104" s="3"/>
      <c r="WNJ104" s="3"/>
      <c r="WNK104" s="3"/>
      <c r="WNL104" s="3"/>
      <c r="WNM104" s="3"/>
      <c r="WNN104" s="3"/>
      <c r="WNO104" s="3"/>
      <c r="WNP104" s="3"/>
      <c r="WNQ104" s="3"/>
      <c r="WNR104" s="3"/>
      <c r="WNS104" s="3"/>
      <c r="WNT104" s="3"/>
      <c r="WNU104" s="3"/>
      <c r="WNV104" s="3"/>
      <c r="WNW104" s="3"/>
      <c r="WNX104" s="3"/>
      <c r="WNY104" s="3"/>
      <c r="WNZ104" s="3"/>
      <c r="WOA104" s="3"/>
      <c r="WOB104" s="3"/>
      <c r="WOC104" s="3"/>
      <c r="WOD104" s="3"/>
      <c r="WOE104" s="3"/>
      <c r="WOF104" s="3"/>
      <c r="WOG104" s="3"/>
      <c r="WOH104" s="3"/>
      <c r="WOI104" s="3"/>
      <c r="WOJ104" s="3"/>
      <c r="WOK104" s="3"/>
      <c r="WOL104" s="3"/>
      <c r="WOM104" s="3"/>
      <c r="WON104" s="3"/>
      <c r="WOO104" s="3"/>
      <c r="WOP104" s="3"/>
      <c r="WOQ104" s="3"/>
      <c r="WOR104" s="3"/>
      <c r="WOS104" s="3"/>
      <c r="WOT104" s="3"/>
      <c r="WOU104" s="3"/>
      <c r="WOV104" s="3"/>
      <c r="WOW104" s="3"/>
      <c r="WOX104" s="3"/>
      <c r="WOY104" s="3"/>
      <c r="WOZ104" s="3"/>
      <c r="WPA104" s="3"/>
      <c r="WPB104" s="3"/>
      <c r="WPC104" s="3"/>
      <c r="WPD104" s="3"/>
      <c r="WPE104" s="3"/>
      <c r="WPF104" s="3"/>
      <c r="WPG104" s="3"/>
      <c r="WPH104" s="3"/>
      <c r="WPI104" s="3"/>
      <c r="WPJ104" s="3"/>
      <c r="WPK104" s="3"/>
      <c r="WPL104" s="3"/>
      <c r="WPM104" s="3"/>
      <c r="WPN104" s="3"/>
      <c r="WPO104" s="3"/>
      <c r="WPP104" s="3"/>
      <c r="WPQ104" s="3"/>
      <c r="WPR104" s="3"/>
      <c r="WPS104" s="3"/>
      <c r="WPT104" s="3"/>
      <c r="WPU104" s="3"/>
      <c r="WPV104" s="3"/>
      <c r="WPW104" s="3"/>
      <c r="WPX104" s="3"/>
      <c r="WPY104" s="3"/>
      <c r="WPZ104" s="3"/>
      <c r="WQA104" s="3"/>
      <c r="WQB104" s="3"/>
      <c r="WQC104" s="3"/>
      <c r="WQD104" s="3"/>
      <c r="WQE104" s="3"/>
      <c r="WQF104" s="3"/>
      <c r="WQG104" s="3"/>
      <c r="WQH104" s="3"/>
      <c r="WQI104" s="3"/>
      <c r="WQJ104" s="3"/>
      <c r="WQK104" s="3"/>
      <c r="WQL104" s="3"/>
      <c r="WQM104" s="3"/>
      <c r="WQN104" s="3"/>
      <c r="WQO104" s="3"/>
      <c r="WQP104" s="3"/>
      <c r="WQQ104" s="3"/>
      <c r="WQR104" s="3"/>
      <c r="WQS104" s="3"/>
      <c r="WQT104" s="3"/>
      <c r="WQU104" s="3"/>
      <c r="WQV104" s="3"/>
      <c r="WQW104" s="3"/>
      <c r="WQX104" s="3"/>
      <c r="WQY104" s="3"/>
      <c r="WQZ104" s="3"/>
      <c r="WRA104" s="3"/>
      <c r="WRB104" s="3"/>
      <c r="WRC104" s="3"/>
      <c r="WRD104" s="3"/>
      <c r="WRE104" s="3"/>
      <c r="WRF104" s="3"/>
      <c r="WRG104" s="3"/>
      <c r="WRH104" s="3"/>
      <c r="WRI104" s="3"/>
      <c r="WRJ104" s="3"/>
      <c r="WRK104" s="3"/>
      <c r="WRL104" s="3"/>
      <c r="WRM104" s="3"/>
      <c r="WRN104" s="3"/>
      <c r="WRO104" s="3"/>
      <c r="WRP104" s="3"/>
      <c r="WRQ104" s="3"/>
      <c r="WRR104" s="3"/>
      <c r="WRS104" s="3"/>
      <c r="WRT104" s="3"/>
      <c r="WRU104" s="3"/>
      <c r="WRV104" s="3"/>
      <c r="WRW104" s="3"/>
      <c r="WRX104" s="3"/>
      <c r="WRY104" s="3"/>
      <c r="WRZ104" s="3"/>
      <c r="WSA104" s="3"/>
      <c r="WSB104" s="3"/>
      <c r="WSC104" s="3"/>
      <c r="WSD104" s="3"/>
      <c r="WSE104" s="3"/>
      <c r="WSF104" s="3"/>
      <c r="WSG104" s="3"/>
      <c r="WSH104" s="3"/>
      <c r="WSI104" s="3"/>
      <c r="WSJ104" s="3"/>
      <c r="WSK104" s="3"/>
      <c r="WSL104" s="3"/>
      <c r="WSM104" s="3"/>
      <c r="WSN104" s="3"/>
      <c r="WSO104" s="3"/>
      <c r="WSP104" s="3"/>
      <c r="WSQ104" s="3"/>
      <c r="WSR104" s="3"/>
      <c r="WSS104" s="3"/>
      <c r="WST104" s="3"/>
      <c r="WSU104" s="3"/>
      <c r="WSV104" s="3"/>
      <c r="WSW104" s="3"/>
      <c r="WSX104" s="3"/>
      <c r="WSY104" s="3"/>
      <c r="WSZ104" s="3"/>
      <c r="WTA104" s="3"/>
      <c r="WTB104" s="3"/>
      <c r="WTC104" s="3"/>
      <c r="WTD104" s="3"/>
      <c r="WTE104" s="3"/>
      <c r="WTF104" s="3"/>
      <c r="WTG104" s="3"/>
      <c r="WTH104" s="3"/>
      <c r="WTI104" s="3"/>
      <c r="WTJ104" s="3"/>
      <c r="WTK104" s="3"/>
      <c r="WTL104" s="3"/>
      <c r="WTM104" s="3"/>
      <c r="WTN104" s="3"/>
      <c r="WTO104" s="3"/>
      <c r="WTP104" s="3"/>
      <c r="WTQ104" s="3"/>
      <c r="WTR104" s="3"/>
      <c r="WTS104" s="3"/>
      <c r="WTT104" s="3"/>
      <c r="WTU104" s="3"/>
      <c r="WTV104" s="3"/>
      <c r="WTW104" s="3"/>
      <c r="WTX104" s="3"/>
      <c r="WTY104" s="3"/>
      <c r="WTZ104" s="3"/>
      <c r="WUA104" s="3"/>
      <c r="WUB104" s="3"/>
      <c r="WUC104" s="3"/>
      <c r="WUD104" s="3"/>
      <c r="WUE104" s="3"/>
      <c r="WUF104" s="3"/>
      <c r="WUG104" s="3"/>
      <c r="WUH104" s="3"/>
      <c r="WUI104" s="3"/>
      <c r="WUJ104" s="3"/>
      <c r="WUK104" s="3"/>
      <c r="WUL104" s="3"/>
      <c r="WUM104" s="3"/>
      <c r="WUN104" s="3"/>
      <c r="WUO104" s="3"/>
      <c r="WUP104" s="3"/>
      <c r="WUQ104" s="3"/>
      <c r="WUR104" s="3"/>
      <c r="WUS104" s="3"/>
      <c r="WUT104" s="3"/>
      <c r="WUU104" s="3"/>
      <c r="WUV104" s="3"/>
      <c r="WUW104" s="3"/>
      <c r="WUX104" s="3"/>
      <c r="WUY104" s="3"/>
      <c r="WUZ104" s="3"/>
      <c r="WVA104" s="3"/>
      <c r="WVB104" s="3"/>
      <c r="WVC104" s="3"/>
      <c r="WVD104" s="3"/>
      <c r="WVE104" s="3"/>
      <c r="WVF104" s="3"/>
      <c r="WVG104" s="3"/>
      <c r="WVH104" s="3"/>
      <c r="WVI104" s="3"/>
      <c r="WVJ104" s="3"/>
      <c r="WVK104" s="3"/>
      <c r="WVL104" s="3"/>
      <c r="WVM104" s="3"/>
      <c r="WVN104" s="3"/>
      <c r="WVO104" s="3"/>
      <c r="WVP104" s="3"/>
      <c r="WVQ104" s="3"/>
      <c r="WVR104" s="3"/>
      <c r="WVS104" s="3"/>
      <c r="WVT104" s="3"/>
      <c r="WVU104" s="3"/>
      <c r="WVV104" s="3"/>
      <c r="WVW104" s="3"/>
      <c r="WVX104" s="3"/>
      <c r="WVY104" s="3"/>
      <c r="WVZ104" s="3"/>
      <c r="WWA104" s="3"/>
      <c r="WWB104" s="3"/>
      <c r="WWC104" s="3"/>
      <c r="WWD104" s="3"/>
      <c r="WWE104" s="3"/>
      <c r="WWF104" s="3"/>
      <c r="WWG104" s="3"/>
      <c r="WWH104" s="3"/>
      <c r="WWI104" s="3"/>
      <c r="WWJ104" s="3"/>
      <c r="WWK104" s="3"/>
      <c r="WWL104" s="3"/>
      <c r="WWM104" s="3"/>
      <c r="WWN104" s="3"/>
      <c r="WWO104" s="3"/>
      <c r="WWP104" s="3"/>
      <c r="WWQ104" s="3"/>
      <c r="WWR104" s="3"/>
      <c r="WWS104" s="3"/>
      <c r="WWT104" s="3"/>
      <c r="WWU104" s="3"/>
      <c r="WWV104" s="3"/>
      <c r="WWW104" s="3"/>
      <c r="WWX104" s="3"/>
      <c r="WWY104" s="3"/>
      <c r="WWZ104" s="3"/>
      <c r="WXA104" s="3"/>
      <c r="WXB104" s="3"/>
      <c r="WXC104" s="3"/>
      <c r="WXD104" s="3"/>
      <c r="WXE104" s="3"/>
      <c r="WXF104" s="3"/>
      <c r="WXG104" s="3"/>
      <c r="WXH104" s="3"/>
      <c r="WXI104" s="3"/>
      <c r="WXJ104" s="3"/>
      <c r="WXK104" s="3"/>
      <c r="WXL104" s="3"/>
      <c r="WXM104" s="3"/>
      <c r="WXN104" s="3"/>
      <c r="WXO104" s="3"/>
      <c r="WXP104" s="3"/>
      <c r="WXQ104" s="3"/>
      <c r="WXR104" s="3"/>
      <c r="WXS104" s="3"/>
      <c r="WXT104" s="3"/>
      <c r="WXU104" s="3"/>
      <c r="WXV104" s="3"/>
      <c r="WXW104" s="3"/>
      <c r="WXX104" s="3"/>
      <c r="WXY104" s="3"/>
      <c r="WXZ104" s="3"/>
      <c r="WYA104" s="3"/>
      <c r="WYB104" s="3"/>
      <c r="WYC104" s="3"/>
      <c r="WYD104" s="3"/>
      <c r="WYE104" s="3"/>
      <c r="WYF104" s="3"/>
      <c r="WYG104" s="3"/>
      <c r="WYH104" s="3"/>
      <c r="WYI104" s="3"/>
      <c r="WYJ104" s="3"/>
      <c r="WYK104" s="3"/>
      <c r="WYL104" s="3"/>
      <c r="WYM104" s="3"/>
      <c r="WYN104" s="3"/>
      <c r="WYO104" s="3"/>
      <c r="WYP104" s="3"/>
      <c r="WYQ104" s="3"/>
      <c r="WYR104" s="3"/>
      <c r="WYS104" s="3"/>
      <c r="WYT104" s="3"/>
      <c r="WYU104" s="3"/>
      <c r="WYV104" s="3"/>
      <c r="WYW104" s="3"/>
      <c r="WYX104" s="3"/>
      <c r="WYY104" s="3"/>
      <c r="WYZ104" s="3"/>
      <c r="WZA104" s="3"/>
      <c r="WZB104" s="3"/>
      <c r="WZC104" s="3"/>
      <c r="WZD104" s="3"/>
      <c r="WZE104" s="3"/>
      <c r="WZF104" s="3"/>
      <c r="WZG104" s="3"/>
      <c r="WZH104" s="3"/>
      <c r="WZI104" s="3"/>
      <c r="WZJ104" s="3"/>
      <c r="WZK104" s="3"/>
      <c r="WZL104" s="3"/>
      <c r="WZM104" s="3"/>
      <c r="WZN104" s="3"/>
      <c r="WZO104" s="3"/>
      <c r="WZP104" s="3"/>
      <c r="WZQ104" s="3"/>
      <c r="WZR104" s="3"/>
      <c r="WZS104" s="3"/>
      <c r="WZT104" s="3"/>
      <c r="WZU104" s="3"/>
      <c r="WZV104" s="3"/>
      <c r="WZW104" s="3"/>
      <c r="WZX104" s="3"/>
      <c r="WZY104" s="3"/>
      <c r="WZZ104" s="3"/>
      <c r="XAA104" s="3"/>
      <c r="XAB104" s="3"/>
      <c r="XAC104" s="3"/>
      <c r="XAD104" s="3"/>
      <c r="XAE104" s="3"/>
      <c r="XAF104" s="3"/>
      <c r="XAG104" s="3"/>
      <c r="XAH104" s="3"/>
      <c r="XAI104" s="3"/>
      <c r="XAJ104" s="3"/>
      <c r="XAK104" s="3"/>
      <c r="XAL104" s="3"/>
      <c r="XAM104" s="3"/>
      <c r="XAN104" s="3"/>
      <c r="XAO104" s="3"/>
      <c r="XAP104" s="3"/>
      <c r="XAQ104" s="3"/>
      <c r="XAR104" s="3"/>
      <c r="XAS104" s="3"/>
      <c r="XAT104" s="3"/>
      <c r="XAU104" s="3"/>
      <c r="XAV104" s="3"/>
      <c r="XAW104" s="3"/>
      <c r="XAX104" s="3"/>
      <c r="XAY104" s="3"/>
      <c r="XAZ104" s="3"/>
      <c r="XBA104" s="3"/>
      <c r="XBB104" s="3"/>
      <c r="XBC104" s="3"/>
      <c r="XBD104" s="3"/>
      <c r="XBE104" s="3"/>
      <c r="XBF104" s="3"/>
      <c r="XBG104" s="3"/>
      <c r="XBH104" s="3"/>
      <c r="XBI104" s="3"/>
      <c r="XBJ104" s="3"/>
      <c r="XBK104" s="3"/>
      <c r="XBL104" s="3"/>
      <c r="XBM104" s="3"/>
      <c r="XBN104" s="3"/>
      <c r="XBO104" s="3"/>
      <c r="XBP104" s="3"/>
      <c r="XBQ104" s="3"/>
      <c r="XBR104" s="3"/>
      <c r="XBS104" s="3"/>
      <c r="XBT104" s="3"/>
      <c r="XBU104" s="3"/>
      <c r="XBV104" s="3"/>
      <c r="XBW104" s="3"/>
      <c r="XBX104" s="3"/>
      <c r="XBY104" s="3"/>
      <c r="XBZ104" s="3"/>
      <c r="XCA104" s="3"/>
      <c r="XCB104" s="3"/>
      <c r="XCC104" s="3"/>
      <c r="XCD104" s="3"/>
      <c r="XCE104" s="3"/>
      <c r="XCF104" s="3"/>
      <c r="XCG104" s="3"/>
      <c r="XCH104" s="3"/>
      <c r="XCI104" s="3"/>
      <c r="XCJ104" s="3"/>
      <c r="XCK104" s="3"/>
      <c r="XCL104" s="3"/>
      <c r="XCM104" s="3"/>
      <c r="XCN104" s="3"/>
      <c r="XCO104" s="3"/>
      <c r="XCP104" s="3"/>
      <c r="XCQ104" s="3"/>
      <c r="XCR104" s="3"/>
      <c r="XCS104" s="3"/>
      <c r="XCT104" s="3"/>
      <c r="XCU104" s="3"/>
      <c r="XCV104" s="3"/>
      <c r="XCW104" s="3"/>
      <c r="XCX104" s="3"/>
      <c r="XCY104" s="3"/>
      <c r="XCZ104" s="3"/>
      <c r="XDA104" s="3"/>
      <c r="XDB104" s="3"/>
      <c r="XDC104" s="3"/>
      <c r="XDD104" s="3"/>
      <c r="XDE104" s="3"/>
      <c r="XDF104" s="3"/>
      <c r="XDG104" s="3"/>
      <c r="XDH104" s="3"/>
      <c r="XDI104" s="3"/>
      <c r="XDJ104" s="3"/>
      <c r="XDK104" s="3"/>
      <c r="XDL104" s="3"/>
      <c r="XDM104" s="3"/>
      <c r="XDN104" s="3"/>
      <c r="XDO104" s="3"/>
      <c r="XDP104" s="3"/>
      <c r="XDQ104" s="3"/>
      <c r="XDR104" s="3"/>
      <c r="XDS104" s="3"/>
      <c r="XDT104" s="3"/>
      <c r="XDU104" s="3"/>
      <c r="XDV104" s="3"/>
      <c r="XDW104" s="3"/>
      <c r="XDX104" s="3"/>
      <c r="XDY104" s="3"/>
      <c r="XDZ104" s="3"/>
      <c r="XEA104" s="3"/>
      <c r="XEB104" s="3"/>
      <c r="XEC104" s="3"/>
      <c r="XED104" s="3"/>
      <c r="XEE104" s="3"/>
      <c r="XEF104" s="3"/>
      <c r="XEG104" s="3"/>
      <c r="XEH104" s="3"/>
      <c r="XEI104" s="3"/>
      <c r="XEJ104" s="3"/>
      <c r="XEK104" s="3"/>
      <c r="XEL104" s="3"/>
      <c r="XEM104" s="3"/>
      <c r="XEN104" s="3"/>
      <c r="XEO104" s="3"/>
      <c r="XEP104" s="3"/>
      <c r="XEQ104" s="3"/>
      <c r="XER104" s="3"/>
      <c r="XES104" s="3"/>
      <c r="XET104" s="3"/>
      <c r="XEU104" s="3"/>
      <c r="XEV104" s="3"/>
      <c r="XEW104" s="3"/>
      <c r="XEX104" s="3"/>
      <c r="XEY104" s="3"/>
      <c r="XEZ104" s="3"/>
      <c r="XFA104" s="3"/>
      <c r="XFB104" s="3"/>
      <c r="XFC104" s="3"/>
    </row>
    <row r="105" customHeight="1" spans="1:14">
      <c r="A105" s="25" t="s">
        <v>304</v>
      </c>
      <c r="B105" s="122" t="s">
        <v>542</v>
      </c>
      <c r="C105" s="122" t="s">
        <v>543</v>
      </c>
      <c r="D105" s="122" t="s">
        <v>544</v>
      </c>
      <c r="E105" s="122" t="s">
        <v>568</v>
      </c>
      <c r="F105" s="122" t="s">
        <v>546</v>
      </c>
      <c r="G105" s="122" t="s">
        <v>547</v>
      </c>
      <c r="H105" s="122" t="s">
        <v>548</v>
      </c>
      <c r="I105" s="122" t="s">
        <v>544</v>
      </c>
      <c r="J105" s="122">
        <v>100</v>
      </c>
      <c r="K105" s="122">
        <v>100</v>
      </c>
      <c r="L105" s="122" t="s">
        <v>549</v>
      </c>
      <c r="M105" s="122" t="s">
        <v>550</v>
      </c>
      <c r="N105" s="122" t="s">
        <v>551</v>
      </c>
    </row>
    <row r="106" s="31" customFormat="1" customHeight="1" spans="1:16383">
      <c r="A106" s="30"/>
      <c r="B106" s="1"/>
      <c r="C106" s="1"/>
      <c r="D106" s="1"/>
      <c r="E106" s="1"/>
      <c r="F106" s="28"/>
      <c r="G106" s="28"/>
      <c r="H106" s="1"/>
      <c r="I106" s="1"/>
      <c r="J106" s="28"/>
      <c r="K106" s="2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  <c r="AML106" s="1"/>
      <c r="AMM106" s="1"/>
      <c r="AMN106" s="1"/>
      <c r="AMO106" s="1"/>
      <c r="AMP106" s="1"/>
      <c r="AMQ106" s="1"/>
      <c r="AMR106" s="1"/>
      <c r="AMS106" s="1"/>
      <c r="AMT106" s="1"/>
      <c r="AMU106" s="1"/>
      <c r="AMV106" s="1"/>
      <c r="AMW106" s="1"/>
      <c r="AMX106" s="1"/>
      <c r="AMY106" s="1"/>
      <c r="AMZ106" s="1"/>
      <c r="ANA106" s="1"/>
      <c r="ANB106" s="1"/>
      <c r="ANC106" s="1"/>
      <c r="AND106" s="1"/>
      <c r="ANE106" s="1"/>
      <c r="ANF106" s="1"/>
      <c r="ANG106" s="1"/>
      <c r="ANH106" s="1"/>
      <c r="ANI106" s="1"/>
      <c r="ANJ106" s="1"/>
      <c r="ANK106" s="1"/>
      <c r="ANL106" s="1"/>
      <c r="ANM106" s="1"/>
      <c r="ANN106" s="1"/>
      <c r="ANO106" s="1"/>
      <c r="ANP106" s="1"/>
      <c r="ANQ106" s="1"/>
      <c r="ANR106" s="1"/>
      <c r="ANS106" s="1"/>
      <c r="ANT106" s="1"/>
      <c r="ANU106" s="1"/>
      <c r="ANV106" s="1"/>
      <c r="ANW106" s="1"/>
      <c r="ANX106" s="1"/>
      <c r="ANY106" s="1"/>
      <c r="ANZ106" s="1"/>
      <c r="AOA106" s="1"/>
      <c r="AOB106" s="1"/>
      <c r="AOC106" s="1"/>
      <c r="AOD106" s="1"/>
      <c r="AOE106" s="1"/>
      <c r="AOF106" s="1"/>
      <c r="AOG106" s="1"/>
      <c r="AOH106" s="1"/>
      <c r="AOI106" s="1"/>
      <c r="AOJ106" s="1"/>
      <c r="AOK106" s="1"/>
      <c r="AOL106" s="1"/>
      <c r="AOM106" s="1"/>
      <c r="AON106" s="1"/>
      <c r="AOO106" s="1"/>
      <c r="AOP106" s="1"/>
      <c r="AOQ106" s="1"/>
      <c r="AOR106" s="1"/>
      <c r="AOS106" s="1"/>
      <c r="AOT106" s="1"/>
      <c r="AOU106" s="1"/>
      <c r="AOV106" s="1"/>
      <c r="AOW106" s="1"/>
      <c r="AOX106" s="1"/>
      <c r="AOY106" s="1"/>
      <c r="AOZ106" s="1"/>
      <c r="APA106" s="1"/>
      <c r="APB106" s="1"/>
      <c r="APC106" s="1"/>
      <c r="APD106" s="1"/>
      <c r="APE106" s="1"/>
      <c r="APF106" s="1"/>
      <c r="APG106" s="1"/>
      <c r="APH106" s="1"/>
      <c r="API106" s="1"/>
      <c r="APJ106" s="1"/>
      <c r="APK106" s="1"/>
      <c r="APL106" s="1"/>
      <c r="APM106" s="1"/>
      <c r="APN106" s="1"/>
      <c r="APO106" s="1"/>
      <c r="APP106" s="1"/>
      <c r="APQ106" s="1"/>
      <c r="APR106" s="1"/>
      <c r="APS106" s="1"/>
      <c r="APT106" s="1"/>
      <c r="APU106" s="1"/>
      <c r="APV106" s="1"/>
      <c r="APW106" s="1"/>
      <c r="APX106" s="1"/>
      <c r="APY106" s="1"/>
      <c r="APZ106" s="1"/>
      <c r="AQA106" s="1"/>
      <c r="AQB106" s="1"/>
      <c r="AQC106" s="1"/>
      <c r="AQD106" s="1"/>
      <c r="AQE106" s="1"/>
      <c r="AQF106" s="1"/>
      <c r="AQG106" s="1"/>
      <c r="AQH106" s="1"/>
      <c r="AQI106" s="1"/>
      <c r="AQJ106" s="1"/>
      <c r="AQK106" s="1"/>
      <c r="AQL106" s="1"/>
      <c r="AQM106" s="1"/>
      <c r="AQN106" s="1"/>
      <c r="AQO106" s="1"/>
      <c r="AQP106" s="1"/>
      <c r="AQQ106" s="1"/>
      <c r="AQR106" s="1"/>
      <c r="AQS106" s="1"/>
      <c r="AQT106" s="1"/>
      <c r="AQU106" s="1"/>
      <c r="AQV106" s="1"/>
      <c r="AQW106" s="1"/>
      <c r="AQX106" s="1"/>
      <c r="AQY106" s="1"/>
      <c r="AQZ106" s="1"/>
      <c r="ARA106" s="1"/>
      <c r="ARB106" s="1"/>
      <c r="ARC106" s="1"/>
      <c r="ARD106" s="1"/>
      <c r="ARE106" s="1"/>
      <c r="ARF106" s="1"/>
      <c r="ARG106" s="1"/>
      <c r="ARH106" s="1"/>
      <c r="ARI106" s="1"/>
      <c r="ARJ106" s="1"/>
      <c r="ARK106" s="1"/>
      <c r="ARL106" s="1"/>
      <c r="ARM106" s="1"/>
      <c r="ARN106" s="1"/>
      <c r="ARO106" s="1"/>
      <c r="ARP106" s="1"/>
      <c r="ARQ106" s="1"/>
      <c r="ARR106" s="1"/>
      <c r="ARS106" s="1"/>
      <c r="ART106" s="1"/>
      <c r="ARU106" s="1"/>
      <c r="ARV106" s="1"/>
      <c r="ARW106" s="1"/>
      <c r="ARX106" s="1"/>
      <c r="ARY106" s="1"/>
      <c r="ARZ106" s="1"/>
      <c r="ASA106" s="1"/>
      <c r="ASB106" s="1"/>
      <c r="ASC106" s="1"/>
      <c r="ASD106" s="1"/>
      <c r="ASE106" s="1"/>
      <c r="ASF106" s="1"/>
      <c r="ASG106" s="1"/>
      <c r="ASH106" s="1"/>
      <c r="ASI106" s="1"/>
      <c r="ASJ106" s="1"/>
      <c r="ASK106" s="1"/>
      <c r="ASL106" s="1"/>
      <c r="ASM106" s="1"/>
      <c r="ASN106" s="1"/>
      <c r="ASO106" s="1"/>
      <c r="ASP106" s="1"/>
      <c r="ASQ106" s="1"/>
      <c r="ASR106" s="1"/>
      <c r="ASS106" s="1"/>
      <c r="AST106" s="1"/>
      <c r="ASU106" s="1"/>
      <c r="ASV106" s="1"/>
      <c r="ASW106" s="1"/>
      <c r="ASX106" s="1"/>
      <c r="ASY106" s="1"/>
      <c r="ASZ106" s="1"/>
      <c r="ATA106" s="1"/>
      <c r="ATB106" s="1"/>
      <c r="ATC106" s="1"/>
      <c r="ATD106" s="1"/>
      <c r="ATE106" s="1"/>
      <c r="ATF106" s="1"/>
      <c r="ATG106" s="1"/>
      <c r="ATH106" s="1"/>
      <c r="ATI106" s="1"/>
      <c r="ATJ106" s="1"/>
      <c r="ATK106" s="1"/>
      <c r="ATL106" s="1"/>
      <c r="ATM106" s="1"/>
      <c r="ATN106" s="1"/>
      <c r="ATO106" s="1"/>
      <c r="ATP106" s="1"/>
      <c r="ATQ106" s="1"/>
      <c r="ATR106" s="1"/>
      <c r="ATS106" s="1"/>
      <c r="ATT106" s="1"/>
      <c r="ATU106" s="1"/>
      <c r="ATV106" s="1"/>
      <c r="ATW106" s="1"/>
      <c r="ATX106" s="1"/>
      <c r="ATY106" s="1"/>
      <c r="ATZ106" s="1"/>
      <c r="AUA106" s="1"/>
      <c r="AUB106" s="1"/>
      <c r="AUC106" s="1"/>
      <c r="AUD106" s="1"/>
      <c r="AUE106" s="1"/>
      <c r="AUF106" s="1"/>
      <c r="AUG106" s="1"/>
      <c r="AUH106" s="1"/>
      <c r="AUI106" s="1"/>
      <c r="AUJ106" s="1"/>
      <c r="AUK106" s="1"/>
      <c r="AUL106" s="1"/>
      <c r="AUM106" s="1"/>
      <c r="AUN106" s="1"/>
      <c r="AUO106" s="1"/>
      <c r="AUP106" s="1"/>
      <c r="AUQ106" s="1"/>
      <c r="AUR106" s="1"/>
      <c r="AUS106" s="1"/>
      <c r="AUT106" s="1"/>
      <c r="AUU106" s="1"/>
      <c r="AUV106" s="1"/>
      <c r="AUW106" s="1"/>
      <c r="AUX106" s="1"/>
      <c r="AUY106" s="1"/>
      <c r="AUZ106" s="1"/>
      <c r="AVA106" s="1"/>
      <c r="AVB106" s="1"/>
      <c r="AVC106" s="1"/>
      <c r="AVD106" s="1"/>
      <c r="AVE106" s="1"/>
      <c r="AVF106" s="1"/>
      <c r="AVG106" s="1"/>
      <c r="AVH106" s="1"/>
      <c r="AVI106" s="1"/>
      <c r="AVJ106" s="1"/>
      <c r="AVK106" s="1"/>
      <c r="AVL106" s="1"/>
      <c r="AVM106" s="1"/>
      <c r="AVN106" s="1"/>
      <c r="AVO106" s="1"/>
      <c r="AVP106" s="1"/>
      <c r="AVQ106" s="1"/>
      <c r="AVR106" s="1"/>
      <c r="AVS106" s="1"/>
      <c r="AVT106" s="1"/>
      <c r="AVU106" s="1"/>
      <c r="AVV106" s="1"/>
      <c r="AVW106" s="1"/>
      <c r="AVX106" s="1"/>
      <c r="AVY106" s="1"/>
      <c r="AVZ106" s="1"/>
      <c r="AWA106" s="1"/>
      <c r="AWB106" s="1"/>
      <c r="AWC106" s="1"/>
      <c r="AWD106" s="1"/>
      <c r="AWE106" s="1"/>
      <c r="AWF106" s="1"/>
      <c r="AWG106" s="1"/>
      <c r="AWH106" s="1"/>
      <c r="AWI106" s="1"/>
      <c r="AWJ106" s="1"/>
      <c r="AWK106" s="1"/>
      <c r="AWL106" s="1"/>
      <c r="AWM106" s="1"/>
      <c r="AWN106" s="1"/>
      <c r="AWO106" s="1"/>
      <c r="AWP106" s="1"/>
      <c r="AWQ106" s="1"/>
      <c r="AWR106" s="1"/>
      <c r="AWS106" s="1"/>
      <c r="AWT106" s="1"/>
      <c r="AWU106" s="1"/>
      <c r="AWV106" s="1"/>
      <c r="AWW106" s="1"/>
      <c r="AWX106" s="1"/>
      <c r="AWY106" s="1"/>
      <c r="AWZ106" s="1"/>
      <c r="AXA106" s="1"/>
      <c r="AXB106" s="1"/>
      <c r="AXC106" s="1"/>
      <c r="AXD106" s="1"/>
      <c r="AXE106" s="1"/>
      <c r="AXF106" s="1"/>
      <c r="AXG106" s="1"/>
      <c r="AXH106" s="1"/>
      <c r="AXI106" s="1"/>
      <c r="AXJ106" s="1"/>
      <c r="AXK106" s="1"/>
      <c r="AXL106" s="1"/>
      <c r="AXM106" s="1"/>
      <c r="AXN106" s="1"/>
      <c r="AXO106" s="1"/>
      <c r="AXP106" s="1"/>
      <c r="AXQ106" s="1"/>
      <c r="AXR106" s="1"/>
      <c r="AXS106" s="1"/>
      <c r="AXT106" s="1"/>
      <c r="AXU106" s="1"/>
      <c r="AXV106" s="1"/>
      <c r="AXW106" s="1"/>
      <c r="AXX106" s="1"/>
      <c r="AXY106" s="1"/>
      <c r="AXZ106" s="1"/>
      <c r="AYA106" s="1"/>
      <c r="AYB106" s="1"/>
      <c r="AYC106" s="1"/>
      <c r="AYD106" s="1"/>
      <c r="AYE106" s="1"/>
      <c r="AYF106" s="1"/>
      <c r="AYG106" s="1"/>
      <c r="AYH106" s="1"/>
      <c r="AYI106" s="1"/>
      <c r="AYJ106" s="1"/>
      <c r="AYK106" s="1"/>
      <c r="AYL106" s="1"/>
      <c r="AYM106" s="1"/>
      <c r="AYN106" s="1"/>
      <c r="AYO106" s="1"/>
      <c r="AYP106" s="1"/>
      <c r="AYQ106" s="1"/>
      <c r="AYR106" s="1"/>
      <c r="AYS106" s="1"/>
      <c r="AYT106" s="1"/>
      <c r="AYU106" s="1"/>
      <c r="AYV106" s="1"/>
      <c r="AYW106" s="1"/>
      <c r="AYX106" s="1"/>
      <c r="AYY106" s="1"/>
      <c r="AYZ106" s="1"/>
      <c r="AZA106" s="1"/>
      <c r="AZB106" s="1"/>
      <c r="AZC106" s="1"/>
      <c r="AZD106" s="1"/>
      <c r="AZE106" s="1"/>
      <c r="AZF106" s="1"/>
      <c r="AZG106" s="1"/>
      <c r="AZH106" s="1"/>
      <c r="AZI106" s="1"/>
      <c r="AZJ106" s="1"/>
      <c r="AZK106" s="1"/>
      <c r="AZL106" s="1"/>
      <c r="AZM106" s="1"/>
      <c r="AZN106" s="1"/>
      <c r="AZO106" s="1"/>
      <c r="AZP106" s="1"/>
      <c r="AZQ106" s="1"/>
      <c r="AZR106" s="1"/>
      <c r="AZS106" s="1"/>
      <c r="AZT106" s="1"/>
      <c r="AZU106" s="1"/>
      <c r="AZV106" s="1"/>
      <c r="AZW106" s="1"/>
      <c r="AZX106" s="1"/>
      <c r="AZY106" s="1"/>
      <c r="AZZ106" s="1"/>
      <c r="BAA106" s="1"/>
      <c r="BAB106" s="1"/>
      <c r="BAC106" s="1"/>
      <c r="BAD106" s="1"/>
      <c r="BAE106" s="1"/>
      <c r="BAF106" s="1"/>
      <c r="BAG106" s="1"/>
      <c r="BAH106" s="1"/>
      <c r="BAI106" s="1"/>
      <c r="BAJ106" s="1"/>
      <c r="BAK106" s="1"/>
      <c r="BAL106" s="1"/>
      <c r="BAM106" s="1"/>
      <c r="BAN106" s="1"/>
      <c r="BAO106" s="1"/>
      <c r="BAP106" s="1"/>
      <c r="BAQ106" s="1"/>
      <c r="BAR106" s="1"/>
      <c r="BAS106" s="1"/>
      <c r="BAT106" s="1"/>
      <c r="BAU106" s="1"/>
      <c r="BAV106" s="1"/>
      <c r="BAW106" s="1"/>
      <c r="BAX106" s="1"/>
      <c r="BAY106" s="1"/>
      <c r="BAZ106" s="1"/>
      <c r="BBA106" s="1"/>
      <c r="BBB106" s="1"/>
      <c r="BBC106" s="1"/>
      <c r="BBD106" s="1"/>
      <c r="BBE106" s="1"/>
      <c r="BBF106" s="1"/>
      <c r="BBG106" s="1"/>
      <c r="BBH106" s="1"/>
      <c r="BBI106" s="1"/>
      <c r="BBJ106" s="1"/>
      <c r="BBK106" s="1"/>
      <c r="BBL106" s="1"/>
      <c r="BBM106" s="1"/>
      <c r="BBN106" s="1"/>
      <c r="BBO106" s="1"/>
      <c r="BBP106" s="1"/>
      <c r="BBQ106" s="1"/>
      <c r="BBR106" s="1"/>
      <c r="BBS106" s="1"/>
      <c r="BBT106" s="1"/>
      <c r="BBU106" s="1"/>
      <c r="BBV106" s="1"/>
      <c r="BBW106" s="1"/>
      <c r="BBX106" s="1"/>
      <c r="BBY106" s="1"/>
      <c r="BBZ106" s="1"/>
      <c r="BCA106" s="1"/>
      <c r="BCB106" s="1"/>
      <c r="BCC106" s="1"/>
      <c r="BCD106" s="1"/>
      <c r="BCE106" s="1"/>
      <c r="BCF106" s="1"/>
      <c r="BCG106" s="1"/>
      <c r="BCH106" s="1"/>
      <c r="BCI106" s="1"/>
      <c r="BCJ106" s="1"/>
      <c r="BCK106" s="1"/>
      <c r="BCL106" s="1"/>
      <c r="BCM106" s="1"/>
      <c r="BCN106" s="1"/>
      <c r="BCO106" s="1"/>
      <c r="BCP106" s="1"/>
      <c r="BCQ106" s="1"/>
      <c r="BCR106" s="1"/>
      <c r="BCS106" s="1"/>
      <c r="BCT106" s="1"/>
      <c r="BCU106" s="1"/>
      <c r="BCV106" s="1"/>
      <c r="BCW106" s="1"/>
      <c r="BCX106" s="1"/>
      <c r="BCY106" s="1"/>
      <c r="BCZ106" s="1"/>
      <c r="BDA106" s="1"/>
      <c r="BDB106" s="1"/>
      <c r="BDC106" s="1"/>
      <c r="BDD106" s="1"/>
      <c r="BDE106" s="1"/>
      <c r="BDF106" s="1"/>
      <c r="BDG106" s="1"/>
      <c r="BDH106" s="1"/>
      <c r="BDI106" s="1"/>
      <c r="BDJ106" s="1"/>
      <c r="BDK106" s="1"/>
      <c r="BDL106" s="1"/>
      <c r="BDM106" s="1"/>
      <c r="BDN106" s="1"/>
      <c r="BDO106" s="1"/>
      <c r="BDP106" s="1"/>
      <c r="BDQ106" s="1"/>
      <c r="BDR106" s="1"/>
      <c r="BDS106" s="1"/>
      <c r="BDT106" s="1"/>
      <c r="BDU106" s="1"/>
      <c r="BDV106" s="1"/>
      <c r="BDW106" s="1"/>
      <c r="BDX106" s="1"/>
      <c r="BDY106" s="1"/>
      <c r="BDZ106" s="1"/>
      <c r="BEA106" s="1"/>
      <c r="BEB106" s="1"/>
      <c r="BEC106" s="1"/>
      <c r="BED106" s="1"/>
      <c r="BEE106" s="1"/>
      <c r="BEF106" s="1"/>
      <c r="BEG106" s="1"/>
      <c r="BEH106" s="1"/>
      <c r="BEI106" s="1"/>
      <c r="BEJ106" s="1"/>
      <c r="BEK106" s="1"/>
      <c r="BEL106" s="1"/>
      <c r="BEM106" s="1"/>
      <c r="BEN106" s="1"/>
      <c r="BEO106" s="1"/>
      <c r="BEP106" s="1"/>
      <c r="BEQ106" s="1"/>
      <c r="BER106" s="1"/>
      <c r="BES106" s="1"/>
      <c r="BET106" s="1"/>
      <c r="BEU106" s="1"/>
      <c r="BEV106" s="1"/>
      <c r="BEW106" s="1"/>
      <c r="BEX106" s="1"/>
      <c r="BEY106" s="1"/>
      <c r="BEZ106" s="1"/>
      <c r="BFA106" s="1"/>
      <c r="BFB106" s="1"/>
      <c r="BFC106" s="1"/>
      <c r="BFD106" s="1"/>
      <c r="BFE106" s="1"/>
      <c r="BFF106" s="1"/>
      <c r="BFG106" s="1"/>
      <c r="BFH106" s="1"/>
      <c r="BFI106" s="1"/>
      <c r="BFJ106" s="1"/>
      <c r="BFK106" s="1"/>
      <c r="BFL106" s="1"/>
      <c r="BFM106" s="1"/>
      <c r="BFN106" s="1"/>
      <c r="BFO106" s="1"/>
      <c r="BFP106" s="1"/>
      <c r="BFQ106" s="1"/>
      <c r="BFR106" s="1"/>
      <c r="BFS106" s="1"/>
      <c r="BFT106" s="1"/>
      <c r="BFU106" s="1"/>
      <c r="BFV106" s="1"/>
      <c r="BFW106" s="1"/>
      <c r="BFX106" s="1"/>
      <c r="BFY106" s="1"/>
      <c r="BFZ106" s="1"/>
      <c r="BGA106" s="1"/>
      <c r="BGB106" s="1"/>
      <c r="BGC106" s="1"/>
      <c r="BGD106" s="1"/>
      <c r="BGE106" s="1"/>
      <c r="BGF106" s="1"/>
      <c r="BGG106" s="1"/>
      <c r="BGH106" s="1"/>
      <c r="BGI106" s="1"/>
      <c r="BGJ106" s="1"/>
      <c r="BGK106" s="1"/>
      <c r="BGL106" s="1"/>
      <c r="BGM106" s="1"/>
      <c r="BGN106" s="1"/>
      <c r="BGO106" s="1"/>
      <c r="BGP106" s="1"/>
      <c r="BGQ106" s="1"/>
      <c r="BGR106" s="1"/>
      <c r="BGS106" s="1"/>
      <c r="BGT106" s="1"/>
      <c r="BGU106" s="1"/>
      <c r="BGV106" s="1"/>
      <c r="BGW106" s="1"/>
      <c r="BGX106" s="1"/>
      <c r="BGY106" s="1"/>
      <c r="BGZ106" s="1"/>
      <c r="BHA106" s="1"/>
      <c r="BHB106" s="1"/>
      <c r="BHC106" s="1"/>
      <c r="BHD106" s="1"/>
      <c r="BHE106" s="1"/>
      <c r="BHF106" s="1"/>
      <c r="BHG106" s="1"/>
      <c r="BHH106" s="1"/>
      <c r="BHI106" s="1"/>
      <c r="BHJ106" s="1"/>
      <c r="BHK106" s="1"/>
      <c r="BHL106" s="1"/>
      <c r="BHM106" s="1"/>
      <c r="BHN106" s="1"/>
      <c r="BHO106" s="1"/>
      <c r="BHP106" s="1"/>
      <c r="BHQ106" s="1"/>
      <c r="BHR106" s="1"/>
      <c r="BHS106" s="1"/>
      <c r="BHT106" s="1"/>
      <c r="BHU106" s="1"/>
      <c r="BHV106" s="1"/>
      <c r="BHW106" s="1"/>
      <c r="BHX106" s="1"/>
      <c r="BHY106" s="1"/>
      <c r="BHZ106" s="1"/>
      <c r="BIA106" s="1"/>
      <c r="BIB106" s="1"/>
      <c r="BIC106" s="1"/>
      <c r="BID106" s="1"/>
      <c r="BIE106" s="1"/>
      <c r="BIF106" s="1"/>
      <c r="BIG106" s="1"/>
      <c r="BIH106" s="1"/>
      <c r="BII106" s="1"/>
      <c r="BIJ106" s="1"/>
      <c r="BIK106" s="1"/>
      <c r="BIL106" s="1"/>
      <c r="BIM106" s="1"/>
      <c r="BIN106" s="1"/>
      <c r="BIO106" s="1"/>
      <c r="BIP106" s="1"/>
      <c r="BIQ106" s="1"/>
      <c r="BIR106" s="1"/>
      <c r="BIS106" s="1"/>
      <c r="BIT106" s="1"/>
      <c r="BIU106" s="1"/>
      <c r="BIV106" s="1"/>
      <c r="BIW106" s="1"/>
      <c r="BIX106" s="1"/>
      <c r="BIY106" s="1"/>
      <c r="BIZ106" s="1"/>
      <c r="BJA106" s="1"/>
      <c r="BJB106" s="1"/>
      <c r="BJC106" s="1"/>
      <c r="BJD106" s="1"/>
      <c r="BJE106" s="1"/>
      <c r="BJF106" s="1"/>
      <c r="BJG106" s="1"/>
      <c r="BJH106" s="1"/>
      <c r="BJI106" s="1"/>
      <c r="BJJ106" s="1"/>
      <c r="BJK106" s="1"/>
      <c r="BJL106" s="1"/>
      <c r="BJM106" s="1"/>
      <c r="BJN106" s="1"/>
      <c r="BJO106" s="1"/>
      <c r="BJP106" s="1"/>
      <c r="BJQ106" s="1"/>
      <c r="BJR106" s="1"/>
      <c r="BJS106" s="1"/>
      <c r="BJT106" s="1"/>
      <c r="BJU106" s="1"/>
      <c r="BJV106" s="1"/>
      <c r="BJW106" s="1"/>
      <c r="BJX106" s="1"/>
      <c r="BJY106" s="1"/>
      <c r="BJZ106" s="1"/>
      <c r="BKA106" s="1"/>
      <c r="BKB106" s="1"/>
      <c r="BKC106" s="1"/>
      <c r="BKD106" s="1"/>
      <c r="BKE106" s="1"/>
      <c r="BKF106" s="1"/>
      <c r="BKG106" s="1"/>
      <c r="BKH106" s="1"/>
      <c r="BKI106" s="1"/>
      <c r="BKJ106" s="1"/>
      <c r="BKK106" s="1"/>
      <c r="BKL106" s="1"/>
      <c r="BKM106" s="1"/>
      <c r="BKN106" s="1"/>
      <c r="BKO106" s="1"/>
      <c r="BKP106" s="1"/>
      <c r="BKQ106" s="1"/>
      <c r="BKR106" s="1"/>
      <c r="BKS106" s="1"/>
      <c r="BKT106" s="1"/>
      <c r="BKU106" s="1"/>
      <c r="BKV106" s="1"/>
      <c r="BKW106" s="1"/>
      <c r="BKX106" s="1"/>
      <c r="BKY106" s="1"/>
      <c r="BKZ106" s="1"/>
      <c r="BLA106" s="1"/>
      <c r="BLB106" s="1"/>
      <c r="BLC106" s="1"/>
      <c r="BLD106" s="1"/>
      <c r="BLE106" s="1"/>
      <c r="BLF106" s="1"/>
      <c r="BLG106" s="1"/>
      <c r="BLH106" s="1"/>
      <c r="BLI106" s="1"/>
      <c r="BLJ106" s="1"/>
      <c r="BLK106" s="1"/>
      <c r="BLL106" s="1"/>
      <c r="BLM106" s="1"/>
      <c r="BLN106" s="1"/>
      <c r="BLO106" s="1"/>
      <c r="BLP106" s="1"/>
      <c r="BLQ106" s="1"/>
      <c r="BLR106" s="1"/>
      <c r="BLS106" s="1"/>
      <c r="BLT106" s="1"/>
      <c r="BLU106" s="1"/>
      <c r="BLV106" s="1"/>
      <c r="BLW106" s="1"/>
      <c r="BLX106" s="1"/>
      <c r="BLY106" s="1"/>
      <c r="BLZ106" s="1"/>
      <c r="BMA106" s="1"/>
      <c r="BMB106" s="1"/>
      <c r="BMC106" s="1"/>
      <c r="BMD106" s="1"/>
      <c r="BME106" s="1"/>
      <c r="BMF106" s="1"/>
      <c r="BMG106" s="1"/>
      <c r="BMH106" s="1"/>
      <c r="BMI106" s="1"/>
      <c r="BMJ106" s="1"/>
      <c r="BMK106" s="1"/>
      <c r="BML106" s="1"/>
      <c r="BMM106" s="1"/>
      <c r="BMN106" s="1"/>
      <c r="BMO106" s="1"/>
      <c r="BMP106" s="1"/>
      <c r="BMQ106" s="1"/>
      <c r="BMR106" s="1"/>
      <c r="BMS106" s="1"/>
      <c r="BMT106" s="1"/>
      <c r="BMU106" s="1"/>
      <c r="BMV106" s="1"/>
      <c r="BMW106" s="1"/>
      <c r="BMX106" s="1"/>
      <c r="BMY106" s="1"/>
      <c r="BMZ106" s="1"/>
      <c r="BNA106" s="1"/>
      <c r="BNB106" s="1"/>
      <c r="BNC106" s="1"/>
      <c r="BND106" s="1"/>
      <c r="BNE106" s="1"/>
      <c r="BNF106" s="1"/>
      <c r="BNG106" s="1"/>
      <c r="BNH106" s="1"/>
      <c r="BNI106" s="1"/>
      <c r="BNJ106" s="1"/>
      <c r="BNK106" s="1"/>
      <c r="BNL106" s="1"/>
      <c r="BNM106" s="1"/>
      <c r="BNN106" s="1"/>
      <c r="BNO106" s="1"/>
      <c r="BNP106" s="1"/>
      <c r="BNQ106" s="1"/>
      <c r="BNR106" s="1"/>
      <c r="BNS106" s="1"/>
      <c r="BNT106" s="1"/>
      <c r="BNU106" s="1"/>
      <c r="BNV106" s="1"/>
      <c r="BNW106" s="1"/>
      <c r="BNX106" s="1"/>
      <c r="BNY106" s="1"/>
      <c r="BNZ106" s="1"/>
      <c r="BOA106" s="1"/>
      <c r="BOB106" s="1"/>
      <c r="BOC106" s="1"/>
      <c r="BOD106" s="1"/>
      <c r="BOE106" s="1"/>
      <c r="BOF106" s="1"/>
      <c r="BOG106" s="1"/>
      <c r="BOH106" s="1"/>
      <c r="BOI106" s="1"/>
      <c r="BOJ106" s="1"/>
      <c r="BOK106" s="1"/>
      <c r="BOL106" s="1"/>
      <c r="BOM106" s="1"/>
      <c r="BON106" s="1"/>
      <c r="BOO106" s="1"/>
      <c r="BOP106" s="1"/>
      <c r="BOQ106" s="1"/>
      <c r="BOR106" s="1"/>
      <c r="BOS106" s="1"/>
      <c r="BOT106" s="1"/>
      <c r="BOU106" s="1"/>
      <c r="BOV106" s="1"/>
      <c r="BOW106" s="1"/>
      <c r="BOX106" s="1"/>
      <c r="BOY106" s="1"/>
      <c r="BOZ106" s="1"/>
      <c r="BPA106" s="1"/>
      <c r="BPB106" s="1"/>
      <c r="BPC106" s="1"/>
      <c r="BPD106" s="1"/>
      <c r="BPE106" s="1"/>
      <c r="BPF106" s="1"/>
      <c r="BPG106" s="1"/>
      <c r="BPH106" s="1"/>
      <c r="BPI106" s="1"/>
      <c r="BPJ106" s="1"/>
      <c r="BPK106" s="1"/>
      <c r="BPL106" s="1"/>
      <c r="BPM106" s="1"/>
      <c r="BPN106" s="1"/>
      <c r="BPO106" s="1"/>
      <c r="BPP106" s="1"/>
      <c r="BPQ106" s="1"/>
      <c r="BPR106" s="1"/>
      <c r="BPS106" s="1"/>
      <c r="BPT106" s="1"/>
      <c r="BPU106" s="1"/>
      <c r="BPV106" s="1"/>
      <c r="BPW106" s="1"/>
      <c r="BPX106" s="1"/>
      <c r="BPY106" s="1"/>
      <c r="BPZ106" s="1"/>
      <c r="BQA106" s="1"/>
      <c r="BQB106" s="1"/>
      <c r="BQC106" s="1"/>
      <c r="BQD106" s="1"/>
      <c r="BQE106" s="1"/>
      <c r="BQF106" s="1"/>
      <c r="BQG106" s="1"/>
      <c r="BQH106" s="1"/>
      <c r="BQI106" s="1"/>
      <c r="BQJ106" s="1"/>
      <c r="BQK106" s="1"/>
      <c r="BQL106" s="1"/>
      <c r="BQM106" s="1"/>
      <c r="BQN106" s="1"/>
      <c r="BQO106" s="1"/>
      <c r="BQP106" s="1"/>
      <c r="BQQ106" s="1"/>
      <c r="BQR106" s="1"/>
      <c r="BQS106" s="1"/>
      <c r="BQT106" s="1"/>
      <c r="BQU106" s="1"/>
      <c r="BQV106" s="1"/>
      <c r="BQW106" s="1"/>
      <c r="BQX106" s="1"/>
      <c r="BQY106" s="1"/>
      <c r="BQZ106" s="1"/>
      <c r="BRA106" s="1"/>
      <c r="BRB106" s="1"/>
      <c r="BRC106" s="1"/>
      <c r="BRD106" s="1"/>
      <c r="BRE106" s="1"/>
      <c r="BRF106" s="1"/>
      <c r="BRG106" s="1"/>
      <c r="BRH106" s="1"/>
      <c r="BRI106" s="1"/>
      <c r="BRJ106" s="1"/>
      <c r="BRK106" s="1"/>
      <c r="BRL106" s="1"/>
      <c r="BRM106" s="1"/>
      <c r="BRN106" s="1"/>
      <c r="BRO106" s="1"/>
      <c r="BRP106" s="1"/>
      <c r="BRQ106" s="1"/>
      <c r="BRR106" s="1"/>
      <c r="BRS106" s="1"/>
      <c r="BRT106" s="1"/>
      <c r="BRU106" s="1"/>
      <c r="BRV106" s="1"/>
      <c r="BRW106" s="1"/>
      <c r="BRX106" s="1"/>
      <c r="BRY106" s="1"/>
      <c r="BRZ106" s="1"/>
      <c r="BSA106" s="1"/>
      <c r="BSB106" s="1"/>
      <c r="BSC106" s="1"/>
      <c r="BSD106" s="1"/>
      <c r="BSE106" s="1"/>
      <c r="BSF106" s="1"/>
      <c r="BSG106" s="1"/>
      <c r="BSH106" s="1"/>
      <c r="BSI106" s="1"/>
      <c r="BSJ106" s="1"/>
      <c r="BSK106" s="1"/>
      <c r="BSL106" s="1"/>
      <c r="BSM106" s="1"/>
      <c r="BSN106" s="1"/>
      <c r="BSO106" s="1"/>
      <c r="BSP106" s="1"/>
      <c r="BSQ106" s="1"/>
      <c r="BSR106" s="1"/>
      <c r="BSS106" s="1"/>
      <c r="BST106" s="1"/>
      <c r="BSU106" s="1"/>
      <c r="BSV106" s="1"/>
      <c r="BSW106" s="1"/>
      <c r="BSX106" s="1"/>
      <c r="BSY106" s="1"/>
      <c r="BSZ106" s="1"/>
      <c r="BTA106" s="1"/>
      <c r="BTB106" s="1"/>
      <c r="BTC106" s="1"/>
      <c r="BTD106" s="1"/>
      <c r="BTE106" s="1"/>
      <c r="BTF106" s="1"/>
      <c r="BTG106" s="1"/>
      <c r="BTH106" s="1"/>
      <c r="BTI106" s="1"/>
      <c r="BTJ106" s="1"/>
      <c r="BTK106" s="1"/>
      <c r="BTL106" s="1"/>
      <c r="BTM106" s="1"/>
      <c r="BTN106" s="1"/>
      <c r="BTO106" s="1"/>
      <c r="BTP106" s="1"/>
      <c r="BTQ106" s="1"/>
      <c r="BTR106" s="1"/>
      <c r="BTS106" s="1"/>
      <c r="BTT106" s="1"/>
      <c r="BTU106" s="1"/>
      <c r="BTV106" s="1"/>
      <c r="BTW106" s="1"/>
      <c r="BTX106" s="1"/>
      <c r="BTY106" s="1"/>
      <c r="BTZ106" s="1"/>
      <c r="BUA106" s="1"/>
      <c r="BUB106" s="1"/>
      <c r="BUC106" s="1"/>
      <c r="BUD106" s="1"/>
      <c r="BUE106" s="1"/>
      <c r="BUF106" s="1"/>
      <c r="BUG106" s="1"/>
      <c r="BUH106" s="1"/>
      <c r="BUI106" s="1"/>
      <c r="BUJ106" s="1"/>
      <c r="BUK106" s="1"/>
      <c r="BUL106" s="1"/>
      <c r="BUM106" s="1"/>
      <c r="BUN106" s="1"/>
      <c r="BUO106" s="1"/>
      <c r="BUP106" s="1"/>
      <c r="BUQ106" s="1"/>
      <c r="BUR106" s="1"/>
      <c r="BUS106" s="1"/>
      <c r="BUT106" s="1"/>
      <c r="BUU106" s="1"/>
      <c r="BUV106" s="1"/>
      <c r="BUW106" s="1"/>
      <c r="BUX106" s="1"/>
      <c r="BUY106" s="1"/>
      <c r="BUZ106" s="1"/>
      <c r="BVA106" s="1"/>
      <c r="BVB106" s="1"/>
      <c r="BVC106" s="1"/>
      <c r="BVD106" s="1"/>
      <c r="BVE106" s="1"/>
      <c r="BVF106" s="1"/>
      <c r="BVG106" s="1"/>
      <c r="BVH106" s="1"/>
      <c r="BVI106" s="1"/>
      <c r="BVJ106" s="1"/>
      <c r="BVK106" s="1"/>
      <c r="BVL106" s="1"/>
      <c r="BVM106" s="1"/>
      <c r="BVN106" s="1"/>
      <c r="BVO106" s="1"/>
      <c r="BVP106" s="1"/>
      <c r="BVQ106" s="1"/>
      <c r="BVR106" s="1"/>
      <c r="BVS106" s="1"/>
      <c r="BVT106" s="1"/>
      <c r="BVU106" s="1"/>
      <c r="BVV106" s="1"/>
      <c r="BVW106" s="1"/>
      <c r="BVX106" s="1"/>
      <c r="BVY106" s="1"/>
      <c r="BVZ106" s="1"/>
      <c r="BWA106" s="1"/>
      <c r="BWB106" s="1"/>
      <c r="BWC106" s="1"/>
      <c r="BWD106" s="1"/>
      <c r="BWE106" s="1"/>
      <c r="BWF106" s="1"/>
      <c r="BWG106" s="1"/>
      <c r="BWH106" s="1"/>
      <c r="BWI106" s="1"/>
      <c r="BWJ106" s="1"/>
      <c r="BWK106" s="1"/>
      <c r="BWL106" s="1"/>
      <c r="BWM106" s="1"/>
      <c r="BWN106" s="1"/>
      <c r="BWO106" s="1"/>
      <c r="BWP106" s="1"/>
      <c r="BWQ106" s="1"/>
      <c r="BWR106" s="1"/>
      <c r="BWS106" s="1"/>
      <c r="BWT106" s="1"/>
      <c r="BWU106" s="1"/>
      <c r="BWV106" s="1"/>
      <c r="BWW106" s="1"/>
      <c r="BWX106" s="1"/>
      <c r="BWY106" s="1"/>
      <c r="BWZ106" s="1"/>
      <c r="BXA106" s="1"/>
      <c r="BXB106" s="1"/>
      <c r="BXC106" s="1"/>
      <c r="BXD106" s="1"/>
      <c r="BXE106" s="1"/>
      <c r="BXF106" s="1"/>
      <c r="BXG106" s="1"/>
      <c r="BXH106" s="1"/>
      <c r="BXI106" s="1"/>
      <c r="BXJ106" s="1"/>
      <c r="BXK106" s="1"/>
      <c r="BXL106" s="1"/>
      <c r="BXM106" s="1"/>
      <c r="BXN106" s="1"/>
      <c r="BXO106" s="1"/>
      <c r="BXP106" s="1"/>
      <c r="BXQ106" s="1"/>
      <c r="BXR106" s="1"/>
      <c r="BXS106" s="1"/>
      <c r="BXT106" s="1"/>
      <c r="BXU106" s="1"/>
      <c r="BXV106" s="1"/>
      <c r="BXW106" s="1"/>
      <c r="BXX106" s="1"/>
      <c r="BXY106" s="1"/>
      <c r="BXZ106" s="1"/>
      <c r="BYA106" s="1"/>
      <c r="BYB106" s="1"/>
      <c r="BYC106" s="1"/>
      <c r="BYD106" s="1"/>
      <c r="BYE106" s="1"/>
      <c r="BYF106" s="1"/>
      <c r="BYG106" s="1"/>
      <c r="BYH106" s="1"/>
      <c r="BYI106" s="1"/>
      <c r="BYJ106" s="1"/>
      <c r="BYK106" s="1"/>
      <c r="BYL106" s="1"/>
      <c r="BYM106" s="1"/>
      <c r="BYN106" s="1"/>
      <c r="BYO106" s="1"/>
      <c r="BYP106" s="1"/>
      <c r="BYQ106" s="1"/>
      <c r="BYR106" s="1"/>
      <c r="BYS106" s="1"/>
      <c r="BYT106" s="1"/>
      <c r="BYU106" s="1"/>
      <c r="BYV106" s="1"/>
      <c r="BYW106" s="1"/>
      <c r="BYX106" s="1"/>
      <c r="BYY106" s="1"/>
      <c r="BYZ106" s="1"/>
      <c r="BZA106" s="1"/>
      <c r="BZB106" s="1"/>
      <c r="BZC106" s="1"/>
      <c r="BZD106" s="1"/>
      <c r="BZE106" s="1"/>
      <c r="BZF106" s="1"/>
      <c r="BZG106" s="1"/>
      <c r="BZH106" s="1"/>
      <c r="BZI106" s="1"/>
      <c r="BZJ106" s="1"/>
      <c r="BZK106" s="1"/>
      <c r="BZL106" s="1"/>
      <c r="BZM106" s="1"/>
      <c r="BZN106" s="1"/>
      <c r="BZO106" s="1"/>
      <c r="BZP106" s="1"/>
      <c r="BZQ106" s="1"/>
      <c r="BZR106" s="1"/>
      <c r="BZS106" s="1"/>
      <c r="BZT106" s="1"/>
      <c r="BZU106" s="1"/>
      <c r="BZV106" s="1"/>
      <c r="BZW106" s="1"/>
      <c r="BZX106" s="1"/>
      <c r="BZY106" s="1"/>
      <c r="BZZ106" s="1"/>
      <c r="CAA106" s="1"/>
      <c r="CAB106" s="1"/>
      <c r="CAC106" s="1"/>
      <c r="CAD106" s="1"/>
      <c r="CAE106" s="1"/>
      <c r="CAF106" s="1"/>
      <c r="CAG106" s="1"/>
      <c r="CAH106" s="1"/>
      <c r="CAI106" s="1"/>
      <c r="CAJ106" s="1"/>
      <c r="CAK106" s="1"/>
      <c r="CAL106" s="1"/>
      <c r="CAM106" s="1"/>
      <c r="CAN106" s="1"/>
      <c r="CAO106" s="1"/>
      <c r="CAP106" s="1"/>
      <c r="CAQ106" s="1"/>
      <c r="CAR106" s="1"/>
      <c r="CAS106" s="1"/>
      <c r="CAT106" s="1"/>
      <c r="CAU106" s="1"/>
      <c r="CAV106" s="1"/>
      <c r="CAW106" s="1"/>
      <c r="CAX106" s="1"/>
      <c r="CAY106" s="1"/>
      <c r="CAZ106" s="1"/>
      <c r="CBA106" s="1"/>
      <c r="CBB106" s="1"/>
      <c r="CBC106" s="1"/>
      <c r="CBD106" s="1"/>
      <c r="CBE106" s="1"/>
      <c r="CBF106" s="1"/>
      <c r="CBG106" s="1"/>
      <c r="CBH106" s="1"/>
      <c r="CBI106" s="1"/>
      <c r="CBJ106" s="1"/>
      <c r="CBK106" s="1"/>
      <c r="CBL106" s="1"/>
      <c r="CBM106" s="1"/>
      <c r="CBN106" s="1"/>
      <c r="CBO106" s="1"/>
      <c r="CBP106" s="1"/>
      <c r="CBQ106" s="1"/>
      <c r="CBR106" s="1"/>
      <c r="CBS106" s="1"/>
      <c r="CBT106" s="1"/>
      <c r="CBU106" s="1"/>
      <c r="CBV106" s="1"/>
      <c r="CBW106" s="1"/>
      <c r="CBX106" s="1"/>
      <c r="CBY106" s="1"/>
      <c r="CBZ106" s="1"/>
      <c r="CCA106" s="1"/>
      <c r="CCB106" s="1"/>
      <c r="CCC106" s="1"/>
      <c r="CCD106" s="1"/>
      <c r="CCE106" s="1"/>
      <c r="CCF106" s="1"/>
      <c r="CCG106" s="1"/>
      <c r="CCH106" s="1"/>
      <c r="CCI106" s="1"/>
      <c r="CCJ106" s="1"/>
      <c r="CCK106" s="1"/>
      <c r="CCL106" s="1"/>
      <c r="CCM106" s="1"/>
      <c r="CCN106" s="1"/>
      <c r="CCO106" s="1"/>
      <c r="CCP106" s="1"/>
      <c r="CCQ106" s="1"/>
      <c r="CCR106" s="1"/>
      <c r="CCS106" s="1"/>
      <c r="CCT106" s="1"/>
      <c r="CCU106" s="1"/>
      <c r="CCV106" s="1"/>
      <c r="CCW106" s="1"/>
      <c r="CCX106" s="1"/>
      <c r="CCY106" s="1"/>
      <c r="CCZ106" s="1"/>
      <c r="CDA106" s="1"/>
      <c r="CDB106" s="1"/>
      <c r="CDC106" s="1"/>
      <c r="CDD106" s="1"/>
      <c r="CDE106" s="1"/>
      <c r="CDF106" s="1"/>
      <c r="CDG106" s="1"/>
      <c r="CDH106" s="1"/>
      <c r="CDI106" s="1"/>
      <c r="CDJ106" s="1"/>
      <c r="CDK106" s="1"/>
      <c r="CDL106" s="1"/>
      <c r="CDM106" s="1"/>
      <c r="CDN106" s="1"/>
      <c r="CDO106" s="1"/>
      <c r="CDP106" s="1"/>
      <c r="CDQ106" s="1"/>
      <c r="CDR106" s="1"/>
      <c r="CDS106" s="1"/>
      <c r="CDT106" s="1"/>
      <c r="CDU106" s="1"/>
      <c r="CDV106" s="1"/>
      <c r="CDW106" s="1"/>
      <c r="CDX106" s="1"/>
      <c r="CDY106" s="1"/>
      <c r="CDZ106" s="1"/>
      <c r="CEA106" s="1"/>
      <c r="CEB106" s="1"/>
      <c r="CEC106" s="1"/>
      <c r="CED106" s="1"/>
      <c r="CEE106" s="1"/>
      <c r="CEF106" s="1"/>
      <c r="CEG106" s="1"/>
      <c r="CEH106" s="1"/>
      <c r="CEI106" s="1"/>
      <c r="CEJ106" s="1"/>
      <c r="CEK106" s="1"/>
      <c r="CEL106" s="1"/>
      <c r="CEM106" s="1"/>
      <c r="CEN106" s="1"/>
      <c r="CEO106" s="1"/>
      <c r="CEP106" s="1"/>
      <c r="CEQ106" s="1"/>
      <c r="CER106" s="1"/>
      <c r="CES106" s="1"/>
      <c r="CET106" s="1"/>
      <c r="CEU106" s="1"/>
      <c r="CEV106" s="1"/>
      <c r="CEW106" s="1"/>
      <c r="CEX106" s="1"/>
      <c r="CEY106" s="1"/>
      <c r="CEZ106" s="1"/>
      <c r="CFA106" s="1"/>
      <c r="CFB106" s="1"/>
      <c r="CFC106" s="1"/>
      <c r="CFD106" s="1"/>
      <c r="CFE106" s="1"/>
      <c r="CFF106" s="1"/>
      <c r="CFG106" s="1"/>
      <c r="CFH106" s="1"/>
      <c r="CFI106" s="1"/>
      <c r="CFJ106" s="1"/>
      <c r="CFK106" s="1"/>
      <c r="CFL106" s="1"/>
      <c r="CFM106" s="1"/>
      <c r="CFN106" s="1"/>
      <c r="CFO106" s="1"/>
      <c r="CFP106" s="1"/>
      <c r="CFQ106" s="1"/>
      <c r="CFR106" s="1"/>
      <c r="CFS106" s="1"/>
      <c r="CFT106" s="1"/>
      <c r="CFU106" s="1"/>
      <c r="CFV106" s="1"/>
      <c r="CFW106" s="1"/>
      <c r="CFX106" s="1"/>
      <c r="CFY106" s="1"/>
      <c r="CFZ106" s="1"/>
      <c r="CGA106" s="1"/>
      <c r="CGB106" s="1"/>
      <c r="CGC106" s="1"/>
      <c r="CGD106" s="1"/>
      <c r="CGE106" s="1"/>
      <c r="CGF106" s="1"/>
      <c r="CGG106" s="1"/>
      <c r="CGH106" s="1"/>
      <c r="CGI106" s="1"/>
      <c r="CGJ106" s="1"/>
      <c r="CGK106" s="1"/>
      <c r="CGL106" s="1"/>
      <c r="CGM106" s="1"/>
      <c r="CGN106" s="1"/>
      <c r="CGO106" s="1"/>
      <c r="CGP106" s="1"/>
      <c r="CGQ106" s="1"/>
      <c r="CGR106" s="1"/>
      <c r="CGS106" s="1"/>
      <c r="CGT106" s="1"/>
      <c r="CGU106" s="1"/>
      <c r="CGV106" s="1"/>
      <c r="CGW106" s="1"/>
      <c r="CGX106" s="1"/>
      <c r="CGY106" s="1"/>
      <c r="CGZ106" s="1"/>
      <c r="CHA106" s="1"/>
      <c r="CHB106" s="1"/>
      <c r="CHC106" s="1"/>
      <c r="CHD106" s="1"/>
      <c r="CHE106" s="1"/>
      <c r="CHF106" s="1"/>
      <c r="CHG106" s="1"/>
      <c r="CHH106" s="1"/>
      <c r="CHI106" s="1"/>
      <c r="CHJ106" s="1"/>
      <c r="CHK106" s="1"/>
      <c r="CHL106" s="1"/>
      <c r="CHM106" s="1"/>
      <c r="CHN106" s="1"/>
      <c r="CHO106" s="1"/>
      <c r="CHP106" s="1"/>
      <c r="CHQ106" s="1"/>
      <c r="CHR106" s="1"/>
      <c r="CHS106" s="1"/>
      <c r="CHT106" s="1"/>
      <c r="CHU106" s="1"/>
      <c r="CHV106" s="1"/>
      <c r="CHW106" s="1"/>
      <c r="CHX106" s="1"/>
      <c r="CHY106" s="1"/>
      <c r="CHZ106" s="1"/>
      <c r="CIA106" s="1"/>
      <c r="CIB106" s="1"/>
      <c r="CIC106" s="1"/>
      <c r="CID106" s="1"/>
      <c r="CIE106" s="1"/>
      <c r="CIF106" s="1"/>
      <c r="CIG106" s="1"/>
      <c r="CIH106" s="1"/>
      <c r="CII106" s="1"/>
      <c r="CIJ106" s="1"/>
      <c r="CIK106" s="1"/>
      <c r="CIL106" s="1"/>
      <c r="CIM106" s="1"/>
      <c r="CIN106" s="1"/>
      <c r="CIO106" s="1"/>
      <c r="CIP106" s="1"/>
      <c r="CIQ106" s="1"/>
      <c r="CIR106" s="1"/>
      <c r="CIS106" s="1"/>
      <c r="CIT106" s="1"/>
      <c r="CIU106" s="1"/>
      <c r="CIV106" s="1"/>
      <c r="CIW106" s="1"/>
      <c r="CIX106" s="1"/>
      <c r="CIY106" s="1"/>
      <c r="CIZ106" s="1"/>
      <c r="CJA106" s="1"/>
      <c r="CJB106" s="1"/>
      <c r="CJC106" s="1"/>
      <c r="CJD106" s="1"/>
      <c r="CJE106" s="1"/>
      <c r="CJF106" s="1"/>
      <c r="CJG106" s="1"/>
      <c r="CJH106" s="1"/>
      <c r="CJI106" s="1"/>
      <c r="CJJ106" s="1"/>
      <c r="CJK106" s="1"/>
      <c r="CJL106" s="1"/>
      <c r="CJM106" s="1"/>
      <c r="CJN106" s="1"/>
      <c r="CJO106" s="1"/>
      <c r="CJP106" s="1"/>
      <c r="CJQ106" s="1"/>
      <c r="CJR106" s="1"/>
      <c r="CJS106" s="1"/>
      <c r="CJT106" s="1"/>
      <c r="CJU106" s="1"/>
      <c r="CJV106" s="1"/>
      <c r="CJW106" s="1"/>
      <c r="CJX106" s="1"/>
      <c r="CJY106" s="1"/>
      <c r="CJZ106" s="1"/>
      <c r="CKA106" s="1"/>
      <c r="CKB106" s="1"/>
      <c r="CKC106" s="1"/>
      <c r="CKD106" s="1"/>
      <c r="CKE106" s="1"/>
      <c r="CKF106" s="1"/>
      <c r="CKG106" s="1"/>
      <c r="CKH106" s="1"/>
      <c r="CKI106" s="1"/>
      <c r="CKJ106" s="1"/>
      <c r="CKK106" s="1"/>
      <c r="CKL106" s="1"/>
      <c r="CKM106" s="1"/>
      <c r="CKN106" s="1"/>
      <c r="CKO106" s="1"/>
      <c r="CKP106" s="1"/>
      <c r="CKQ106" s="1"/>
      <c r="CKR106" s="1"/>
      <c r="CKS106" s="1"/>
      <c r="CKT106" s="1"/>
      <c r="CKU106" s="1"/>
      <c r="CKV106" s="1"/>
      <c r="CKW106" s="1"/>
      <c r="CKX106" s="1"/>
      <c r="CKY106" s="1"/>
      <c r="CKZ106" s="1"/>
      <c r="CLA106" s="1"/>
      <c r="CLB106" s="1"/>
      <c r="CLC106" s="1"/>
      <c r="CLD106" s="1"/>
      <c r="CLE106" s="1"/>
      <c r="CLF106" s="1"/>
      <c r="CLG106" s="1"/>
      <c r="CLH106" s="1"/>
      <c r="CLI106" s="1"/>
      <c r="CLJ106" s="1"/>
      <c r="CLK106" s="1"/>
      <c r="CLL106" s="1"/>
      <c r="CLM106" s="1"/>
      <c r="CLN106" s="1"/>
      <c r="CLO106" s="1"/>
      <c r="CLP106" s="1"/>
      <c r="CLQ106" s="1"/>
      <c r="CLR106" s="1"/>
      <c r="CLS106" s="1"/>
      <c r="CLT106" s="1"/>
      <c r="CLU106" s="1"/>
      <c r="CLV106" s="1"/>
      <c r="CLW106" s="1"/>
      <c r="CLX106" s="1"/>
      <c r="CLY106" s="1"/>
      <c r="CLZ106" s="1"/>
      <c r="CMA106" s="1"/>
      <c r="CMB106" s="1"/>
      <c r="CMC106" s="1"/>
      <c r="CMD106" s="1"/>
      <c r="CME106" s="1"/>
      <c r="CMF106" s="1"/>
      <c r="CMG106" s="1"/>
      <c r="CMH106" s="1"/>
      <c r="CMI106" s="1"/>
      <c r="CMJ106" s="1"/>
      <c r="CMK106" s="1"/>
      <c r="CML106" s="1"/>
      <c r="CMM106" s="1"/>
      <c r="CMN106" s="1"/>
      <c r="CMO106" s="1"/>
      <c r="CMP106" s="1"/>
      <c r="CMQ106" s="1"/>
      <c r="CMR106" s="1"/>
      <c r="CMS106" s="1"/>
      <c r="CMT106" s="1"/>
      <c r="CMU106" s="1"/>
      <c r="CMV106" s="1"/>
      <c r="CMW106" s="1"/>
      <c r="CMX106" s="1"/>
      <c r="CMY106" s="1"/>
      <c r="CMZ106" s="1"/>
      <c r="CNA106" s="1"/>
      <c r="CNB106" s="1"/>
      <c r="CNC106" s="1"/>
      <c r="CND106" s="1"/>
      <c r="CNE106" s="1"/>
      <c r="CNF106" s="1"/>
      <c r="CNG106" s="1"/>
      <c r="CNH106" s="1"/>
      <c r="CNI106" s="1"/>
      <c r="CNJ106" s="1"/>
      <c r="CNK106" s="1"/>
      <c r="CNL106" s="1"/>
      <c r="CNM106" s="1"/>
      <c r="CNN106" s="1"/>
      <c r="CNO106" s="1"/>
      <c r="CNP106" s="1"/>
      <c r="CNQ106" s="1"/>
      <c r="CNR106" s="1"/>
      <c r="CNS106" s="1"/>
      <c r="CNT106" s="1"/>
      <c r="CNU106" s="1"/>
      <c r="CNV106" s="1"/>
      <c r="CNW106" s="1"/>
      <c r="CNX106" s="1"/>
      <c r="CNY106" s="1"/>
      <c r="CNZ106" s="1"/>
      <c r="COA106" s="1"/>
      <c r="COB106" s="1"/>
      <c r="COC106" s="1"/>
      <c r="COD106" s="1"/>
      <c r="COE106" s="1"/>
      <c r="COF106" s="1"/>
      <c r="COG106" s="1"/>
      <c r="COH106" s="1"/>
      <c r="COI106" s="1"/>
      <c r="COJ106" s="1"/>
      <c r="COK106" s="1"/>
      <c r="COL106" s="1"/>
      <c r="COM106" s="1"/>
      <c r="CON106" s="1"/>
      <c r="COO106" s="1"/>
      <c r="COP106" s="1"/>
      <c r="COQ106" s="1"/>
      <c r="COR106" s="1"/>
      <c r="COS106" s="1"/>
      <c r="COT106" s="1"/>
      <c r="COU106" s="1"/>
      <c r="COV106" s="1"/>
      <c r="COW106" s="1"/>
      <c r="COX106" s="1"/>
      <c r="COY106" s="1"/>
      <c r="COZ106" s="1"/>
      <c r="CPA106" s="1"/>
      <c r="CPB106" s="1"/>
      <c r="CPC106" s="1"/>
      <c r="CPD106" s="1"/>
      <c r="CPE106" s="1"/>
      <c r="CPF106" s="1"/>
      <c r="CPG106" s="1"/>
      <c r="CPH106" s="1"/>
      <c r="CPI106" s="1"/>
      <c r="CPJ106" s="1"/>
      <c r="CPK106" s="1"/>
      <c r="CPL106" s="1"/>
      <c r="CPM106" s="1"/>
      <c r="CPN106" s="1"/>
      <c r="CPO106" s="1"/>
      <c r="CPP106" s="1"/>
      <c r="CPQ106" s="1"/>
      <c r="CPR106" s="1"/>
      <c r="CPS106" s="1"/>
      <c r="CPT106" s="1"/>
      <c r="CPU106" s="1"/>
      <c r="CPV106" s="1"/>
      <c r="CPW106" s="1"/>
      <c r="CPX106" s="1"/>
      <c r="CPY106" s="1"/>
      <c r="CPZ106" s="1"/>
      <c r="CQA106" s="1"/>
      <c r="CQB106" s="1"/>
      <c r="CQC106" s="1"/>
      <c r="CQD106" s="1"/>
      <c r="CQE106" s="1"/>
      <c r="CQF106" s="1"/>
      <c r="CQG106" s="1"/>
      <c r="CQH106" s="1"/>
      <c r="CQI106" s="1"/>
      <c r="CQJ106" s="1"/>
      <c r="CQK106" s="1"/>
      <c r="CQL106" s="1"/>
      <c r="CQM106" s="1"/>
      <c r="CQN106" s="1"/>
      <c r="CQO106" s="1"/>
      <c r="CQP106" s="1"/>
      <c r="CQQ106" s="1"/>
      <c r="CQR106" s="1"/>
      <c r="CQS106" s="1"/>
      <c r="CQT106" s="1"/>
      <c r="CQU106" s="1"/>
      <c r="CQV106" s="1"/>
      <c r="CQW106" s="1"/>
      <c r="CQX106" s="1"/>
      <c r="CQY106" s="1"/>
      <c r="CQZ106" s="1"/>
      <c r="CRA106" s="1"/>
      <c r="CRB106" s="1"/>
      <c r="CRC106" s="1"/>
      <c r="CRD106" s="1"/>
      <c r="CRE106" s="1"/>
      <c r="CRF106" s="1"/>
      <c r="CRG106" s="1"/>
      <c r="CRH106" s="1"/>
      <c r="CRI106" s="1"/>
      <c r="CRJ106" s="1"/>
      <c r="CRK106" s="1"/>
      <c r="CRL106" s="1"/>
      <c r="CRM106" s="1"/>
      <c r="CRN106" s="1"/>
      <c r="CRO106" s="1"/>
      <c r="CRP106" s="1"/>
      <c r="CRQ106" s="1"/>
      <c r="CRR106" s="1"/>
      <c r="CRS106" s="1"/>
      <c r="CRT106" s="1"/>
      <c r="CRU106" s="1"/>
      <c r="CRV106" s="1"/>
      <c r="CRW106" s="1"/>
      <c r="CRX106" s="1"/>
      <c r="CRY106" s="1"/>
      <c r="CRZ106" s="1"/>
      <c r="CSA106" s="1"/>
      <c r="CSB106" s="1"/>
      <c r="CSC106" s="1"/>
      <c r="CSD106" s="1"/>
      <c r="CSE106" s="1"/>
      <c r="CSF106" s="1"/>
      <c r="CSG106" s="1"/>
      <c r="CSH106" s="1"/>
      <c r="CSI106" s="1"/>
      <c r="CSJ106" s="1"/>
      <c r="CSK106" s="1"/>
      <c r="CSL106" s="1"/>
      <c r="CSM106" s="1"/>
      <c r="CSN106" s="1"/>
      <c r="CSO106" s="1"/>
      <c r="CSP106" s="1"/>
      <c r="CSQ106" s="1"/>
      <c r="CSR106" s="1"/>
      <c r="CSS106" s="1"/>
      <c r="CST106" s="1"/>
      <c r="CSU106" s="1"/>
      <c r="CSV106" s="1"/>
      <c r="CSW106" s="1"/>
      <c r="CSX106" s="1"/>
      <c r="CSY106" s="1"/>
      <c r="CSZ106" s="1"/>
      <c r="CTA106" s="1"/>
      <c r="CTB106" s="1"/>
      <c r="CTC106" s="1"/>
      <c r="CTD106" s="1"/>
      <c r="CTE106" s="1"/>
      <c r="CTF106" s="1"/>
      <c r="CTG106" s="1"/>
      <c r="CTH106" s="1"/>
      <c r="CTI106" s="1"/>
      <c r="CTJ106" s="1"/>
      <c r="CTK106" s="1"/>
      <c r="CTL106" s="1"/>
      <c r="CTM106" s="1"/>
      <c r="CTN106" s="1"/>
      <c r="CTO106" s="1"/>
      <c r="CTP106" s="1"/>
      <c r="CTQ106" s="1"/>
      <c r="CTR106" s="1"/>
      <c r="CTS106" s="1"/>
      <c r="CTT106" s="1"/>
      <c r="CTU106" s="1"/>
      <c r="CTV106" s="1"/>
      <c r="CTW106" s="1"/>
      <c r="CTX106" s="1"/>
      <c r="CTY106" s="1"/>
      <c r="CTZ106" s="1"/>
      <c r="CUA106" s="1"/>
      <c r="CUB106" s="1"/>
      <c r="CUC106" s="1"/>
      <c r="CUD106" s="1"/>
      <c r="CUE106" s="1"/>
      <c r="CUF106" s="1"/>
      <c r="CUG106" s="1"/>
      <c r="CUH106" s="1"/>
      <c r="CUI106" s="1"/>
      <c r="CUJ106" s="1"/>
      <c r="CUK106" s="1"/>
      <c r="CUL106" s="1"/>
      <c r="CUM106" s="1"/>
      <c r="CUN106" s="1"/>
      <c r="CUO106" s="1"/>
      <c r="CUP106" s="1"/>
      <c r="CUQ106" s="1"/>
      <c r="CUR106" s="1"/>
      <c r="CUS106" s="1"/>
      <c r="CUT106" s="1"/>
      <c r="CUU106" s="1"/>
      <c r="CUV106" s="1"/>
      <c r="CUW106" s="1"/>
      <c r="CUX106" s="1"/>
      <c r="CUY106" s="1"/>
      <c r="CUZ106" s="1"/>
      <c r="CVA106" s="1"/>
      <c r="CVB106" s="1"/>
      <c r="CVC106" s="1"/>
      <c r="CVD106" s="1"/>
      <c r="CVE106" s="1"/>
      <c r="CVF106" s="1"/>
      <c r="CVG106" s="1"/>
      <c r="CVH106" s="1"/>
      <c r="CVI106" s="1"/>
      <c r="CVJ106" s="1"/>
      <c r="CVK106" s="1"/>
      <c r="CVL106" s="1"/>
      <c r="CVM106" s="1"/>
      <c r="CVN106" s="1"/>
      <c r="CVO106" s="1"/>
      <c r="CVP106" s="1"/>
      <c r="CVQ106" s="1"/>
      <c r="CVR106" s="1"/>
      <c r="CVS106" s="1"/>
      <c r="CVT106" s="1"/>
      <c r="CVU106" s="1"/>
      <c r="CVV106" s="1"/>
      <c r="CVW106" s="1"/>
      <c r="CVX106" s="1"/>
      <c r="CVY106" s="1"/>
      <c r="CVZ106" s="1"/>
      <c r="CWA106" s="1"/>
      <c r="CWB106" s="1"/>
      <c r="CWC106" s="1"/>
      <c r="CWD106" s="1"/>
      <c r="CWE106" s="1"/>
      <c r="CWF106" s="1"/>
      <c r="CWG106" s="1"/>
      <c r="CWH106" s="1"/>
      <c r="CWI106" s="1"/>
      <c r="CWJ106" s="1"/>
      <c r="CWK106" s="1"/>
      <c r="CWL106" s="1"/>
      <c r="CWM106" s="1"/>
      <c r="CWN106" s="1"/>
      <c r="CWO106" s="1"/>
      <c r="CWP106" s="1"/>
      <c r="CWQ106" s="1"/>
      <c r="CWR106" s="1"/>
      <c r="CWS106" s="1"/>
      <c r="CWT106" s="1"/>
      <c r="CWU106" s="1"/>
      <c r="CWV106" s="1"/>
      <c r="CWW106" s="1"/>
      <c r="CWX106" s="1"/>
      <c r="CWY106" s="1"/>
      <c r="CWZ106" s="1"/>
      <c r="CXA106" s="1"/>
      <c r="CXB106" s="1"/>
      <c r="CXC106" s="1"/>
      <c r="CXD106" s="1"/>
      <c r="CXE106" s="1"/>
      <c r="CXF106" s="1"/>
      <c r="CXG106" s="1"/>
      <c r="CXH106" s="1"/>
      <c r="CXI106" s="1"/>
      <c r="CXJ106" s="1"/>
      <c r="CXK106" s="1"/>
      <c r="CXL106" s="1"/>
      <c r="CXM106" s="1"/>
      <c r="CXN106" s="1"/>
      <c r="CXO106" s="1"/>
      <c r="CXP106" s="1"/>
      <c r="CXQ106" s="1"/>
      <c r="CXR106" s="1"/>
      <c r="CXS106" s="1"/>
      <c r="CXT106" s="1"/>
      <c r="CXU106" s="1"/>
      <c r="CXV106" s="1"/>
      <c r="CXW106" s="1"/>
      <c r="CXX106" s="1"/>
      <c r="CXY106" s="1"/>
      <c r="CXZ106" s="1"/>
      <c r="CYA106" s="1"/>
      <c r="CYB106" s="1"/>
      <c r="CYC106" s="1"/>
      <c r="CYD106" s="1"/>
      <c r="CYE106" s="1"/>
      <c r="CYF106" s="1"/>
      <c r="CYG106" s="1"/>
      <c r="CYH106" s="1"/>
      <c r="CYI106" s="1"/>
      <c r="CYJ106" s="1"/>
      <c r="CYK106" s="1"/>
      <c r="CYL106" s="1"/>
      <c r="CYM106" s="1"/>
      <c r="CYN106" s="1"/>
      <c r="CYO106" s="1"/>
      <c r="CYP106" s="1"/>
      <c r="CYQ106" s="1"/>
      <c r="CYR106" s="1"/>
      <c r="CYS106" s="1"/>
      <c r="CYT106" s="1"/>
      <c r="CYU106" s="1"/>
      <c r="CYV106" s="1"/>
      <c r="CYW106" s="1"/>
      <c r="CYX106" s="1"/>
      <c r="CYY106" s="1"/>
      <c r="CYZ106" s="1"/>
      <c r="CZA106" s="1"/>
      <c r="CZB106" s="1"/>
      <c r="CZC106" s="1"/>
      <c r="CZD106" s="1"/>
      <c r="CZE106" s="1"/>
      <c r="CZF106" s="1"/>
      <c r="CZG106" s="1"/>
      <c r="CZH106" s="1"/>
      <c r="CZI106" s="1"/>
      <c r="CZJ106" s="1"/>
      <c r="CZK106" s="1"/>
      <c r="CZL106" s="1"/>
      <c r="CZM106" s="1"/>
      <c r="CZN106" s="1"/>
      <c r="CZO106" s="1"/>
      <c r="CZP106" s="1"/>
      <c r="CZQ106" s="1"/>
      <c r="CZR106" s="1"/>
      <c r="CZS106" s="1"/>
      <c r="CZT106" s="1"/>
      <c r="CZU106" s="1"/>
      <c r="CZV106" s="1"/>
      <c r="CZW106" s="1"/>
      <c r="CZX106" s="1"/>
      <c r="CZY106" s="1"/>
      <c r="CZZ106" s="1"/>
      <c r="DAA106" s="1"/>
      <c r="DAB106" s="1"/>
      <c r="DAC106" s="1"/>
      <c r="DAD106" s="1"/>
      <c r="DAE106" s="1"/>
      <c r="DAF106" s="1"/>
      <c r="DAG106" s="1"/>
      <c r="DAH106" s="1"/>
      <c r="DAI106" s="1"/>
      <c r="DAJ106" s="1"/>
      <c r="DAK106" s="1"/>
      <c r="DAL106" s="1"/>
      <c r="DAM106" s="1"/>
      <c r="DAN106" s="1"/>
      <c r="DAO106" s="1"/>
      <c r="DAP106" s="1"/>
      <c r="DAQ106" s="1"/>
      <c r="DAR106" s="1"/>
      <c r="DAS106" s="1"/>
      <c r="DAT106" s="1"/>
      <c r="DAU106" s="1"/>
      <c r="DAV106" s="1"/>
      <c r="DAW106" s="1"/>
      <c r="DAX106" s="1"/>
      <c r="DAY106" s="1"/>
      <c r="DAZ106" s="1"/>
      <c r="DBA106" s="1"/>
      <c r="DBB106" s="1"/>
      <c r="DBC106" s="1"/>
      <c r="DBD106" s="1"/>
      <c r="DBE106" s="1"/>
      <c r="DBF106" s="1"/>
      <c r="DBG106" s="1"/>
      <c r="DBH106" s="1"/>
      <c r="DBI106" s="1"/>
      <c r="DBJ106" s="1"/>
      <c r="DBK106" s="1"/>
      <c r="DBL106" s="1"/>
      <c r="DBM106" s="1"/>
      <c r="DBN106" s="1"/>
      <c r="DBO106" s="1"/>
      <c r="DBP106" s="1"/>
      <c r="DBQ106" s="1"/>
      <c r="DBR106" s="1"/>
      <c r="DBS106" s="1"/>
      <c r="DBT106" s="1"/>
      <c r="DBU106" s="1"/>
      <c r="DBV106" s="1"/>
      <c r="DBW106" s="1"/>
      <c r="DBX106" s="1"/>
      <c r="DBY106" s="1"/>
      <c r="DBZ106" s="1"/>
      <c r="DCA106" s="1"/>
      <c r="DCB106" s="1"/>
      <c r="DCC106" s="1"/>
      <c r="DCD106" s="1"/>
      <c r="DCE106" s="1"/>
      <c r="DCF106" s="1"/>
      <c r="DCG106" s="1"/>
      <c r="DCH106" s="1"/>
      <c r="DCI106" s="1"/>
      <c r="DCJ106" s="1"/>
      <c r="DCK106" s="1"/>
      <c r="DCL106" s="1"/>
      <c r="DCM106" s="1"/>
      <c r="DCN106" s="1"/>
      <c r="DCO106" s="1"/>
      <c r="DCP106" s="1"/>
      <c r="DCQ106" s="1"/>
      <c r="DCR106" s="1"/>
      <c r="DCS106" s="1"/>
      <c r="DCT106" s="1"/>
      <c r="DCU106" s="1"/>
      <c r="DCV106" s="1"/>
      <c r="DCW106" s="1"/>
      <c r="DCX106" s="1"/>
      <c r="DCY106" s="1"/>
      <c r="DCZ106" s="1"/>
      <c r="DDA106" s="1"/>
      <c r="DDB106" s="1"/>
      <c r="DDC106" s="1"/>
      <c r="DDD106" s="1"/>
      <c r="DDE106" s="1"/>
      <c r="DDF106" s="1"/>
      <c r="DDG106" s="1"/>
      <c r="DDH106" s="1"/>
      <c r="DDI106" s="1"/>
      <c r="DDJ106" s="1"/>
      <c r="DDK106" s="1"/>
      <c r="DDL106" s="1"/>
      <c r="DDM106" s="1"/>
      <c r="DDN106" s="1"/>
      <c r="DDO106" s="1"/>
      <c r="DDP106" s="1"/>
      <c r="DDQ106" s="1"/>
      <c r="DDR106" s="1"/>
      <c r="DDS106" s="1"/>
      <c r="DDT106" s="1"/>
      <c r="DDU106" s="1"/>
      <c r="DDV106" s="1"/>
      <c r="DDW106" s="1"/>
      <c r="DDX106" s="1"/>
      <c r="DDY106" s="1"/>
      <c r="DDZ106" s="1"/>
      <c r="DEA106" s="1"/>
      <c r="DEB106" s="1"/>
      <c r="DEC106" s="1"/>
      <c r="DED106" s="1"/>
      <c r="DEE106" s="1"/>
      <c r="DEF106" s="1"/>
      <c r="DEG106" s="1"/>
      <c r="DEH106" s="1"/>
      <c r="DEI106" s="1"/>
      <c r="DEJ106" s="1"/>
      <c r="DEK106" s="1"/>
      <c r="DEL106" s="1"/>
      <c r="DEM106" s="1"/>
      <c r="DEN106" s="1"/>
      <c r="DEO106" s="1"/>
      <c r="DEP106" s="1"/>
      <c r="DEQ106" s="1"/>
      <c r="DER106" s="1"/>
      <c r="DES106" s="1"/>
      <c r="DET106" s="1"/>
      <c r="DEU106" s="1"/>
      <c r="DEV106" s="1"/>
      <c r="DEW106" s="1"/>
      <c r="DEX106" s="1"/>
      <c r="DEY106" s="1"/>
      <c r="DEZ106" s="1"/>
      <c r="DFA106" s="1"/>
      <c r="DFB106" s="1"/>
      <c r="DFC106" s="1"/>
      <c r="DFD106" s="1"/>
      <c r="DFE106" s="1"/>
      <c r="DFF106" s="1"/>
      <c r="DFG106" s="1"/>
      <c r="DFH106" s="1"/>
      <c r="DFI106" s="1"/>
      <c r="DFJ106" s="1"/>
      <c r="DFK106" s="1"/>
      <c r="DFL106" s="1"/>
      <c r="DFM106" s="1"/>
      <c r="DFN106" s="1"/>
      <c r="DFO106" s="1"/>
      <c r="DFP106" s="1"/>
      <c r="DFQ106" s="1"/>
      <c r="DFR106" s="1"/>
      <c r="DFS106" s="1"/>
      <c r="DFT106" s="1"/>
      <c r="DFU106" s="1"/>
      <c r="DFV106" s="1"/>
      <c r="DFW106" s="1"/>
      <c r="DFX106" s="1"/>
      <c r="DFY106" s="1"/>
      <c r="DFZ106" s="1"/>
      <c r="DGA106" s="1"/>
      <c r="DGB106" s="1"/>
      <c r="DGC106" s="1"/>
      <c r="DGD106" s="1"/>
      <c r="DGE106" s="1"/>
      <c r="DGF106" s="1"/>
      <c r="DGG106" s="1"/>
      <c r="DGH106" s="1"/>
      <c r="DGI106" s="1"/>
      <c r="DGJ106" s="1"/>
      <c r="DGK106" s="1"/>
      <c r="DGL106" s="1"/>
      <c r="DGM106" s="1"/>
      <c r="DGN106" s="1"/>
      <c r="DGO106" s="1"/>
      <c r="DGP106" s="1"/>
      <c r="DGQ106" s="1"/>
      <c r="DGR106" s="1"/>
      <c r="DGS106" s="1"/>
      <c r="DGT106" s="1"/>
      <c r="DGU106" s="1"/>
      <c r="DGV106" s="1"/>
      <c r="DGW106" s="1"/>
      <c r="DGX106" s="1"/>
      <c r="DGY106" s="1"/>
      <c r="DGZ106" s="1"/>
      <c r="DHA106" s="1"/>
      <c r="DHB106" s="1"/>
      <c r="DHC106" s="1"/>
      <c r="DHD106" s="1"/>
      <c r="DHE106" s="1"/>
      <c r="DHF106" s="1"/>
      <c r="DHG106" s="1"/>
      <c r="DHH106" s="1"/>
      <c r="DHI106" s="1"/>
      <c r="DHJ106" s="1"/>
      <c r="DHK106" s="1"/>
      <c r="DHL106" s="1"/>
      <c r="DHM106" s="1"/>
      <c r="DHN106" s="1"/>
      <c r="DHO106" s="1"/>
      <c r="DHP106" s="1"/>
      <c r="DHQ106" s="1"/>
      <c r="DHR106" s="1"/>
      <c r="DHS106" s="1"/>
      <c r="DHT106" s="1"/>
      <c r="DHU106" s="1"/>
      <c r="DHV106" s="1"/>
      <c r="DHW106" s="1"/>
      <c r="DHX106" s="1"/>
      <c r="DHY106" s="1"/>
      <c r="DHZ106" s="1"/>
      <c r="DIA106" s="1"/>
      <c r="DIB106" s="1"/>
      <c r="DIC106" s="1"/>
      <c r="DID106" s="1"/>
      <c r="DIE106" s="1"/>
      <c r="DIF106" s="1"/>
      <c r="DIG106" s="1"/>
      <c r="DIH106" s="1"/>
      <c r="DII106" s="1"/>
      <c r="DIJ106" s="1"/>
      <c r="DIK106" s="1"/>
      <c r="DIL106" s="1"/>
      <c r="DIM106" s="1"/>
      <c r="DIN106" s="1"/>
      <c r="DIO106" s="1"/>
      <c r="DIP106" s="1"/>
      <c r="DIQ106" s="1"/>
      <c r="DIR106" s="1"/>
      <c r="DIS106" s="1"/>
      <c r="DIT106" s="1"/>
      <c r="DIU106" s="1"/>
      <c r="DIV106" s="1"/>
      <c r="DIW106" s="1"/>
      <c r="DIX106" s="1"/>
      <c r="DIY106" s="1"/>
      <c r="DIZ106" s="1"/>
      <c r="DJA106" s="1"/>
      <c r="DJB106" s="1"/>
      <c r="DJC106" s="1"/>
      <c r="DJD106" s="1"/>
      <c r="DJE106" s="1"/>
      <c r="DJF106" s="1"/>
      <c r="DJG106" s="1"/>
      <c r="DJH106" s="1"/>
      <c r="DJI106" s="1"/>
      <c r="DJJ106" s="1"/>
      <c r="DJK106" s="1"/>
      <c r="DJL106" s="1"/>
      <c r="DJM106" s="1"/>
      <c r="DJN106" s="1"/>
      <c r="DJO106" s="1"/>
      <c r="DJP106" s="1"/>
      <c r="DJQ106" s="1"/>
      <c r="DJR106" s="1"/>
      <c r="DJS106" s="1"/>
      <c r="DJT106" s="1"/>
      <c r="DJU106" s="1"/>
      <c r="DJV106" s="1"/>
      <c r="DJW106" s="1"/>
      <c r="DJX106" s="1"/>
      <c r="DJY106" s="1"/>
      <c r="DJZ106" s="1"/>
      <c r="DKA106" s="1"/>
      <c r="DKB106" s="1"/>
      <c r="DKC106" s="1"/>
      <c r="DKD106" s="1"/>
      <c r="DKE106" s="1"/>
      <c r="DKF106" s="1"/>
      <c r="DKG106" s="1"/>
      <c r="DKH106" s="1"/>
      <c r="DKI106" s="1"/>
      <c r="DKJ106" s="1"/>
      <c r="DKK106" s="1"/>
      <c r="DKL106" s="1"/>
      <c r="DKM106" s="1"/>
      <c r="DKN106" s="1"/>
      <c r="DKO106" s="1"/>
      <c r="DKP106" s="1"/>
      <c r="DKQ106" s="1"/>
      <c r="DKR106" s="1"/>
      <c r="DKS106" s="1"/>
      <c r="DKT106" s="1"/>
      <c r="DKU106" s="1"/>
      <c r="DKV106" s="1"/>
      <c r="DKW106" s="1"/>
      <c r="DKX106" s="1"/>
      <c r="DKY106" s="1"/>
      <c r="DKZ106" s="1"/>
      <c r="DLA106" s="1"/>
      <c r="DLB106" s="1"/>
      <c r="DLC106" s="1"/>
      <c r="DLD106" s="1"/>
      <c r="DLE106" s="1"/>
      <c r="DLF106" s="1"/>
      <c r="DLG106" s="1"/>
      <c r="DLH106" s="1"/>
      <c r="DLI106" s="1"/>
      <c r="DLJ106" s="1"/>
      <c r="DLK106" s="1"/>
      <c r="DLL106" s="1"/>
      <c r="DLM106" s="1"/>
      <c r="DLN106" s="1"/>
      <c r="DLO106" s="1"/>
      <c r="DLP106" s="1"/>
      <c r="DLQ106" s="1"/>
      <c r="DLR106" s="1"/>
      <c r="DLS106" s="1"/>
      <c r="DLT106" s="1"/>
      <c r="DLU106" s="1"/>
      <c r="DLV106" s="1"/>
      <c r="DLW106" s="1"/>
      <c r="DLX106" s="1"/>
      <c r="DLY106" s="1"/>
      <c r="DLZ106" s="1"/>
      <c r="DMA106" s="1"/>
      <c r="DMB106" s="1"/>
      <c r="DMC106" s="1"/>
      <c r="DMD106" s="1"/>
      <c r="DME106" s="1"/>
      <c r="DMF106" s="1"/>
      <c r="DMG106" s="1"/>
      <c r="DMH106" s="1"/>
      <c r="DMI106" s="1"/>
      <c r="DMJ106" s="1"/>
      <c r="DMK106" s="1"/>
      <c r="DML106" s="1"/>
      <c r="DMM106" s="1"/>
      <c r="DMN106" s="1"/>
      <c r="DMO106" s="1"/>
      <c r="DMP106" s="1"/>
      <c r="DMQ106" s="1"/>
      <c r="DMR106" s="1"/>
      <c r="DMS106" s="1"/>
      <c r="DMT106" s="1"/>
      <c r="DMU106" s="1"/>
      <c r="DMV106" s="1"/>
      <c r="DMW106" s="1"/>
      <c r="DMX106" s="1"/>
      <c r="DMY106" s="1"/>
      <c r="DMZ106" s="1"/>
      <c r="DNA106" s="1"/>
      <c r="DNB106" s="1"/>
      <c r="DNC106" s="1"/>
      <c r="DND106" s="1"/>
      <c r="DNE106" s="1"/>
      <c r="DNF106" s="1"/>
      <c r="DNG106" s="1"/>
      <c r="DNH106" s="1"/>
      <c r="DNI106" s="1"/>
      <c r="DNJ106" s="1"/>
      <c r="DNK106" s="1"/>
      <c r="DNL106" s="1"/>
      <c r="DNM106" s="1"/>
      <c r="DNN106" s="1"/>
      <c r="DNO106" s="1"/>
      <c r="DNP106" s="1"/>
      <c r="DNQ106" s="1"/>
      <c r="DNR106" s="1"/>
      <c r="DNS106" s="1"/>
      <c r="DNT106" s="1"/>
      <c r="DNU106" s="1"/>
      <c r="DNV106" s="1"/>
      <c r="DNW106" s="1"/>
      <c r="DNX106" s="1"/>
      <c r="DNY106" s="1"/>
      <c r="DNZ106" s="1"/>
      <c r="DOA106" s="1"/>
      <c r="DOB106" s="1"/>
      <c r="DOC106" s="1"/>
      <c r="DOD106" s="1"/>
      <c r="DOE106" s="1"/>
      <c r="DOF106" s="1"/>
      <c r="DOG106" s="1"/>
      <c r="DOH106" s="1"/>
      <c r="DOI106" s="1"/>
      <c r="DOJ106" s="1"/>
      <c r="DOK106" s="1"/>
      <c r="DOL106" s="1"/>
      <c r="DOM106" s="1"/>
      <c r="DON106" s="1"/>
      <c r="DOO106" s="1"/>
      <c r="DOP106" s="1"/>
      <c r="DOQ106" s="1"/>
      <c r="DOR106" s="1"/>
      <c r="DOS106" s="1"/>
      <c r="DOT106" s="1"/>
      <c r="DOU106" s="1"/>
      <c r="DOV106" s="1"/>
      <c r="DOW106" s="1"/>
      <c r="DOX106" s="1"/>
      <c r="DOY106" s="1"/>
      <c r="DOZ106" s="1"/>
      <c r="DPA106" s="1"/>
      <c r="DPB106" s="1"/>
      <c r="DPC106" s="1"/>
      <c r="DPD106" s="1"/>
      <c r="DPE106" s="1"/>
      <c r="DPF106" s="1"/>
      <c r="DPG106" s="1"/>
      <c r="DPH106" s="1"/>
      <c r="DPI106" s="1"/>
      <c r="DPJ106" s="1"/>
      <c r="DPK106" s="1"/>
      <c r="DPL106" s="1"/>
      <c r="DPM106" s="1"/>
      <c r="DPN106" s="1"/>
      <c r="DPO106" s="1"/>
      <c r="DPP106" s="1"/>
      <c r="DPQ106" s="1"/>
      <c r="DPR106" s="1"/>
      <c r="DPS106" s="1"/>
      <c r="DPT106" s="1"/>
      <c r="DPU106" s="1"/>
      <c r="DPV106" s="1"/>
      <c r="DPW106" s="1"/>
      <c r="DPX106" s="1"/>
      <c r="DPY106" s="1"/>
      <c r="DPZ106" s="1"/>
      <c r="DQA106" s="1"/>
      <c r="DQB106" s="1"/>
      <c r="DQC106" s="1"/>
      <c r="DQD106" s="1"/>
      <c r="DQE106" s="1"/>
      <c r="DQF106" s="1"/>
      <c r="DQG106" s="1"/>
      <c r="DQH106" s="1"/>
      <c r="DQI106" s="1"/>
      <c r="DQJ106" s="1"/>
      <c r="DQK106" s="1"/>
      <c r="DQL106" s="1"/>
      <c r="DQM106" s="1"/>
      <c r="DQN106" s="1"/>
      <c r="DQO106" s="1"/>
      <c r="DQP106" s="1"/>
      <c r="DQQ106" s="1"/>
      <c r="DQR106" s="1"/>
      <c r="DQS106" s="1"/>
      <c r="DQT106" s="1"/>
      <c r="DQU106" s="1"/>
      <c r="DQV106" s="1"/>
      <c r="DQW106" s="1"/>
      <c r="DQX106" s="1"/>
      <c r="DQY106" s="1"/>
      <c r="DQZ106" s="1"/>
      <c r="DRA106" s="1"/>
      <c r="DRB106" s="1"/>
      <c r="DRC106" s="1"/>
      <c r="DRD106" s="1"/>
      <c r="DRE106" s="1"/>
      <c r="DRF106" s="1"/>
      <c r="DRG106" s="1"/>
      <c r="DRH106" s="1"/>
      <c r="DRI106" s="1"/>
      <c r="DRJ106" s="1"/>
      <c r="DRK106" s="1"/>
      <c r="DRL106" s="1"/>
      <c r="DRM106" s="1"/>
      <c r="DRN106" s="1"/>
      <c r="DRO106" s="1"/>
      <c r="DRP106" s="1"/>
      <c r="DRQ106" s="1"/>
      <c r="DRR106" s="1"/>
      <c r="DRS106" s="1"/>
      <c r="DRT106" s="1"/>
      <c r="DRU106" s="1"/>
      <c r="DRV106" s="1"/>
      <c r="DRW106" s="1"/>
      <c r="DRX106" s="1"/>
      <c r="DRY106" s="1"/>
      <c r="DRZ106" s="1"/>
      <c r="DSA106" s="1"/>
      <c r="DSB106" s="1"/>
      <c r="DSC106" s="1"/>
      <c r="DSD106" s="1"/>
      <c r="DSE106" s="1"/>
      <c r="DSF106" s="1"/>
      <c r="DSG106" s="1"/>
      <c r="DSH106" s="1"/>
      <c r="DSI106" s="1"/>
      <c r="DSJ106" s="1"/>
      <c r="DSK106" s="1"/>
      <c r="DSL106" s="1"/>
      <c r="DSM106" s="1"/>
      <c r="DSN106" s="1"/>
      <c r="DSO106" s="1"/>
      <c r="DSP106" s="1"/>
      <c r="DSQ106" s="1"/>
      <c r="DSR106" s="1"/>
      <c r="DSS106" s="1"/>
      <c r="DST106" s="1"/>
      <c r="DSU106" s="1"/>
      <c r="DSV106" s="1"/>
      <c r="DSW106" s="1"/>
      <c r="DSX106" s="1"/>
      <c r="DSY106" s="1"/>
      <c r="DSZ106" s="1"/>
      <c r="DTA106" s="1"/>
      <c r="DTB106" s="1"/>
      <c r="DTC106" s="1"/>
      <c r="DTD106" s="1"/>
      <c r="DTE106" s="1"/>
      <c r="DTF106" s="1"/>
      <c r="DTG106" s="1"/>
      <c r="DTH106" s="1"/>
      <c r="DTI106" s="1"/>
      <c r="DTJ106" s="1"/>
      <c r="DTK106" s="1"/>
      <c r="DTL106" s="1"/>
      <c r="DTM106" s="1"/>
      <c r="DTN106" s="1"/>
      <c r="DTO106" s="1"/>
      <c r="DTP106" s="1"/>
      <c r="DTQ106" s="1"/>
      <c r="DTR106" s="1"/>
      <c r="DTS106" s="1"/>
      <c r="DTT106" s="1"/>
      <c r="DTU106" s="1"/>
      <c r="DTV106" s="1"/>
      <c r="DTW106" s="1"/>
      <c r="DTX106" s="1"/>
      <c r="DTY106" s="1"/>
      <c r="DTZ106" s="1"/>
      <c r="DUA106" s="1"/>
      <c r="DUB106" s="1"/>
      <c r="DUC106" s="1"/>
      <c r="DUD106" s="1"/>
      <c r="DUE106" s="1"/>
      <c r="DUF106" s="1"/>
      <c r="DUG106" s="1"/>
      <c r="DUH106" s="1"/>
      <c r="DUI106" s="1"/>
      <c r="DUJ106" s="1"/>
      <c r="DUK106" s="1"/>
      <c r="DUL106" s="1"/>
      <c r="DUM106" s="1"/>
      <c r="DUN106" s="1"/>
      <c r="DUO106" s="1"/>
      <c r="DUP106" s="1"/>
      <c r="DUQ106" s="1"/>
      <c r="DUR106" s="1"/>
      <c r="DUS106" s="1"/>
      <c r="DUT106" s="1"/>
      <c r="DUU106" s="1"/>
      <c r="DUV106" s="1"/>
      <c r="DUW106" s="1"/>
      <c r="DUX106" s="1"/>
      <c r="DUY106" s="1"/>
      <c r="DUZ106" s="1"/>
      <c r="DVA106" s="1"/>
      <c r="DVB106" s="1"/>
      <c r="DVC106" s="1"/>
      <c r="DVD106" s="1"/>
      <c r="DVE106" s="1"/>
      <c r="DVF106" s="1"/>
      <c r="DVG106" s="1"/>
      <c r="DVH106" s="1"/>
      <c r="DVI106" s="1"/>
      <c r="DVJ106" s="1"/>
      <c r="DVK106" s="1"/>
      <c r="DVL106" s="1"/>
      <c r="DVM106" s="1"/>
      <c r="DVN106" s="1"/>
      <c r="DVO106" s="1"/>
      <c r="DVP106" s="1"/>
      <c r="DVQ106" s="1"/>
      <c r="DVR106" s="1"/>
      <c r="DVS106" s="1"/>
      <c r="DVT106" s="1"/>
      <c r="DVU106" s="1"/>
      <c r="DVV106" s="1"/>
      <c r="DVW106" s="1"/>
      <c r="DVX106" s="1"/>
      <c r="DVY106" s="1"/>
      <c r="DVZ106" s="1"/>
      <c r="DWA106" s="1"/>
      <c r="DWB106" s="1"/>
      <c r="DWC106" s="1"/>
      <c r="DWD106" s="1"/>
      <c r="DWE106" s="1"/>
      <c r="DWF106" s="1"/>
      <c r="DWG106" s="1"/>
      <c r="DWH106" s="1"/>
      <c r="DWI106" s="1"/>
      <c r="DWJ106" s="1"/>
      <c r="DWK106" s="1"/>
      <c r="DWL106" s="1"/>
      <c r="DWM106" s="1"/>
      <c r="DWN106" s="1"/>
      <c r="DWO106" s="1"/>
      <c r="DWP106" s="1"/>
      <c r="DWQ106" s="1"/>
      <c r="DWR106" s="1"/>
      <c r="DWS106" s="1"/>
      <c r="DWT106" s="1"/>
      <c r="DWU106" s="1"/>
      <c r="DWV106" s="1"/>
      <c r="DWW106" s="1"/>
      <c r="DWX106" s="1"/>
      <c r="DWY106" s="1"/>
      <c r="DWZ106" s="1"/>
      <c r="DXA106" s="1"/>
      <c r="DXB106" s="1"/>
      <c r="DXC106" s="1"/>
      <c r="DXD106" s="1"/>
      <c r="DXE106" s="1"/>
      <c r="DXF106" s="1"/>
      <c r="DXG106" s="1"/>
      <c r="DXH106" s="1"/>
      <c r="DXI106" s="1"/>
      <c r="DXJ106" s="1"/>
      <c r="DXK106" s="1"/>
      <c r="DXL106" s="1"/>
      <c r="DXM106" s="1"/>
      <c r="DXN106" s="1"/>
      <c r="DXO106" s="1"/>
      <c r="DXP106" s="1"/>
      <c r="DXQ106" s="1"/>
      <c r="DXR106" s="1"/>
      <c r="DXS106" s="1"/>
      <c r="DXT106" s="1"/>
      <c r="DXU106" s="1"/>
      <c r="DXV106" s="1"/>
      <c r="DXW106" s="1"/>
      <c r="DXX106" s="1"/>
      <c r="DXY106" s="1"/>
      <c r="DXZ106" s="1"/>
      <c r="DYA106" s="1"/>
      <c r="DYB106" s="1"/>
      <c r="DYC106" s="1"/>
      <c r="DYD106" s="1"/>
      <c r="DYE106" s="1"/>
      <c r="DYF106" s="1"/>
      <c r="DYG106" s="1"/>
      <c r="DYH106" s="1"/>
      <c r="DYI106" s="1"/>
      <c r="DYJ106" s="1"/>
      <c r="DYK106" s="1"/>
      <c r="DYL106" s="1"/>
      <c r="DYM106" s="1"/>
      <c r="DYN106" s="1"/>
      <c r="DYO106" s="1"/>
      <c r="DYP106" s="1"/>
      <c r="DYQ106" s="1"/>
      <c r="DYR106" s="1"/>
      <c r="DYS106" s="1"/>
      <c r="DYT106" s="1"/>
      <c r="DYU106" s="1"/>
      <c r="DYV106" s="1"/>
      <c r="DYW106" s="1"/>
      <c r="DYX106" s="1"/>
      <c r="DYY106" s="1"/>
      <c r="DYZ106" s="1"/>
      <c r="DZA106" s="1"/>
      <c r="DZB106" s="1"/>
      <c r="DZC106" s="1"/>
      <c r="DZD106" s="1"/>
      <c r="DZE106" s="1"/>
      <c r="DZF106" s="1"/>
      <c r="DZG106" s="1"/>
      <c r="DZH106" s="1"/>
      <c r="DZI106" s="1"/>
      <c r="DZJ106" s="1"/>
      <c r="DZK106" s="1"/>
      <c r="DZL106" s="1"/>
      <c r="DZM106" s="1"/>
      <c r="DZN106" s="1"/>
      <c r="DZO106" s="1"/>
      <c r="DZP106" s="1"/>
      <c r="DZQ106" s="1"/>
      <c r="DZR106" s="1"/>
      <c r="DZS106" s="1"/>
      <c r="DZT106" s="1"/>
      <c r="DZU106" s="1"/>
      <c r="DZV106" s="1"/>
      <c r="DZW106" s="1"/>
      <c r="DZX106" s="1"/>
      <c r="DZY106" s="1"/>
      <c r="DZZ106" s="1"/>
      <c r="EAA106" s="1"/>
      <c r="EAB106" s="1"/>
      <c r="EAC106" s="1"/>
      <c r="EAD106" s="1"/>
      <c r="EAE106" s="1"/>
      <c r="EAF106" s="1"/>
      <c r="EAG106" s="1"/>
      <c r="EAH106" s="1"/>
      <c r="EAI106" s="1"/>
      <c r="EAJ106" s="1"/>
      <c r="EAK106" s="1"/>
      <c r="EAL106" s="1"/>
      <c r="EAM106" s="1"/>
      <c r="EAN106" s="1"/>
      <c r="EAO106" s="1"/>
      <c r="EAP106" s="1"/>
      <c r="EAQ106" s="1"/>
      <c r="EAR106" s="1"/>
      <c r="EAS106" s="1"/>
      <c r="EAT106" s="1"/>
      <c r="EAU106" s="1"/>
      <c r="EAV106" s="1"/>
      <c r="EAW106" s="1"/>
      <c r="EAX106" s="1"/>
      <c r="EAY106" s="1"/>
      <c r="EAZ106" s="1"/>
      <c r="EBA106" s="1"/>
      <c r="EBB106" s="1"/>
      <c r="EBC106" s="1"/>
      <c r="EBD106" s="1"/>
      <c r="EBE106" s="1"/>
      <c r="EBF106" s="1"/>
      <c r="EBG106" s="1"/>
      <c r="EBH106" s="1"/>
      <c r="EBI106" s="1"/>
      <c r="EBJ106" s="1"/>
      <c r="EBK106" s="1"/>
      <c r="EBL106" s="1"/>
      <c r="EBM106" s="1"/>
      <c r="EBN106" s="1"/>
      <c r="EBO106" s="1"/>
      <c r="EBP106" s="1"/>
      <c r="EBQ106" s="1"/>
      <c r="EBR106" s="1"/>
      <c r="EBS106" s="1"/>
      <c r="EBT106" s="1"/>
      <c r="EBU106" s="1"/>
      <c r="EBV106" s="1"/>
      <c r="EBW106" s="1"/>
      <c r="EBX106" s="1"/>
      <c r="EBY106" s="1"/>
      <c r="EBZ106" s="1"/>
      <c r="ECA106" s="1"/>
      <c r="ECB106" s="1"/>
      <c r="ECC106" s="1"/>
      <c r="ECD106" s="1"/>
      <c r="ECE106" s="1"/>
      <c r="ECF106" s="1"/>
      <c r="ECG106" s="1"/>
      <c r="ECH106" s="1"/>
      <c r="ECI106" s="1"/>
      <c r="ECJ106" s="1"/>
      <c r="ECK106" s="1"/>
      <c r="ECL106" s="1"/>
      <c r="ECM106" s="1"/>
      <c r="ECN106" s="1"/>
      <c r="ECO106" s="1"/>
      <c r="ECP106" s="1"/>
      <c r="ECQ106" s="1"/>
      <c r="ECR106" s="1"/>
      <c r="ECS106" s="1"/>
      <c r="ECT106" s="1"/>
      <c r="ECU106" s="1"/>
      <c r="ECV106" s="1"/>
      <c r="ECW106" s="1"/>
      <c r="ECX106" s="1"/>
      <c r="ECY106" s="1"/>
      <c r="ECZ106" s="1"/>
      <c r="EDA106" s="1"/>
      <c r="EDB106" s="1"/>
      <c r="EDC106" s="1"/>
      <c r="EDD106" s="1"/>
      <c r="EDE106" s="1"/>
      <c r="EDF106" s="1"/>
      <c r="EDG106" s="1"/>
      <c r="EDH106" s="1"/>
      <c r="EDI106" s="1"/>
      <c r="EDJ106" s="1"/>
      <c r="EDK106" s="1"/>
      <c r="EDL106" s="1"/>
      <c r="EDM106" s="1"/>
      <c r="EDN106" s="1"/>
      <c r="EDO106" s="1"/>
      <c r="EDP106" s="1"/>
      <c r="EDQ106" s="1"/>
      <c r="EDR106" s="1"/>
      <c r="EDS106" s="1"/>
      <c r="EDT106" s="1"/>
      <c r="EDU106" s="1"/>
      <c r="EDV106" s="1"/>
      <c r="EDW106" s="1"/>
      <c r="EDX106" s="1"/>
      <c r="EDY106" s="1"/>
      <c r="EDZ106" s="1"/>
      <c r="EEA106" s="1"/>
      <c r="EEB106" s="1"/>
      <c r="EEC106" s="1"/>
      <c r="EED106" s="1"/>
      <c r="EEE106" s="1"/>
      <c r="EEF106" s="1"/>
      <c r="EEG106" s="1"/>
      <c r="EEH106" s="1"/>
      <c r="EEI106" s="1"/>
      <c r="EEJ106" s="1"/>
      <c r="EEK106" s="1"/>
      <c r="EEL106" s="1"/>
      <c r="EEM106" s="1"/>
      <c r="EEN106" s="1"/>
      <c r="EEO106" s="1"/>
      <c r="EEP106" s="1"/>
      <c r="EEQ106" s="1"/>
      <c r="EER106" s="1"/>
      <c r="EES106" s="1"/>
      <c r="EET106" s="1"/>
      <c r="EEU106" s="1"/>
      <c r="EEV106" s="1"/>
      <c r="EEW106" s="1"/>
      <c r="EEX106" s="1"/>
      <c r="EEY106" s="1"/>
      <c r="EEZ106" s="1"/>
      <c r="EFA106" s="1"/>
      <c r="EFB106" s="1"/>
      <c r="EFC106" s="1"/>
      <c r="EFD106" s="1"/>
      <c r="EFE106" s="1"/>
      <c r="EFF106" s="1"/>
      <c r="EFG106" s="1"/>
      <c r="EFH106" s="1"/>
      <c r="EFI106" s="1"/>
      <c r="EFJ106" s="1"/>
      <c r="EFK106" s="1"/>
      <c r="EFL106" s="1"/>
      <c r="EFM106" s="1"/>
      <c r="EFN106" s="1"/>
      <c r="EFO106" s="1"/>
      <c r="EFP106" s="1"/>
      <c r="EFQ106" s="1"/>
      <c r="EFR106" s="1"/>
      <c r="EFS106" s="1"/>
      <c r="EFT106" s="1"/>
      <c r="EFU106" s="1"/>
      <c r="EFV106" s="1"/>
      <c r="EFW106" s="1"/>
      <c r="EFX106" s="1"/>
      <c r="EFY106" s="1"/>
      <c r="EFZ106" s="1"/>
      <c r="EGA106" s="1"/>
      <c r="EGB106" s="1"/>
      <c r="EGC106" s="1"/>
      <c r="EGD106" s="1"/>
      <c r="EGE106" s="1"/>
      <c r="EGF106" s="1"/>
      <c r="EGG106" s="1"/>
      <c r="EGH106" s="1"/>
      <c r="EGI106" s="1"/>
      <c r="EGJ106" s="1"/>
      <c r="EGK106" s="1"/>
      <c r="EGL106" s="1"/>
      <c r="EGM106" s="1"/>
      <c r="EGN106" s="1"/>
      <c r="EGO106" s="1"/>
      <c r="EGP106" s="1"/>
      <c r="EGQ106" s="1"/>
      <c r="EGR106" s="1"/>
      <c r="EGS106" s="1"/>
      <c r="EGT106" s="1"/>
      <c r="EGU106" s="1"/>
      <c r="EGV106" s="1"/>
      <c r="EGW106" s="1"/>
      <c r="EGX106" s="1"/>
      <c r="EGY106" s="1"/>
      <c r="EGZ106" s="1"/>
      <c r="EHA106" s="1"/>
      <c r="EHB106" s="1"/>
      <c r="EHC106" s="1"/>
      <c r="EHD106" s="1"/>
      <c r="EHE106" s="1"/>
      <c r="EHF106" s="1"/>
      <c r="EHG106" s="1"/>
      <c r="EHH106" s="1"/>
      <c r="EHI106" s="1"/>
      <c r="EHJ106" s="1"/>
      <c r="EHK106" s="1"/>
      <c r="EHL106" s="1"/>
      <c r="EHM106" s="1"/>
      <c r="EHN106" s="1"/>
      <c r="EHO106" s="1"/>
      <c r="EHP106" s="1"/>
      <c r="EHQ106" s="1"/>
      <c r="EHR106" s="1"/>
      <c r="EHS106" s="1"/>
      <c r="EHT106" s="1"/>
      <c r="EHU106" s="1"/>
      <c r="EHV106" s="1"/>
      <c r="EHW106" s="1"/>
      <c r="EHX106" s="1"/>
      <c r="EHY106" s="1"/>
      <c r="EHZ106" s="1"/>
      <c r="EIA106" s="1"/>
      <c r="EIB106" s="1"/>
      <c r="EIC106" s="1"/>
      <c r="EID106" s="1"/>
      <c r="EIE106" s="1"/>
      <c r="EIF106" s="1"/>
      <c r="EIG106" s="1"/>
      <c r="EIH106" s="1"/>
      <c r="EII106" s="1"/>
      <c r="EIJ106" s="1"/>
      <c r="EIK106" s="1"/>
      <c r="EIL106" s="1"/>
      <c r="EIM106" s="1"/>
      <c r="EIN106" s="1"/>
      <c r="EIO106" s="1"/>
      <c r="EIP106" s="1"/>
      <c r="EIQ106" s="1"/>
      <c r="EIR106" s="1"/>
      <c r="EIS106" s="1"/>
      <c r="EIT106" s="1"/>
      <c r="EIU106" s="1"/>
      <c r="EIV106" s="1"/>
      <c r="EIW106" s="1"/>
      <c r="EIX106" s="1"/>
      <c r="EIY106" s="1"/>
      <c r="EIZ106" s="1"/>
      <c r="EJA106" s="1"/>
      <c r="EJB106" s="1"/>
      <c r="EJC106" s="1"/>
      <c r="EJD106" s="1"/>
      <c r="EJE106" s="1"/>
      <c r="EJF106" s="1"/>
      <c r="EJG106" s="1"/>
      <c r="EJH106" s="1"/>
      <c r="EJI106" s="1"/>
      <c r="EJJ106" s="1"/>
      <c r="EJK106" s="1"/>
      <c r="EJL106" s="1"/>
      <c r="EJM106" s="1"/>
      <c r="EJN106" s="1"/>
      <c r="EJO106" s="1"/>
      <c r="EJP106" s="1"/>
      <c r="EJQ106" s="1"/>
      <c r="EJR106" s="1"/>
      <c r="EJS106" s="1"/>
      <c r="EJT106" s="1"/>
      <c r="EJU106" s="1"/>
      <c r="EJV106" s="1"/>
      <c r="EJW106" s="1"/>
      <c r="EJX106" s="1"/>
      <c r="EJY106" s="1"/>
      <c r="EJZ106" s="1"/>
      <c r="EKA106" s="1"/>
      <c r="EKB106" s="1"/>
      <c r="EKC106" s="1"/>
      <c r="EKD106" s="1"/>
      <c r="EKE106" s="1"/>
      <c r="EKF106" s="1"/>
      <c r="EKG106" s="1"/>
      <c r="EKH106" s="1"/>
      <c r="EKI106" s="1"/>
      <c r="EKJ106" s="1"/>
      <c r="EKK106" s="1"/>
      <c r="EKL106" s="1"/>
      <c r="EKM106" s="1"/>
      <c r="EKN106" s="1"/>
      <c r="EKO106" s="1"/>
      <c r="EKP106" s="1"/>
      <c r="EKQ106" s="1"/>
      <c r="EKR106" s="1"/>
      <c r="EKS106" s="1"/>
      <c r="EKT106" s="1"/>
      <c r="EKU106" s="1"/>
      <c r="EKV106" s="1"/>
      <c r="EKW106" s="1"/>
      <c r="EKX106" s="1"/>
      <c r="EKY106" s="1"/>
      <c r="EKZ106" s="1"/>
      <c r="ELA106" s="1"/>
      <c r="ELB106" s="1"/>
      <c r="ELC106" s="1"/>
      <c r="ELD106" s="1"/>
      <c r="ELE106" s="1"/>
      <c r="ELF106" s="1"/>
      <c r="ELG106" s="1"/>
      <c r="ELH106" s="1"/>
      <c r="ELI106" s="1"/>
      <c r="ELJ106" s="1"/>
      <c r="ELK106" s="1"/>
      <c r="ELL106" s="1"/>
      <c r="ELM106" s="1"/>
      <c r="ELN106" s="1"/>
      <c r="ELO106" s="1"/>
      <c r="ELP106" s="1"/>
      <c r="ELQ106" s="1"/>
      <c r="ELR106" s="1"/>
      <c r="ELS106" s="1"/>
      <c r="ELT106" s="1"/>
      <c r="ELU106" s="1"/>
      <c r="ELV106" s="1"/>
      <c r="ELW106" s="1"/>
      <c r="ELX106" s="1"/>
      <c r="ELY106" s="1"/>
      <c r="ELZ106" s="1"/>
      <c r="EMA106" s="1"/>
      <c r="EMB106" s="1"/>
      <c r="EMC106" s="1"/>
      <c r="EMD106" s="1"/>
      <c r="EME106" s="1"/>
      <c r="EMF106" s="1"/>
      <c r="EMG106" s="1"/>
      <c r="EMH106" s="1"/>
      <c r="EMI106" s="1"/>
      <c r="EMJ106" s="1"/>
      <c r="EMK106" s="1"/>
      <c r="EML106" s="1"/>
      <c r="EMM106" s="1"/>
      <c r="EMN106" s="1"/>
      <c r="EMO106" s="1"/>
      <c r="EMP106" s="1"/>
      <c r="EMQ106" s="1"/>
      <c r="EMR106" s="1"/>
      <c r="EMS106" s="1"/>
      <c r="EMT106" s="1"/>
      <c r="EMU106" s="1"/>
      <c r="EMV106" s="1"/>
      <c r="EMW106" s="1"/>
      <c r="EMX106" s="1"/>
      <c r="EMY106" s="1"/>
      <c r="EMZ106" s="1"/>
      <c r="ENA106" s="1"/>
      <c r="ENB106" s="1"/>
      <c r="ENC106" s="1"/>
      <c r="END106" s="1"/>
      <c r="ENE106" s="1"/>
      <c r="ENF106" s="1"/>
      <c r="ENG106" s="1"/>
      <c r="ENH106" s="1"/>
      <c r="ENI106" s="1"/>
      <c r="ENJ106" s="1"/>
      <c r="ENK106" s="1"/>
      <c r="ENL106" s="1"/>
      <c r="ENM106" s="1"/>
      <c r="ENN106" s="1"/>
      <c r="ENO106" s="1"/>
      <c r="ENP106" s="1"/>
      <c r="ENQ106" s="1"/>
      <c r="ENR106" s="1"/>
      <c r="ENS106" s="1"/>
      <c r="ENT106" s="1"/>
      <c r="ENU106" s="1"/>
      <c r="ENV106" s="1"/>
      <c r="ENW106" s="1"/>
      <c r="ENX106" s="1"/>
      <c r="ENY106" s="1"/>
      <c r="ENZ106" s="1"/>
      <c r="EOA106" s="1"/>
      <c r="EOB106" s="1"/>
      <c r="EOC106" s="1"/>
      <c r="EOD106" s="1"/>
      <c r="EOE106" s="1"/>
      <c r="EOF106" s="1"/>
      <c r="EOG106" s="1"/>
      <c r="EOH106" s="1"/>
      <c r="EOI106" s="1"/>
      <c r="EOJ106" s="1"/>
      <c r="EOK106" s="1"/>
      <c r="EOL106" s="1"/>
      <c r="EOM106" s="1"/>
      <c r="EON106" s="1"/>
      <c r="EOO106" s="1"/>
      <c r="EOP106" s="1"/>
      <c r="EOQ106" s="1"/>
      <c r="EOR106" s="1"/>
      <c r="EOS106" s="1"/>
      <c r="EOT106" s="1"/>
      <c r="EOU106" s="1"/>
      <c r="EOV106" s="1"/>
      <c r="EOW106" s="1"/>
      <c r="EOX106" s="1"/>
      <c r="EOY106" s="1"/>
      <c r="EOZ106" s="1"/>
      <c r="EPA106" s="1"/>
      <c r="EPB106" s="1"/>
      <c r="EPC106" s="1"/>
      <c r="EPD106" s="1"/>
      <c r="EPE106" s="1"/>
      <c r="EPF106" s="1"/>
      <c r="EPG106" s="1"/>
      <c r="EPH106" s="1"/>
      <c r="EPI106" s="1"/>
      <c r="EPJ106" s="1"/>
      <c r="EPK106" s="1"/>
      <c r="EPL106" s="1"/>
      <c r="EPM106" s="1"/>
      <c r="EPN106" s="1"/>
      <c r="EPO106" s="1"/>
      <c r="EPP106" s="1"/>
      <c r="EPQ106" s="1"/>
      <c r="EPR106" s="1"/>
      <c r="EPS106" s="1"/>
      <c r="EPT106" s="1"/>
      <c r="EPU106" s="1"/>
      <c r="EPV106" s="1"/>
      <c r="EPW106" s="1"/>
      <c r="EPX106" s="1"/>
      <c r="EPY106" s="1"/>
      <c r="EPZ106" s="1"/>
      <c r="EQA106" s="1"/>
      <c r="EQB106" s="1"/>
      <c r="EQC106" s="1"/>
      <c r="EQD106" s="1"/>
      <c r="EQE106" s="1"/>
      <c r="EQF106" s="1"/>
      <c r="EQG106" s="1"/>
      <c r="EQH106" s="1"/>
      <c r="EQI106" s="1"/>
      <c r="EQJ106" s="1"/>
      <c r="EQK106" s="1"/>
      <c r="EQL106" s="1"/>
      <c r="EQM106" s="1"/>
      <c r="EQN106" s="1"/>
      <c r="EQO106" s="1"/>
      <c r="EQP106" s="1"/>
      <c r="EQQ106" s="1"/>
      <c r="EQR106" s="1"/>
      <c r="EQS106" s="1"/>
      <c r="EQT106" s="1"/>
      <c r="EQU106" s="1"/>
      <c r="EQV106" s="1"/>
      <c r="EQW106" s="1"/>
      <c r="EQX106" s="1"/>
      <c r="EQY106" s="1"/>
      <c r="EQZ106" s="1"/>
      <c r="ERA106" s="1"/>
      <c r="ERB106" s="1"/>
      <c r="ERC106" s="1"/>
      <c r="ERD106" s="1"/>
      <c r="ERE106" s="1"/>
      <c r="ERF106" s="1"/>
      <c r="ERG106" s="1"/>
      <c r="ERH106" s="1"/>
      <c r="ERI106" s="1"/>
      <c r="ERJ106" s="1"/>
      <c r="ERK106" s="1"/>
      <c r="ERL106" s="1"/>
      <c r="ERM106" s="1"/>
      <c r="ERN106" s="1"/>
      <c r="ERO106" s="1"/>
      <c r="ERP106" s="1"/>
      <c r="ERQ106" s="1"/>
      <c r="ERR106" s="1"/>
      <c r="ERS106" s="1"/>
      <c r="ERT106" s="1"/>
      <c r="ERU106" s="1"/>
      <c r="ERV106" s="1"/>
      <c r="ERW106" s="1"/>
      <c r="ERX106" s="1"/>
      <c r="ERY106" s="1"/>
      <c r="ERZ106" s="1"/>
      <c r="ESA106" s="1"/>
      <c r="ESB106" s="1"/>
      <c r="ESC106" s="1"/>
      <c r="ESD106" s="1"/>
      <c r="ESE106" s="1"/>
      <c r="ESF106" s="1"/>
      <c r="ESG106" s="1"/>
      <c r="ESH106" s="1"/>
      <c r="ESI106" s="1"/>
      <c r="ESJ106" s="1"/>
      <c r="ESK106" s="1"/>
      <c r="ESL106" s="1"/>
      <c r="ESM106" s="1"/>
      <c r="ESN106" s="1"/>
      <c r="ESO106" s="1"/>
      <c r="ESP106" s="1"/>
      <c r="ESQ106" s="1"/>
      <c r="ESR106" s="1"/>
      <c r="ESS106" s="1"/>
      <c r="EST106" s="1"/>
      <c r="ESU106" s="1"/>
      <c r="ESV106" s="1"/>
      <c r="ESW106" s="1"/>
      <c r="ESX106" s="1"/>
      <c r="ESY106" s="1"/>
      <c r="ESZ106" s="1"/>
      <c r="ETA106" s="1"/>
      <c r="ETB106" s="1"/>
      <c r="ETC106" s="1"/>
      <c r="ETD106" s="1"/>
      <c r="ETE106" s="1"/>
      <c r="ETF106" s="1"/>
      <c r="ETG106" s="1"/>
      <c r="ETH106" s="1"/>
      <c r="ETI106" s="1"/>
      <c r="ETJ106" s="1"/>
      <c r="ETK106" s="1"/>
      <c r="ETL106" s="1"/>
      <c r="ETM106" s="1"/>
      <c r="ETN106" s="1"/>
      <c r="ETO106" s="1"/>
      <c r="ETP106" s="1"/>
      <c r="ETQ106" s="1"/>
      <c r="ETR106" s="1"/>
      <c r="ETS106" s="1"/>
      <c r="ETT106" s="1"/>
      <c r="ETU106" s="1"/>
      <c r="ETV106" s="1"/>
      <c r="ETW106" s="1"/>
      <c r="ETX106" s="1"/>
      <c r="ETY106" s="1"/>
      <c r="ETZ106" s="1"/>
      <c r="EUA106" s="1"/>
      <c r="EUB106" s="1"/>
      <c r="EUC106" s="1"/>
      <c r="EUD106" s="1"/>
      <c r="EUE106" s="1"/>
      <c r="EUF106" s="1"/>
      <c r="EUG106" s="1"/>
      <c r="EUH106" s="1"/>
      <c r="EUI106" s="1"/>
      <c r="EUJ106" s="1"/>
      <c r="EUK106" s="1"/>
      <c r="EUL106" s="1"/>
      <c r="EUM106" s="1"/>
      <c r="EUN106" s="1"/>
      <c r="EUO106" s="1"/>
      <c r="EUP106" s="1"/>
      <c r="EUQ106" s="1"/>
      <c r="EUR106" s="1"/>
      <c r="EUS106" s="1"/>
      <c r="EUT106" s="1"/>
      <c r="EUU106" s="1"/>
      <c r="EUV106" s="1"/>
      <c r="EUW106" s="1"/>
      <c r="EUX106" s="1"/>
      <c r="EUY106" s="1"/>
      <c r="EUZ106" s="1"/>
      <c r="EVA106" s="1"/>
      <c r="EVB106" s="1"/>
      <c r="EVC106" s="1"/>
      <c r="EVD106" s="1"/>
      <c r="EVE106" s="1"/>
      <c r="EVF106" s="1"/>
      <c r="EVG106" s="1"/>
      <c r="EVH106" s="1"/>
      <c r="EVI106" s="1"/>
      <c r="EVJ106" s="1"/>
      <c r="EVK106" s="1"/>
      <c r="EVL106" s="1"/>
      <c r="EVM106" s="1"/>
      <c r="EVN106" s="1"/>
      <c r="EVO106" s="1"/>
      <c r="EVP106" s="1"/>
      <c r="EVQ106" s="1"/>
      <c r="EVR106" s="1"/>
      <c r="EVS106" s="1"/>
      <c r="EVT106" s="1"/>
      <c r="EVU106" s="1"/>
      <c r="EVV106" s="1"/>
      <c r="EVW106" s="1"/>
      <c r="EVX106" s="1"/>
      <c r="EVY106" s="1"/>
      <c r="EVZ106" s="1"/>
      <c r="EWA106" s="1"/>
      <c r="EWB106" s="1"/>
      <c r="EWC106" s="1"/>
      <c r="EWD106" s="1"/>
      <c r="EWE106" s="1"/>
      <c r="EWF106" s="1"/>
      <c r="EWG106" s="1"/>
      <c r="EWH106" s="1"/>
      <c r="EWI106" s="1"/>
      <c r="EWJ106" s="1"/>
      <c r="EWK106" s="1"/>
      <c r="EWL106" s="1"/>
      <c r="EWM106" s="1"/>
      <c r="EWN106" s="1"/>
      <c r="EWO106" s="1"/>
      <c r="EWP106" s="1"/>
      <c r="EWQ106" s="1"/>
      <c r="EWR106" s="1"/>
      <c r="EWS106" s="1"/>
      <c r="EWT106" s="1"/>
      <c r="EWU106" s="1"/>
      <c r="EWV106" s="1"/>
      <c r="EWW106" s="1"/>
      <c r="EWX106" s="1"/>
      <c r="EWY106" s="1"/>
      <c r="EWZ106" s="1"/>
      <c r="EXA106" s="1"/>
      <c r="EXB106" s="1"/>
      <c r="EXC106" s="1"/>
      <c r="EXD106" s="1"/>
      <c r="EXE106" s="1"/>
      <c r="EXF106" s="1"/>
      <c r="EXG106" s="1"/>
      <c r="EXH106" s="1"/>
      <c r="EXI106" s="1"/>
      <c r="EXJ106" s="1"/>
      <c r="EXK106" s="1"/>
      <c r="EXL106" s="1"/>
      <c r="EXM106" s="1"/>
      <c r="EXN106" s="1"/>
      <c r="EXO106" s="1"/>
      <c r="EXP106" s="1"/>
      <c r="EXQ106" s="1"/>
      <c r="EXR106" s="1"/>
      <c r="EXS106" s="1"/>
      <c r="EXT106" s="1"/>
      <c r="EXU106" s="1"/>
      <c r="EXV106" s="1"/>
      <c r="EXW106" s="1"/>
      <c r="EXX106" s="1"/>
      <c r="EXY106" s="1"/>
      <c r="EXZ106" s="1"/>
      <c r="EYA106" s="1"/>
      <c r="EYB106" s="1"/>
      <c r="EYC106" s="1"/>
      <c r="EYD106" s="1"/>
      <c r="EYE106" s="1"/>
      <c r="EYF106" s="1"/>
      <c r="EYG106" s="1"/>
      <c r="EYH106" s="1"/>
      <c r="EYI106" s="1"/>
      <c r="EYJ106" s="1"/>
      <c r="EYK106" s="1"/>
      <c r="EYL106" s="1"/>
      <c r="EYM106" s="1"/>
      <c r="EYN106" s="1"/>
      <c r="EYO106" s="1"/>
      <c r="EYP106" s="1"/>
      <c r="EYQ106" s="1"/>
      <c r="EYR106" s="1"/>
      <c r="EYS106" s="1"/>
      <c r="EYT106" s="1"/>
      <c r="EYU106" s="1"/>
      <c r="EYV106" s="1"/>
      <c r="EYW106" s="1"/>
      <c r="EYX106" s="1"/>
      <c r="EYY106" s="1"/>
      <c r="EYZ106" s="1"/>
      <c r="EZA106" s="1"/>
      <c r="EZB106" s="1"/>
      <c r="EZC106" s="1"/>
      <c r="EZD106" s="1"/>
      <c r="EZE106" s="1"/>
      <c r="EZF106" s="1"/>
      <c r="EZG106" s="1"/>
      <c r="EZH106" s="1"/>
      <c r="EZI106" s="1"/>
      <c r="EZJ106" s="1"/>
      <c r="EZK106" s="1"/>
      <c r="EZL106" s="1"/>
      <c r="EZM106" s="1"/>
      <c r="EZN106" s="1"/>
      <c r="EZO106" s="1"/>
      <c r="EZP106" s="1"/>
      <c r="EZQ106" s="1"/>
      <c r="EZR106" s="1"/>
      <c r="EZS106" s="1"/>
      <c r="EZT106" s="1"/>
      <c r="EZU106" s="1"/>
      <c r="EZV106" s="1"/>
      <c r="EZW106" s="1"/>
      <c r="EZX106" s="1"/>
      <c r="EZY106" s="1"/>
      <c r="EZZ106" s="1"/>
      <c r="FAA106" s="1"/>
      <c r="FAB106" s="1"/>
      <c r="FAC106" s="1"/>
      <c r="FAD106" s="1"/>
      <c r="FAE106" s="1"/>
      <c r="FAF106" s="1"/>
      <c r="FAG106" s="1"/>
      <c r="FAH106" s="1"/>
      <c r="FAI106" s="1"/>
      <c r="FAJ106" s="1"/>
      <c r="FAK106" s="1"/>
      <c r="FAL106" s="1"/>
      <c r="FAM106" s="1"/>
      <c r="FAN106" s="1"/>
      <c r="FAO106" s="1"/>
      <c r="FAP106" s="1"/>
      <c r="FAQ106" s="1"/>
      <c r="FAR106" s="1"/>
      <c r="FAS106" s="1"/>
      <c r="FAT106" s="1"/>
      <c r="FAU106" s="1"/>
      <c r="FAV106" s="1"/>
      <c r="FAW106" s="1"/>
      <c r="FAX106" s="1"/>
      <c r="FAY106" s="1"/>
      <c r="FAZ106" s="1"/>
      <c r="FBA106" s="1"/>
      <c r="FBB106" s="1"/>
      <c r="FBC106" s="1"/>
      <c r="FBD106" s="1"/>
      <c r="FBE106" s="1"/>
      <c r="FBF106" s="1"/>
      <c r="FBG106" s="1"/>
      <c r="FBH106" s="1"/>
      <c r="FBI106" s="1"/>
      <c r="FBJ106" s="1"/>
      <c r="FBK106" s="1"/>
      <c r="FBL106" s="1"/>
      <c r="FBM106" s="1"/>
      <c r="FBN106" s="1"/>
      <c r="FBO106" s="1"/>
      <c r="FBP106" s="1"/>
      <c r="FBQ106" s="1"/>
      <c r="FBR106" s="1"/>
      <c r="FBS106" s="1"/>
      <c r="FBT106" s="1"/>
      <c r="FBU106" s="1"/>
      <c r="FBV106" s="1"/>
      <c r="FBW106" s="1"/>
      <c r="FBX106" s="1"/>
      <c r="FBY106" s="1"/>
      <c r="FBZ106" s="1"/>
      <c r="FCA106" s="1"/>
      <c r="FCB106" s="1"/>
      <c r="FCC106" s="1"/>
      <c r="FCD106" s="1"/>
      <c r="FCE106" s="1"/>
      <c r="FCF106" s="1"/>
      <c r="FCG106" s="1"/>
      <c r="FCH106" s="1"/>
      <c r="FCI106" s="1"/>
      <c r="FCJ106" s="1"/>
      <c r="FCK106" s="1"/>
      <c r="FCL106" s="1"/>
      <c r="FCM106" s="1"/>
      <c r="FCN106" s="1"/>
      <c r="FCO106" s="1"/>
      <c r="FCP106" s="1"/>
      <c r="FCQ106" s="1"/>
      <c r="FCR106" s="1"/>
      <c r="FCS106" s="1"/>
      <c r="FCT106" s="1"/>
      <c r="FCU106" s="1"/>
      <c r="FCV106" s="1"/>
      <c r="FCW106" s="1"/>
      <c r="FCX106" s="1"/>
      <c r="FCY106" s="1"/>
      <c r="FCZ106" s="1"/>
      <c r="FDA106" s="1"/>
      <c r="FDB106" s="1"/>
      <c r="FDC106" s="1"/>
      <c r="FDD106" s="1"/>
      <c r="FDE106" s="1"/>
      <c r="FDF106" s="1"/>
      <c r="FDG106" s="1"/>
      <c r="FDH106" s="1"/>
      <c r="FDI106" s="1"/>
      <c r="FDJ106" s="1"/>
      <c r="FDK106" s="1"/>
      <c r="FDL106" s="1"/>
      <c r="FDM106" s="1"/>
      <c r="FDN106" s="1"/>
      <c r="FDO106" s="1"/>
      <c r="FDP106" s="1"/>
      <c r="FDQ106" s="1"/>
      <c r="FDR106" s="1"/>
      <c r="FDS106" s="1"/>
      <c r="FDT106" s="1"/>
      <c r="FDU106" s="1"/>
      <c r="FDV106" s="1"/>
      <c r="FDW106" s="1"/>
      <c r="FDX106" s="1"/>
      <c r="FDY106" s="1"/>
      <c r="FDZ106" s="1"/>
      <c r="FEA106" s="1"/>
      <c r="FEB106" s="1"/>
      <c r="FEC106" s="1"/>
      <c r="FED106" s="1"/>
      <c r="FEE106" s="1"/>
      <c r="FEF106" s="1"/>
      <c r="FEG106" s="1"/>
      <c r="FEH106" s="1"/>
      <c r="FEI106" s="1"/>
      <c r="FEJ106" s="1"/>
      <c r="FEK106" s="1"/>
      <c r="FEL106" s="1"/>
      <c r="FEM106" s="1"/>
      <c r="FEN106" s="1"/>
      <c r="FEO106" s="1"/>
      <c r="FEP106" s="1"/>
      <c r="FEQ106" s="1"/>
      <c r="FER106" s="1"/>
      <c r="FES106" s="1"/>
      <c r="FET106" s="1"/>
      <c r="FEU106" s="1"/>
      <c r="FEV106" s="1"/>
      <c r="FEW106" s="1"/>
      <c r="FEX106" s="1"/>
      <c r="FEY106" s="1"/>
      <c r="FEZ106" s="1"/>
      <c r="FFA106" s="1"/>
      <c r="FFB106" s="1"/>
      <c r="FFC106" s="1"/>
      <c r="FFD106" s="1"/>
      <c r="FFE106" s="1"/>
      <c r="FFF106" s="1"/>
      <c r="FFG106" s="1"/>
      <c r="FFH106" s="1"/>
      <c r="FFI106" s="1"/>
      <c r="FFJ106" s="1"/>
      <c r="FFK106" s="1"/>
      <c r="FFL106" s="1"/>
      <c r="FFM106" s="1"/>
      <c r="FFN106" s="1"/>
      <c r="FFO106" s="1"/>
      <c r="FFP106" s="1"/>
      <c r="FFQ106" s="1"/>
      <c r="FFR106" s="1"/>
      <c r="FFS106" s="1"/>
      <c r="FFT106" s="1"/>
      <c r="FFU106" s="1"/>
      <c r="FFV106" s="1"/>
      <c r="FFW106" s="1"/>
      <c r="FFX106" s="1"/>
      <c r="FFY106" s="1"/>
      <c r="FFZ106" s="1"/>
      <c r="FGA106" s="1"/>
      <c r="FGB106" s="1"/>
      <c r="FGC106" s="1"/>
      <c r="FGD106" s="1"/>
      <c r="FGE106" s="1"/>
      <c r="FGF106" s="1"/>
      <c r="FGG106" s="1"/>
      <c r="FGH106" s="1"/>
      <c r="FGI106" s="1"/>
      <c r="FGJ106" s="1"/>
      <c r="FGK106" s="1"/>
      <c r="FGL106" s="1"/>
      <c r="FGM106" s="1"/>
      <c r="FGN106" s="1"/>
      <c r="FGO106" s="1"/>
      <c r="FGP106" s="1"/>
      <c r="FGQ106" s="1"/>
      <c r="FGR106" s="1"/>
      <c r="FGS106" s="1"/>
      <c r="FGT106" s="1"/>
      <c r="FGU106" s="1"/>
      <c r="FGV106" s="1"/>
      <c r="FGW106" s="1"/>
      <c r="FGX106" s="1"/>
      <c r="FGY106" s="1"/>
      <c r="FGZ106" s="1"/>
      <c r="FHA106" s="1"/>
      <c r="FHB106" s="1"/>
      <c r="FHC106" s="1"/>
      <c r="FHD106" s="1"/>
      <c r="FHE106" s="1"/>
      <c r="FHF106" s="1"/>
      <c r="FHG106" s="1"/>
      <c r="FHH106" s="1"/>
      <c r="FHI106" s="1"/>
      <c r="FHJ106" s="1"/>
      <c r="FHK106" s="1"/>
      <c r="FHL106" s="1"/>
      <c r="FHM106" s="1"/>
      <c r="FHN106" s="1"/>
      <c r="FHO106" s="1"/>
      <c r="FHP106" s="1"/>
      <c r="FHQ106" s="1"/>
      <c r="FHR106" s="1"/>
      <c r="FHS106" s="1"/>
      <c r="FHT106" s="1"/>
      <c r="FHU106" s="1"/>
      <c r="FHV106" s="1"/>
      <c r="FHW106" s="1"/>
      <c r="FHX106" s="1"/>
      <c r="FHY106" s="1"/>
      <c r="FHZ106" s="1"/>
      <c r="FIA106" s="1"/>
      <c r="FIB106" s="1"/>
      <c r="FIC106" s="1"/>
      <c r="FID106" s="1"/>
      <c r="FIE106" s="1"/>
      <c r="FIF106" s="1"/>
      <c r="FIG106" s="1"/>
      <c r="FIH106" s="1"/>
      <c r="FII106" s="1"/>
      <c r="FIJ106" s="1"/>
      <c r="FIK106" s="1"/>
      <c r="FIL106" s="1"/>
      <c r="FIM106" s="1"/>
      <c r="FIN106" s="1"/>
      <c r="FIO106" s="1"/>
      <c r="FIP106" s="1"/>
      <c r="FIQ106" s="1"/>
      <c r="FIR106" s="1"/>
      <c r="FIS106" s="1"/>
      <c r="FIT106" s="1"/>
      <c r="FIU106" s="1"/>
      <c r="FIV106" s="1"/>
      <c r="FIW106" s="1"/>
      <c r="FIX106" s="1"/>
      <c r="FIY106" s="1"/>
      <c r="FIZ106" s="1"/>
      <c r="FJA106" s="1"/>
      <c r="FJB106" s="1"/>
      <c r="FJC106" s="1"/>
      <c r="FJD106" s="1"/>
      <c r="FJE106" s="1"/>
      <c r="FJF106" s="1"/>
      <c r="FJG106" s="1"/>
      <c r="FJH106" s="1"/>
      <c r="FJI106" s="1"/>
      <c r="FJJ106" s="1"/>
      <c r="FJK106" s="1"/>
      <c r="FJL106" s="1"/>
      <c r="FJM106" s="1"/>
      <c r="FJN106" s="1"/>
      <c r="FJO106" s="1"/>
      <c r="FJP106" s="1"/>
      <c r="FJQ106" s="1"/>
      <c r="FJR106" s="1"/>
      <c r="FJS106" s="1"/>
      <c r="FJT106" s="1"/>
      <c r="FJU106" s="1"/>
      <c r="FJV106" s="1"/>
      <c r="FJW106" s="1"/>
      <c r="FJX106" s="1"/>
      <c r="FJY106" s="1"/>
      <c r="FJZ106" s="1"/>
      <c r="FKA106" s="1"/>
      <c r="FKB106" s="1"/>
      <c r="FKC106" s="1"/>
      <c r="FKD106" s="1"/>
      <c r="FKE106" s="1"/>
      <c r="FKF106" s="1"/>
      <c r="FKG106" s="1"/>
      <c r="FKH106" s="1"/>
      <c r="FKI106" s="1"/>
      <c r="FKJ106" s="1"/>
      <c r="FKK106" s="1"/>
      <c r="FKL106" s="1"/>
      <c r="FKM106" s="1"/>
      <c r="FKN106" s="1"/>
      <c r="FKO106" s="1"/>
      <c r="FKP106" s="1"/>
      <c r="FKQ106" s="1"/>
      <c r="FKR106" s="1"/>
      <c r="FKS106" s="1"/>
      <c r="FKT106" s="1"/>
      <c r="FKU106" s="1"/>
      <c r="FKV106" s="1"/>
      <c r="FKW106" s="1"/>
      <c r="FKX106" s="1"/>
      <c r="FKY106" s="1"/>
      <c r="FKZ106" s="1"/>
      <c r="FLA106" s="1"/>
      <c r="FLB106" s="1"/>
      <c r="FLC106" s="1"/>
      <c r="FLD106" s="1"/>
      <c r="FLE106" s="1"/>
      <c r="FLF106" s="1"/>
      <c r="FLG106" s="1"/>
      <c r="FLH106" s="1"/>
      <c r="FLI106" s="1"/>
      <c r="FLJ106" s="1"/>
      <c r="FLK106" s="1"/>
      <c r="FLL106" s="1"/>
      <c r="FLM106" s="1"/>
      <c r="FLN106" s="1"/>
      <c r="FLO106" s="1"/>
      <c r="FLP106" s="1"/>
      <c r="FLQ106" s="1"/>
      <c r="FLR106" s="1"/>
      <c r="FLS106" s="1"/>
      <c r="FLT106" s="1"/>
      <c r="FLU106" s="1"/>
      <c r="FLV106" s="1"/>
      <c r="FLW106" s="1"/>
      <c r="FLX106" s="1"/>
      <c r="FLY106" s="1"/>
      <c r="FLZ106" s="1"/>
      <c r="FMA106" s="1"/>
      <c r="FMB106" s="1"/>
      <c r="FMC106" s="1"/>
      <c r="FMD106" s="1"/>
      <c r="FME106" s="1"/>
      <c r="FMF106" s="1"/>
      <c r="FMG106" s="1"/>
      <c r="FMH106" s="1"/>
      <c r="FMI106" s="1"/>
      <c r="FMJ106" s="1"/>
      <c r="FMK106" s="1"/>
      <c r="FML106" s="1"/>
      <c r="FMM106" s="1"/>
      <c r="FMN106" s="1"/>
      <c r="FMO106" s="1"/>
      <c r="FMP106" s="1"/>
      <c r="FMQ106" s="1"/>
      <c r="FMR106" s="1"/>
      <c r="FMS106" s="1"/>
      <c r="FMT106" s="1"/>
      <c r="FMU106" s="1"/>
      <c r="FMV106" s="1"/>
      <c r="FMW106" s="1"/>
      <c r="FMX106" s="1"/>
      <c r="FMY106" s="1"/>
      <c r="FMZ106" s="1"/>
      <c r="FNA106" s="1"/>
      <c r="FNB106" s="1"/>
      <c r="FNC106" s="1"/>
      <c r="FND106" s="1"/>
      <c r="FNE106" s="1"/>
      <c r="FNF106" s="1"/>
      <c r="FNG106" s="1"/>
      <c r="FNH106" s="1"/>
      <c r="FNI106" s="1"/>
      <c r="FNJ106" s="1"/>
      <c r="FNK106" s="1"/>
      <c r="FNL106" s="1"/>
      <c r="FNM106" s="1"/>
      <c r="FNN106" s="1"/>
      <c r="FNO106" s="1"/>
      <c r="FNP106" s="1"/>
      <c r="FNQ106" s="1"/>
      <c r="FNR106" s="1"/>
      <c r="FNS106" s="1"/>
      <c r="FNT106" s="1"/>
      <c r="FNU106" s="1"/>
      <c r="FNV106" s="1"/>
      <c r="FNW106" s="1"/>
      <c r="FNX106" s="1"/>
      <c r="FNY106" s="1"/>
      <c r="FNZ106" s="1"/>
      <c r="FOA106" s="1"/>
      <c r="FOB106" s="1"/>
      <c r="FOC106" s="1"/>
      <c r="FOD106" s="1"/>
      <c r="FOE106" s="1"/>
      <c r="FOF106" s="1"/>
      <c r="FOG106" s="1"/>
      <c r="FOH106" s="1"/>
      <c r="FOI106" s="1"/>
      <c r="FOJ106" s="1"/>
      <c r="FOK106" s="1"/>
      <c r="FOL106" s="1"/>
      <c r="FOM106" s="1"/>
      <c r="FON106" s="1"/>
      <c r="FOO106" s="1"/>
      <c r="FOP106" s="1"/>
      <c r="FOQ106" s="1"/>
      <c r="FOR106" s="1"/>
      <c r="FOS106" s="1"/>
      <c r="FOT106" s="1"/>
      <c r="FOU106" s="1"/>
      <c r="FOV106" s="1"/>
      <c r="FOW106" s="1"/>
      <c r="FOX106" s="1"/>
      <c r="FOY106" s="1"/>
      <c r="FOZ106" s="1"/>
      <c r="FPA106" s="1"/>
      <c r="FPB106" s="1"/>
      <c r="FPC106" s="1"/>
      <c r="FPD106" s="1"/>
      <c r="FPE106" s="1"/>
      <c r="FPF106" s="1"/>
      <c r="FPG106" s="1"/>
      <c r="FPH106" s="1"/>
      <c r="FPI106" s="1"/>
      <c r="FPJ106" s="1"/>
      <c r="FPK106" s="1"/>
      <c r="FPL106" s="1"/>
      <c r="FPM106" s="1"/>
      <c r="FPN106" s="1"/>
      <c r="FPO106" s="1"/>
      <c r="FPP106" s="1"/>
      <c r="FPQ106" s="1"/>
      <c r="FPR106" s="1"/>
      <c r="FPS106" s="1"/>
      <c r="FPT106" s="1"/>
      <c r="FPU106" s="1"/>
      <c r="FPV106" s="1"/>
      <c r="FPW106" s="1"/>
      <c r="FPX106" s="1"/>
      <c r="FPY106" s="1"/>
      <c r="FPZ106" s="1"/>
      <c r="FQA106" s="1"/>
      <c r="FQB106" s="1"/>
      <c r="FQC106" s="1"/>
      <c r="FQD106" s="1"/>
      <c r="FQE106" s="1"/>
      <c r="FQF106" s="1"/>
      <c r="FQG106" s="1"/>
      <c r="FQH106" s="1"/>
      <c r="FQI106" s="1"/>
      <c r="FQJ106" s="1"/>
      <c r="FQK106" s="1"/>
      <c r="FQL106" s="1"/>
      <c r="FQM106" s="1"/>
      <c r="FQN106" s="1"/>
      <c r="FQO106" s="1"/>
      <c r="FQP106" s="1"/>
      <c r="FQQ106" s="1"/>
      <c r="FQR106" s="1"/>
      <c r="FQS106" s="1"/>
      <c r="FQT106" s="1"/>
      <c r="FQU106" s="1"/>
      <c r="FQV106" s="1"/>
      <c r="FQW106" s="1"/>
      <c r="FQX106" s="1"/>
      <c r="FQY106" s="1"/>
      <c r="FQZ106" s="1"/>
      <c r="FRA106" s="1"/>
      <c r="FRB106" s="1"/>
      <c r="FRC106" s="1"/>
      <c r="FRD106" s="1"/>
      <c r="FRE106" s="1"/>
      <c r="FRF106" s="1"/>
      <c r="FRG106" s="1"/>
      <c r="FRH106" s="1"/>
      <c r="FRI106" s="1"/>
      <c r="FRJ106" s="1"/>
      <c r="FRK106" s="1"/>
      <c r="FRL106" s="1"/>
      <c r="FRM106" s="1"/>
      <c r="FRN106" s="1"/>
      <c r="FRO106" s="1"/>
      <c r="FRP106" s="1"/>
      <c r="FRQ106" s="1"/>
      <c r="FRR106" s="1"/>
      <c r="FRS106" s="1"/>
      <c r="FRT106" s="1"/>
      <c r="FRU106" s="1"/>
      <c r="FRV106" s="1"/>
      <c r="FRW106" s="1"/>
      <c r="FRX106" s="1"/>
      <c r="FRY106" s="1"/>
      <c r="FRZ106" s="1"/>
      <c r="FSA106" s="1"/>
      <c r="FSB106" s="1"/>
      <c r="FSC106" s="1"/>
      <c r="FSD106" s="1"/>
      <c r="FSE106" s="1"/>
      <c r="FSF106" s="1"/>
      <c r="FSG106" s="1"/>
      <c r="FSH106" s="1"/>
      <c r="FSI106" s="1"/>
      <c r="FSJ106" s="1"/>
      <c r="FSK106" s="1"/>
      <c r="FSL106" s="1"/>
      <c r="FSM106" s="1"/>
      <c r="FSN106" s="1"/>
      <c r="FSO106" s="1"/>
      <c r="FSP106" s="1"/>
      <c r="FSQ106" s="1"/>
      <c r="FSR106" s="1"/>
      <c r="FSS106" s="1"/>
      <c r="FST106" s="1"/>
      <c r="FSU106" s="1"/>
      <c r="FSV106" s="1"/>
      <c r="FSW106" s="1"/>
      <c r="FSX106" s="1"/>
      <c r="FSY106" s="1"/>
      <c r="FSZ106" s="1"/>
      <c r="FTA106" s="1"/>
      <c r="FTB106" s="1"/>
      <c r="FTC106" s="1"/>
      <c r="FTD106" s="1"/>
      <c r="FTE106" s="1"/>
      <c r="FTF106" s="1"/>
      <c r="FTG106" s="1"/>
      <c r="FTH106" s="1"/>
      <c r="FTI106" s="1"/>
      <c r="FTJ106" s="1"/>
      <c r="FTK106" s="1"/>
      <c r="FTL106" s="1"/>
      <c r="FTM106" s="1"/>
      <c r="FTN106" s="1"/>
      <c r="FTO106" s="1"/>
      <c r="FTP106" s="1"/>
      <c r="FTQ106" s="1"/>
      <c r="FTR106" s="1"/>
      <c r="FTS106" s="1"/>
      <c r="FTT106" s="1"/>
      <c r="FTU106" s="1"/>
      <c r="FTV106" s="1"/>
      <c r="FTW106" s="1"/>
      <c r="FTX106" s="1"/>
      <c r="FTY106" s="1"/>
      <c r="FTZ106" s="1"/>
      <c r="FUA106" s="1"/>
      <c r="FUB106" s="1"/>
      <c r="FUC106" s="1"/>
      <c r="FUD106" s="1"/>
      <c r="FUE106" s="1"/>
      <c r="FUF106" s="1"/>
      <c r="FUG106" s="1"/>
      <c r="FUH106" s="1"/>
      <c r="FUI106" s="1"/>
      <c r="FUJ106" s="1"/>
      <c r="FUK106" s="1"/>
      <c r="FUL106" s="1"/>
      <c r="FUM106" s="1"/>
      <c r="FUN106" s="1"/>
      <c r="FUO106" s="1"/>
      <c r="FUP106" s="1"/>
      <c r="FUQ106" s="1"/>
      <c r="FUR106" s="1"/>
      <c r="FUS106" s="1"/>
      <c r="FUT106" s="1"/>
      <c r="FUU106" s="1"/>
      <c r="FUV106" s="1"/>
      <c r="FUW106" s="1"/>
      <c r="FUX106" s="1"/>
      <c r="FUY106" s="1"/>
      <c r="FUZ106" s="1"/>
      <c r="FVA106" s="1"/>
      <c r="FVB106" s="1"/>
      <c r="FVC106" s="1"/>
      <c r="FVD106" s="1"/>
      <c r="FVE106" s="1"/>
      <c r="FVF106" s="1"/>
      <c r="FVG106" s="1"/>
      <c r="FVH106" s="1"/>
      <c r="FVI106" s="1"/>
      <c r="FVJ106" s="1"/>
      <c r="FVK106" s="1"/>
      <c r="FVL106" s="1"/>
      <c r="FVM106" s="1"/>
      <c r="FVN106" s="1"/>
      <c r="FVO106" s="1"/>
      <c r="FVP106" s="1"/>
      <c r="FVQ106" s="1"/>
      <c r="FVR106" s="1"/>
      <c r="FVS106" s="1"/>
      <c r="FVT106" s="1"/>
      <c r="FVU106" s="1"/>
      <c r="FVV106" s="1"/>
      <c r="FVW106" s="1"/>
      <c r="FVX106" s="1"/>
      <c r="FVY106" s="1"/>
      <c r="FVZ106" s="1"/>
      <c r="FWA106" s="1"/>
      <c r="FWB106" s="1"/>
      <c r="FWC106" s="1"/>
      <c r="FWD106" s="1"/>
      <c r="FWE106" s="1"/>
      <c r="FWF106" s="1"/>
      <c r="FWG106" s="1"/>
      <c r="FWH106" s="1"/>
      <c r="FWI106" s="1"/>
      <c r="FWJ106" s="1"/>
      <c r="FWK106" s="1"/>
      <c r="FWL106" s="1"/>
      <c r="FWM106" s="1"/>
      <c r="FWN106" s="1"/>
      <c r="FWO106" s="1"/>
      <c r="FWP106" s="1"/>
      <c r="FWQ106" s="1"/>
      <c r="FWR106" s="1"/>
      <c r="FWS106" s="1"/>
      <c r="FWT106" s="1"/>
      <c r="FWU106" s="1"/>
      <c r="FWV106" s="1"/>
      <c r="FWW106" s="1"/>
      <c r="FWX106" s="1"/>
      <c r="FWY106" s="1"/>
      <c r="FWZ106" s="1"/>
      <c r="FXA106" s="1"/>
      <c r="FXB106" s="1"/>
      <c r="FXC106" s="1"/>
      <c r="FXD106" s="1"/>
      <c r="FXE106" s="1"/>
      <c r="FXF106" s="1"/>
      <c r="FXG106" s="1"/>
      <c r="FXH106" s="1"/>
      <c r="FXI106" s="1"/>
      <c r="FXJ106" s="1"/>
      <c r="FXK106" s="1"/>
      <c r="FXL106" s="1"/>
      <c r="FXM106" s="1"/>
      <c r="FXN106" s="1"/>
      <c r="FXO106" s="1"/>
      <c r="FXP106" s="1"/>
      <c r="FXQ106" s="1"/>
      <c r="FXR106" s="1"/>
      <c r="FXS106" s="1"/>
      <c r="FXT106" s="1"/>
      <c r="FXU106" s="1"/>
      <c r="FXV106" s="1"/>
      <c r="FXW106" s="1"/>
      <c r="FXX106" s="1"/>
      <c r="FXY106" s="1"/>
      <c r="FXZ106" s="1"/>
      <c r="FYA106" s="1"/>
      <c r="FYB106" s="1"/>
      <c r="FYC106" s="1"/>
      <c r="FYD106" s="1"/>
      <c r="FYE106" s="1"/>
      <c r="FYF106" s="1"/>
      <c r="FYG106" s="1"/>
      <c r="FYH106" s="1"/>
      <c r="FYI106" s="1"/>
      <c r="FYJ106" s="1"/>
      <c r="FYK106" s="1"/>
      <c r="FYL106" s="1"/>
      <c r="FYM106" s="1"/>
      <c r="FYN106" s="1"/>
      <c r="FYO106" s="1"/>
      <c r="FYP106" s="1"/>
      <c r="FYQ106" s="1"/>
      <c r="FYR106" s="1"/>
      <c r="FYS106" s="1"/>
      <c r="FYT106" s="1"/>
      <c r="FYU106" s="1"/>
      <c r="FYV106" s="1"/>
      <c r="FYW106" s="1"/>
      <c r="FYX106" s="1"/>
      <c r="FYY106" s="1"/>
      <c r="FYZ106" s="1"/>
      <c r="FZA106" s="1"/>
      <c r="FZB106" s="1"/>
      <c r="FZC106" s="1"/>
      <c r="FZD106" s="1"/>
      <c r="FZE106" s="1"/>
      <c r="FZF106" s="1"/>
      <c r="FZG106" s="1"/>
      <c r="FZH106" s="1"/>
      <c r="FZI106" s="1"/>
      <c r="FZJ106" s="1"/>
      <c r="FZK106" s="1"/>
      <c r="FZL106" s="1"/>
      <c r="FZM106" s="1"/>
      <c r="FZN106" s="1"/>
      <c r="FZO106" s="1"/>
      <c r="FZP106" s="1"/>
      <c r="FZQ106" s="1"/>
      <c r="FZR106" s="1"/>
      <c r="FZS106" s="1"/>
      <c r="FZT106" s="1"/>
      <c r="FZU106" s="1"/>
      <c r="FZV106" s="1"/>
      <c r="FZW106" s="1"/>
      <c r="FZX106" s="1"/>
      <c r="FZY106" s="1"/>
      <c r="FZZ106" s="1"/>
      <c r="GAA106" s="1"/>
      <c r="GAB106" s="1"/>
      <c r="GAC106" s="1"/>
      <c r="GAD106" s="1"/>
      <c r="GAE106" s="1"/>
      <c r="GAF106" s="1"/>
      <c r="GAG106" s="1"/>
      <c r="GAH106" s="1"/>
      <c r="GAI106" s="1"/>
      <c r="GAJ106" s="1"/>
      <c r="GAK106" s="1"/>
      <c r="GAL106" s="1"/>
      <c r="GAM106" s="1"/>
      <c r="GAN106" s="1"/>
      <c r="GAO106" s="1"/>
      <c r="GAP106" s="1"/>
      <c r="GAQ106" s="1"/>
      <c r="GAR106" s="1"/>
      <c r="GAS106" s="1"/>
      <c r="GAT106" s="1"/>
      <c r="GAU106" s="1"/>
      <c r="GAV106" s="1"/>
      <c r="GAW106" s="1"/>
      <c r="GAX106" s="1"/>
      <c r="GAY106" s="1"/>
      <c r="GAZ106" s="1"/>
      <c r="GBA106" s="1"/>
      <c r="GBB106" s="1"/>
      <c r="GBC106" s="1"/>
      <c r="GBD106" s="1"/>
      <c r="GBE106" s="1"/>
      <c r="GBF106" s="1"/>
      <c r="GBG106" s="1"/>
      <c r="GBH106" s="1"/>
      <c r="GBI106" s="1"/>
      <c r="GBJ106" s="1"/>
      <c r="GBK106" s="1"/>
      <c r="GBL106" s="1"/>
      <c r="GBM106" s="1"/>
      <c r="GBN106" s="1"/>
      <c r="GBO106" s="1"/>
      <c r="GBP106" s="1"/>
      <c r="GBQ106" s="1"/>
      <c r="GBR106" s="1"/>
      <c r="GBS106" s="1"/>
      <c r="GBT106" s="1"/>
      <c r="GBU106" s="1"/>
      <c r="GBV106" s="1"/>
      <c r="GBW106" s="1"/>
      <c r="GBX106" s="1"/>
      <c r="GBY106" s="1"/>
      <c r="GBZ106" s="1"/>
      <c r="GCA106" s="1"/>
      <c r="GCB106" s="1"/>
      <c r="GCC106" s="1"/>
      <c r="GCD106" s="1"/>
      <c r="GCE106" s="1"/>
      <c r="GCF106" s="1"/>
      <c r="GCG106" s="1"/>
      <c r="GCH106" s="1"/>
      <c r="GCI106" s="1"/>
      <c r="GCJ106" s="1"/>
      <c r="GCK106" s="1"/>
      <c r="GCL106" s="1"/>
      <c r="GCM106" s="1"/>
      <c r="GCN106" s="1"/>
      <c r="GCO106" s="1"/>
      <c r="GCP106" s="1"/>
      <c r="GCQ106" s="1"/>
      <c r="GCR106" s="1"/>
      <c r="GCS106" s="1"/>
      <c r="GCT106" s="1"/>
      <c r="GCU106" s="1"/>
      <c r="GCV106" s="1"/>
      <c r="GCW106" s="1"/>
      <c r="GCX106" s="1"/>
      <c r="GCY106" s="1"/>
      <c r="GCZ106" s="1"/>
      <c r="GDA106" s="1"/>
      <c r="GDB106" s="1"/>
      <c r="GDC106" s="1"/>
      <c r="GDD106" s="1"/>
      <c r="GDE106" s="1"/>
      <c r="GDF106" s="1"/>
      <c r="GDG106" s="1"/>
      <c r="GDH106" s="1"/>
      <c r="GDI106" s="1"/>
      <c r="GDJ106" s="1"/>
      <c r="GDK106" s="1"/>
      <c r="GDL106" s="1"/>
      <c r="GDM106" s="1"/>
      <c r="GDN106" s="1"/>
      <c r="GDO106" s="1"/>
      <c r="GDP106" s="1"/>
      <c r="GDQ106" s="1"/>
      <c r="GDR106" s="1"/>
      <c r="GDS106" s="1"/>
      <c r="GDT106" s="1"/>
      <c r="GDU106" s="1"/>
      <c r="GDV106" s="1"/>
      <c r="GDW106" s="1"/>
      <c r="GDX106" s="1"/>
      <c r="GDY106" s="1"/>
      <c r="GDZ106" s="1"/>
      <c r="GEA106" s="1"/>
      <c r="GEB106" s="1"/>
      <c r="GEC106" s="1"/>
      <c r="GED106" s="1"/>
      <c r="GEE106" s="1"/>
      <c r="GEF106" s="1"/>
      <c r="GEG106" s="1"/>
      <c r="GEH106" s="1"/>
      <c r="GEI106" s="1"/>
      <c r="GEJ106" s="1"/>
      <c r="GEK106" s="1"/>
      <c r="GEL106" s="1"/>
      <c r="GEM106" s="1"/>
      <c r="GEN106" s="1"/>
      <c r="GEO106" s="1"/>
      <c r="GEP106" s="1"/>
      <c r="GEQ106" s="1"/>
      <c r="GER106" s="1"/>
      <c r="GES106" s="1"/>
      <c r="GET106" s="1"/>
      <c r="GEU106" s="1"/>
      <c r="GEV106" s="1"/>
      <c r="GEW106" s="1"/>
      <c r="GEX106" s="1"/>
      <c r="GEY106" s="1"/>
      <c r="GEZ106" s="1"/>
      <c r="GFA106" s="1"/>
      <c r="GFB106" s="1"/>
      <c r="GFC106" s="1"/>
      <c r="GFD106" s="1"/>
      <c r="GFE106" s="1"/>
      <c r="GFF106" s="1"/>
      <c r="GFG106" s="1"/>
      <c r="GFH106" s="1"/>
      <c r="GFI106" s="1"/>
      <c r="GFJ106" s="1"/>
      <c r="GFK106" s="1"/>
      <c r="GFL106" s="1"/>
      <c r="GFM106" s="1"/>
      <c r="GFN106" s="1"/>
      <c r="GFO106" s="1"/>
      <c r="GFP106" s="1"/>
      <c r="GFQ106" s="1"/>
      <c r="GFR106" s="1"/>
      <c r="GFS106" s="1"/>
      <c r="GFT106" s="1"/>
      <c r="GFU106" s="1"/>
      <c r="GFV106" s="1"/>
      <c r="GFW106" s="1"/>
      <c r="GFX106" s="1"/>
      <c r="GFY106" s="1"/>
      <c r="GFZ106" s="1"/>
      <c r="GGA106" s="1"/>
      <c r="GGB106" s="1"/>
      <c r="GGC106" s="1"/>
      <c r="GGD106" s="1"/>
      <c r="GGE106" s="1"/>
      <c r="GGF106" s="1"/>
      <c r="GGG106" s="1"/>
      <c r="GGH106" s="1"/>
      <c r="GGI106" s="1"/>
      <c r="GGJ106" s="1"/>
      <c r="GGK106" s="1"/>
      <c r="GGL106" s="1"/>
      <c r="GGM106" s="1"/>
      <c r="GGN106" s="1"/>
      <c r="GGO106" s="1"/>
      <c r="GGP106" s="1"/>
      <c r="GGQ106" s="1"/>
      <c r="GGR106" s="1"/>
      <c r="GGS106" s="1"/>
      <c r="GGT106" s="1"/>
      <c r="GGU106" s="1"/>
      <c r="GGV106" s="1"/>
      <c r="GGW106" s="1"/>
      <c r="GGX106" s="1"/>
      <c r="GGY106" s="1"/>
      <c r="GGZ106" s="1"/>
      <c r="GHA106" s="1"/>
      <c r="GHB106" s="1"/>
      <c r="GHC106" s="1"/>
      <c r="GHD106" s="1"/>
      <c r="GHE106" s="1"/>
      <c r="GHF106" s="1"/>
      <c r="GHG106" s="1"/>
      <c r="GHH106" s="1"/>
      <c r="GHI106" s="1"/>
      <c r="GHJ106" s="1"/>
      <c r="GHK106" s="1"/>
      <c r="GHL106" s="1"/>
      <c r="GHM106" s="1"/>
      <c r="GHN106" s="1"/>
      <c r="GHO106" s="1"/>
      <c r="GHP106" s="1"/>
      <c r="GHQ106" s="1"/>
      <c r="GHR106" s="1"/>
      <c r="GHS106" s="1"/>
      <c r="GHT106" s="1"/>
      <c r="GHU106" s="1"/>
      <c r="GHV106" s="1"/>
      <c r="GHW106" s="1"/>
      <c r="GHX106" s="1"/>
      <c r="GHY106" s="1"/>
      <c r="GHZ106" s="1"/>
      <c r="GIA106" s="1"/>
      <c r="GIB106" s="1"/>
      <c r="GIC106" s="1"/>
      <c r="GID106" s="1"/>
      <c r="GIE106" s="1"/>
      <c r="GIF106" s="1"/>
      <c r="GIG106" s="1"/>
      <c r="GIH106" s="1"/>
      <c r="GII106" s="1"/>
      <c r="GIJ106" s="1"/>
      <c r="GIK106" s="1"/>
      <c r="GIL106" s="1"/>
      <c r="GIM106" s="1"/>
      <c r="GIN106" s="1"/>
      <c r="GIO106" s="1"/>
      <c r="GIP106" s="1"/>
      <c r="GIQ106" s="1"/>
      <c r="GIR106" s="1"/>
      <c r="GIS106" s="1"/>
      <c r="GIT106" s="1"/>
      <c r="GIU106" s="1"/>
      <c r="GIV106" s="1"/>
      <c r="GIW106" s="1"/>
      <c r="GIX106" s="1"/>
      <c r="GIY106" s="1"/>
      <c r="GIZ106" s="1"/>
      <c r="GJA106" s="1"/>
      <c r="GJB106" s="1"/>
      <c r="GJC106" s="1"/>
      <c r="GJD106" s="1"/>
      <c r="GJE106" s="1"/>
      <c r="GJF106" s="1"/>
      <c r="GJG106" s="1"/>
      <c r="GJH106" s="1"/>
      <c r="GJI106" s="1"/>
      <c r="GJJ106" s="1"/>
      <c r="GJK106" s="1"/>
      <c r="GJL106" s="1"/>
      <c r="GJM106" s="1"/>
      <c r="GJN106" s="1"/>
      <c r="GJO106" s="1"/>
      <c r="GJP106" s="1"/>
      <c r="GJQ106" s="1"/>
      <c r="GJR106" s="1"/>
      <c r="GJS106" s="1"/>
      <c r="GJT106" s="1"/>
      <c r="GJU106" s="1"/>
      <c r="GJV106" s="1"/>
      <c r="GJW106" s="1"/>
      <c r="GJX106" s="1"/>
      <c r="GJY106" s="1"/>
      <c r="GJZ106" s="1"/>
      <c r="GKA106" s="1"/>
      <c r="GKB106" s="1"/>
      <c r="GKC106" s="1"/>
      <c r="GKD106" s="1"/>
      <c r="GKE106" s="1"/>
      <c r="GKF106" s="1"/>
      <c r="GKG106" s="1"/>
      <c r="GKH106" s="1"/>
      <c r="GKI106" s="1"/>
      <c r="GKJ106" s="1"/>
      <c r="GKK106" s="1"/>
      <c r="GKL106" s="1"/>
      <c r="GKM106" s="1"/>
      <c r="GKN106" s="1"/>
      <c r="GKO106" s="1"/>
      <c r="GKP106" s="1"/>
      <c r="GKQ106" s="1"/>
      <c r="GKR106" s="1"/>
      <c r="GKS106" s="1"/>
      <c r="GKT106" s="1"/>
      <c r="GKU106" s="1"/>
      <c r="GKV106" s="1"/>
      <c r="GKW106" s="1"/>
      <c r="GKX106" s="1"/>
      <c r="GKY106" s="1"/>
      <c r="GKZ106" s="1"/>
      <c r="GLA106" s="1"/>
      <c r="GLB106" s="1"/>
      <c r="GLC106" s="1"/>
      <c r="GLD106" s="1"/>
      <c r="GLE106" s="1"/>
      <c r="GLF106" s="1"/>
      <c r="GLG106" s="1"/>
      <c r="GLH106" s="1"/>
      <c r="GLI106" s="1"/>
      <c r="GLJ106" s="1"/>
      <c r="GLK106" s="1"/>
      <c r="GLL106" s="1"/>
      <c r="GLM106" s="1"/>
      <c r="GLN106" s="1"/>
      <c r="GLO106" s="1"/>
      <c r="GLP106" s="1"/>
      <c r="GLQ106" s="1"/>
      <c r="GLR106" s="1"/>
      <c r="GLS106" s="1"/>
      <c r="GLT106" s="1"/>
      <c r="GLU106" s="1"/>
      <c r="GLV106" s="1"/>
      <c r="GLW106" s="1"/>
      <c r="GLX106" s="1"/>
      <c r="GLY106" s="1"/>
      <c r="GLZ106" s="1"/>
      <c r="GMA106" s="1"/>
      <c r="GMB106" s="1"/>
      <c r="GMC106" s="1"/>
      <c r="GMD106" s="1"/>
      <c r="GME106" s="1"/>
      <c r="GMF106" s="1"/>
      <c r="GMG106" s="1"/>
      <c r="GMH106" s="1"/>
      <c r="GMI106" s="1"/>
      <c r="GMJ106" s="1"/>
      <c r="GMK106" s="1"/>
      <c r="GML106" s="1"/>
      <c r="GMM106" s="1"/>
      <c r="GMN106" s="1"/>
      <c r="GMO106" s="1"/>
      <c r="GMP106" s="1"/>
      <c r="GMQ106" s="1"/>
      <c r="GMR106" s="1"/>
      <c r="GMS106" s="1"/>
      <c r="GMT106" s="1"/>
      <c r="GMU106" s="1"/>
      <c r="GMV106" s="1"/>
      <c r="GMW106" s="1"/>
      <c r="GMX106" s="1"/>
      <c r="GMY106" s="1"/>
      <c r="GMZ106" s="1"/>
      <c r="GNA106" s="1"/>
      <c r="GNB106" s="1"/>
      <c r="GNC106" s="1"/>
      <c r="GND106" s="1"/>
      <c r="GNE106" s="1"/>
      <c r="GNF106" s="1"/>
      <c r="GNG106" s="1"/>
      <c r="GNH106" s="1"/>
      <c r="GNI106" s="1"/>
      <c r="GNJ106" s="1"/>
      <c r="GNK106" s="1"/>
      <c r="GNL106" s="1"/>
      <c r="GNM106" s="1"/>
      <c r="GNN106" s="1"/>
      <c r="GNO106" s="1"/>
      <c r="GNP106" s="1"/>
      <c r="GNQ106" s="1"/>
      <c r="GNR106" s="1"/>
      <c r="GNS106" s="1"/>
      <c r="GNT106" s="1"/>
      <c r="GNU106" s="1"/>
      <c r="GNV106" s="1"/>
      <c r="GNW106" s="1"/>
      <c r="GNX106" s="1"/>
      <c r="GNY106" s="1"/>
      <c r="GNZ106" s="1"/>
      <c r="GOA106" s="1"/>
      <c r="GOB106" s="1"/>
      <c r="GOC106" s="1"/>
      <c r="GOD106" s="1"/>
      <c r="GOE106" s="1"/>
      <c r="GOF106" s="1"/>
      <c r="GOG106" s="1"/>
      <c r="GOH106" s="1"/>
      <c r="GOI106" s="1"/>
      <c r="GOJ106" s="1"/>
      <c r="GOK106" s="1"/>
      <c r="GOL106" s="1"/>
      <c r="GOM106" s="1"/>
      <c r="GON106" s="1"/>
      <c r="GOO106" s="1"/>
      <c r="GOP106" s="1"/>
      <c r="GOQ106" s="1"/>
      <c r="GOR106" s="1"/>
      <c r="GOS106" s="1"/>
      <c r="GOT106" s="1"/>
      <c r="GOU106" s="1"/>
      <c r="GOV106" s="1"/>
      <c r="GOW106" s="1"/>
      <c r="GOX106" s="1"/>
      <c r="GOY106" s="1"/>
      <c r="GOZ106" s="1"/>
      <c r="GPA106" s="1"/>
      <c r="GPB106" s="1"/>
      <c r="GPC106" s="1"/>
      <c r="GPD106" s="1"/>
      <c r="GPE106" s="1"/>
      <c r="GPF106" s="1"/>
      <c r="GPG106" s="1"/>
      <c r="GPH106" s="1"/>
      <c r="GPI106" s="1"/>
      <c r="GPJ106" s="1"/>
      <c r="GPK106" s="1"/>
      <c r="GPL106" s="1"/>
      <c r="GPM106" s="1"/>
      <c r="GPN106" s="1"/>
      <c r="GPO106" s="1"/>
      <c r="GPP106" s="1"/>
      <c r="GPQ106" s="1"/>
      <c r="GPR106" s="1"/>
      <c r="GPS106" s="1"/>
      <c r="GPT106" s="1"/>
      <c r="GPU106" s="1"/>
      <c r="GPV106" s="1"/>
      <c r="GPW106" s="1"/>
      <c r="GPX106" s="1"/>
      <c r="GPY106" s="1"/>
      <c r="GPZ106" s="1"/>
      <c r="GQA106" s="1"/>
      <c r="GQB106" s="1"/>
      <c r="GQC106" s="1"/>
      <c r="GQD106" s="1"/>
      <c r="GQE106" s="1"/>
      <c r="GQF106" s="1"/>
      <c r="GQG106" s="1"/>
      <c r="GQH106" s="1"/>
      <c r="GQI106" s="1"/>
      <c r="GQJ106" s="1"/>
      <c r="GQK106" s="1"/>
      <c r="GQL106" s="1"/>
      <c r="GQM106" s="1"/>
      <c r="GQN106" s="1"/>
      <c r="GQO106" s="1"/>
      <c r="GQP106" s="1"/>
      <c r="GQQ106" s="1"/>
      <c r="GQR106" s="1"/>
      <c r="GQS106" s="1"/>
      <c r="GQT106" s="1"/>
      <c r="GQU106" s="1"/>
      <c r="GQV106" s="1"/>
      <c r="GQW106" s="1"/>
      <c r="GQX106" s="1"/>
      <c r="GQY106" s="1"/>
      <c r="GQZ106" s="1"/>
      <c r="GRA106" s="1"/>
      <c r="GRB106" s="1"/>
      <c r="GRC106" s="1"/>
      <c r="GRD106" s="1"/>
      <c r="GRE106" s="1"/>
      <c r="GRF106" s="1"/>
      <c r="GRG106" s="1"/>
      <c r="GRH106" s="1"/>
      <c r="GRI106" s="1"/>
      <c r="GRJ106" s="1"/>
      <c r="GRK106" s="1"/>
      <c r="GRL106" s="1"/>
      <c r="GRM106" s="1"/>
      <c r="GRN106" s="1"/>
      <c r="GRO106" s="1"/>
      <c r="GRP106" s="1"/>
      <c r="GRQ106" s="1"/>
      <c r="GRR106" s="1"/>
      <c r="GRS106" s="1"/>
      <c r="GRT106" s="1"/>
      <c r="GRU106" s="1"/>
      <c r="GRV106" s="1"/>
      <c r="GRW106" s="1"/>
      <c r="GRX106" s="1"/>
      <c r="GRY106" s="1"/>
      <c r="GRZ106" s="1"/>
      <c r="GSA106" s="1"/>
      <c r="GSB106" s="1"/>
      <c r="GSC106" s="1"/>
      <c r="GSD106" s="1"/>
      <c r="GSE106" s="1"/>
      <c r="GSF106" s="1"/>
      <c r="GSG106" s="1"/>
      <c r="GSH106" s="1"/>
      <c r="GSI106" s="1"/>
      <c r="GSJ106" s="1"/>
      <c r="GSK106" s="1"/>
      <c r="GSL106" s="1"/>
      <c r="GSM106" s="1"/>
      <c r="GSN106" s="1"/>
      <c r="GSO106" s="1"/>
      <c r="GSP106" s="1"/>
      <c r="GSQ106" s="1"/>
      <c r="GSR106" s="1"/>
      <c r="GSS106" s="1"/>
      <c r="GST106" s="1"/>
      <c r="GSU106" s="1"/>
      <c r="GSV106" s="1"/>
      <c r="GSW106" s="1"/>
      <c r="GSX106" s="1"/>
      <c r="GSY106" s="1"/>
      <c r="GSZ106" s="1"/>
      <c r="GTA106" s="1"/>
      <c r="GTB106" s="1"/>
      <c r="GTC106" s="1"/>
      <c r="GTD106" s="1"/>
      <c r="GTE106" s="1"/>
      <c r="GTF106" s="1"/>
      <c r="GTG106" s="1"/>
      <c r="GTH106" s="1"/>
      <c r="GTI106" s="1"/>
      <c r="GTJ106" s="1"/>
      <c r="GTK106" s="1"/>
      <c r="GTL106" s="1"/>
      <c r="GTM106" s="1"/>
      <c r="GTN106" s="1"/>
      <c r="GTO106" s="1"/>
      <c r="GTP106" s="1"/>
      <c r="GTQ106" s="1"/>
      <c r="GTR106" s="1"/>
      <c r="GTS106" s="1"/>
      <c r="GTT106" s="1"/>
      <c r="GTU106" s="1"/>
      <c r="GTV106" s="1"/>
      <c r="GTW106" s="1"/>
      <c r="GTX106" s="1"/>
      <c r="GTY106" s="1"/>
      <c r="GTZ106" s="1"/>
      <c r="GUA106" s="1"/>
      <c r="GUB106" s="1"/>
      <c r="GUC106" s="1"/>
      <c r="GUD106" s="1"/>
      <c r="GUE106" s="1"/>
      <c r="GUF106" s="1"/>
      <c r="GUG106" s="1"/>
      <c r="GUH106" s="1"/>
      <c r="GUI106" s="1"/>
      <c r="GUJ106" s="1"/>
      <c r="GUK106" s="1"/>
      <c r="GUL106" s="1"/>
      <c r="GUM106" s="1"/>
      <c r="GUN106" s="1"/>
      <c r="GUO106" s="1"/>
      <c r="GUP106" s="1"/>
      <c r="GUQ106" s="1"/>
      <c r="GUR106" s="1"/>
      <c r="GUS106" s="1"/>
      <c r="GUT106" s="1"/>
      <c r="GUU106" s="1"/>
      <c r="GUV106" s="1"/>
      <c r="GUW106" s="1"/>
      <c r="GUX106" s="1"/>
      <c r="GUY106" s="1"/>
      <c r="GUZ106" s="1"/>
      <c r="GVA106" s="1"/>
      <c r="GVB106" s="1"/>
      <c r="GVC106" s="1"/>
      <c r="GVD106" s="1"/>
      <c r="GVE106" s="1"/>
      <c r="GVF106" s="1"/>
      <c r="GVG106" s="1"/>
      <c r="GVH106" s="1"/>
      <c r="GVI106" s="1"/>
      <c r="GVJ106" s="1"/>
      <c r="GVK106" s="1"/>
      <c r="GVL106" s="1"/>
      <c r="GVM106" s="1"/>
      <c r="GVN106" s="1"/>
      <c r="GVO106" s="1"/>
      <c r="GVP106" s="1"/>
      <c r="GVQ106" s="1"/>
      <c r="GVR106" s="1"/>
      <c r="GVS106" s="1"/>
      <c r="GVT106" s="1"/>
      <c r="GVU106" s="1"/>
      <c r="GVV106" s="1"/>
      <c r="GVW106" s="1"/>
      <c r="GVX106" s="1"/>
      <c r="GVY106" s="1"/>
      <c r="GVZ106" s="1"/>
      <c r="GWA106" s="1"/>
      <c r="GWB106" s="1"/>
      <c r="GWC106" s="1"/>
      <c r="GWD106" s="1"/>
      <c r="GWE106" s="1"/>
      <c r="GWF106" s="1"/>
      <c r="GWG106" s="1"/>
      <c r="GWH106" s="1"/>
      <c r="GWI106" s="1"/>
      <c r="GWJ106" s="1"/>
      <c r="GWK106" s="1"/>
      <c r="GWL106" s="1"/>
      <c r="GWM106" s="1"/>
      <c r="GWN106" s="1"/>
      <c r="GWO106" s="1"/>
      <c r="GWP106" s="1"/>
      <c r="GWQ106" s="1"/>
      <c r="GWR106" s="1"/>
      <c r="GWS106" s="1"/>
      <c r="GWT106" s="1"/>
      <c r="GWU106" s="1"/>
      <c r="GWV106" s="1"/>
      <c r="GWW106" s="1"/>
      <c r="GWX106" s="1"/>
      <c r="GWY106" s="1"/>
      <c r="GWZ106" s="1"/>
      <c r="GXA106" s="1"/>
      <c r="GXB106" s="1"/>
      <c r="GXC106" s="1"/>
      <c r="GXD106" s="1"/>
      <c r="GXE106" s="1"/>
      <c r="GXF106" s="1"/>
      <c r="GXG106" s="1"/>
      <c r="GXH106" s="1"/>
      <c r="GXI106" s="1"/>
      <c r="GXJ106" s="1"/>
      <c r="GXK106" s="1"/>
      <c r="GXL106" s="1"/>
      <c r="GXM106" s="1"/>
      <c r="GXN106" s="1"/>
      <c r="GXO106" s="1"/>
      <c r="GXP106" s="1"/>
      <c r="GXQ106" s="1"/>
      <c r="GXR106" s="1"/>
      <c r="GXS106" s="1"/>
      <c r="GXT106" s="1"/>
      <c r="GXU106" s="1"/>
      <c r="GXV106" s="1"/>
      <c r="GXW106" s="1"/>
      <c r="GXX106" s="1"/>
      <c r="GXY106" s="1"/>
      <c r="GXZ106" s="1"/>
      <c r="GYA106" s="1"/>
      <c r="GYB106" s="1"/>
      <c r="GYC106" s="1"/>
      <c r="GYD106" s="1"/>
      <c r="GYE106" s="1"/>
      <c r="GYF106" s="1"/>
      <c r="GYG106" s="1"/>
      <c r="GYH106" s="1"/>
      <c r="GYI106" s="1"/>
      <c r="GYJ106" s="1"/>
      <c r="GYK106" s="1"/>
      <c r="GYL106" s="1"/>
      <c r="GYM106" s="1"/>
      <c r="GYN106" s="1"/>
      <c r="GYO106" s="1"/>
      <c r="GYP106" s="1"/>
      <c r="GYQ106" s="1"/>
      <c r="GYR106" s="1"/>
      <c r="GYS106" s="1"/>
      <c r="GYT106" s="1"/>
      <c r="GYU106" s="1"/>
      <c r="GYV106" s="1"/>
      <c r="GYW106" s="1"/>
      <c r="GYX106" s="1"/>
      <c r="GYY106" s="1"/>
      <c r="GYZ106" s="1"/>
      <c r="GZA106" s="1"/>
      <c r="GZB106" s="1"/>
      <c r="GZC106" s="1"/>
      <c r="GZD106" s="1"/>
      <c r="GZE106" s="1"/>
      <c r="GZF106" s="1"/>
      <c r="GZG106" s="1"/>
      <c r="GZH106" s="1"/>
      <c r="GZI106" s="1"/>
      <c r="GZJ106" s="1"/>
      <c r="GZK106" s="1"/>
      <c r="GZL106" s="1"/>
      <c r="GZM106" s="1"/>
      <c r="GZN106" s="1"/>
      <c r="GZO106" s="1"/>
      <c r="GZP106" s="1"/>
      <c r="GZQ106" s="1"/>
      <c r="GZR106" s="1"/>
      <c r="GZS106" s="1"/>
      <c r="GZT106" s="1"/>
      <c r="GZU106" s="1"/>
      <c r="GZV106" s="1"/>
      <c r="GZW106" s="1"/>
      <c r="GZX106" s="1"/>
      <c r="GZY106" s="1"/>
      <c r="GZZ106" s="1"/>
      <c r="HAA106" s="1"/>
      <c r="HAB106" s="1"/>
      <c r="HAC106" s="1"/>
      <c r="HAD106" s="1"/>
      <c r="HAE106" s="1"/>
      <c r="HAF106" s="1"/>
      <c r="HAG106" s="1"/>
      <c r="HAH106" s="1"/>
      <c r="HAI106" s="1"/>
      <c r="HAJ106" s="1"/>
      <c r="HAK106" s="1"/>
      <c r="HAL106" s="1"/>
      <c r="HAM106" s="1"/>
      <c r="HAN106" s="1"/>
      <c r="HAO106" s="1"/>
      <c r="HAP106" s="1"/>
      <c r="HAQ106" s="1"/>
      <c r="HAR106" s="1"/>
      <c r="HAS106" s="1"/>
      <c r="HAT106" s="1"/>
      <c r="HAU106" s="1"/>
      <c r="HAV106" s="1"/>
      <c r="HAW106" s="1"/>
      <c r="HAX106" s="1"/>
      <c r="HAY106" s="1"/>
      <c r="HAZ106" s="1"/>
      <c r="HBA106" s="1"/>
      <c r="HBB106" s="1"/>
      <c r="HBC106" s="1"/>
      <c r="HBD106" s="1"/>
      <c r="HBE106" s="1"/>
      <c r="HBF106" s="1"/>
      <c r="HBG106" s="1"/>
      <c r="HBH106" s="1"/>
      <c r="HBI106" s="1"/>
      <c r="HBJ106" s="1"/>
      <c r="HBK106" s="1"/>
      <c r="HBL106" s="1"/>
      <c r="HBM106" s="1"/>
      <c r="HBN106" s="1"/>
      <c r="HBO106" s="1"/>
      <c r="HBP106" s="1"/>
      <c r="HBQ106" s="1"/>
      <c r="HBR106" s="1"/>
      <c r="HBS106" s="1"/>
      <c r="HBT106" s="1"/>
      <c r="HBU106" s="1"/>
      <c r="HBV106" s="1"/>
      <c r="HBW106" s="1"/>
      <c r="HBX106" s="1"/>
      <c r="HBY106" s="1"/>
      <c r="HBZ106" s="1"/>
      <c r="HCA106" s="1"/>
      <c r="HCB106" s="1"/>
      <c r="HCC106" s="1"/>
      <c r="HCD106" s="1"/>
      <c r="HCE106" s="1"/>
      <c r="HCF106" s="1"/>
      <c r="HCG106" s="1"/>
      <c r="HCH106" s="1"/>
      <c r="HCI106" s="1"/>
      <c r="HCJ106" s="1"/>
      <c r="HCK106" s="1"/>
      <c r="HCL106" s="1"/>
      <c r="HCM106" s="1"/>
      <c r="HCN106" s="1"/>
      <c r="HCO106" s="1"/>
      <c r="HCP106" s="1"/>
      <c r="HCQ106" s="1"/>
      <c r="HCR106" s="1"/>
      <c r="HCS106" s="1"/>
      <c r="HCT106" s="1"/>
      <c r="HCU106" s="1"/>
      <c r="HCV106" s="1"/>
      <c r="HCW106" s="1"/>
      <c r="HCX106" s="1"/>
      <c r="HCY106" s="1"/>
      <c r="HCZ106" s="1"/>
      <c r="HDA106" s="1"/>
      <c r="HDB106" s="1"/>
      <c r="HDC106" s="1"/>
      <c r="HDD106" s="1"/>
      <c r="HDE106" s="1"/>
      <c r="HDF106" s="1"/>
      <c r="HDG106" s="1"/>
      <c r="HDH106" s="1"/>
      <c r="HDI106" s="1"/>
      <c r="HDJ106" s="1"/>
      <c r="HDK106" s="1"/>
      <c r="HDL106" s="1"/>
      <c r="HDM106" s="1"/>
      <c r="HDN106" s="1"/>
      <c r="HDO106" s="1"/>
      <c r="HDP106" s="1"/>
      <c r="HDQ106" s="1"/>
      <c r="HDR106" s="1"/>
      <c r="HDS106" s="1"/>
      <c r="HDT106" s="1"/>
      <c r="HDU106" s="1"/>
      <c r="HDV106" s="1"/>
      <c r="HDW106" s="1"/>
      <c r="HDX106" s="1"/>
      <c r="HDY106" s="1"/>
      <c r="HDZ106" s="1"/>
      <c r="HEA106" s="1"/>
      <c r="HEB106" s="1"/>
      <c r="HEC106" s="1"/>
      <c r="HED106" s="1"/>
      <c r="HEE106" s="1"/>
      <c r="HEF106" s="1"/>
      <c r="HEG106" s="1"/>
      <c r="HEH106" s="1"/>
      <c r="HEI106" s="1"/>
      <c r="HEJ106" s="1"/>
      <c r="HEK106" s="1"/>
      <c r="HEL106" s="1"/>
      <c r="HEM106" s="1"/>
      <c r="HEN106" s="1"/>
      <c r="HEO106" s="1"/>
      <c r="HEP106" s="1"/>
      <c r="HEQ106" s="1"/>
      <c r="HER106" s="1"/>
      <c r="HES106" s="1"/>
      <c r="HET106" s="1"/>
      <c r="HEU106" s="1"/>
      <c r="HEV106" s="1"/>
      <c r="HEW106" s="1"/>
      <c r="HEX106" s="1"/>
      <c r="HEY106" s="1"/>
      <c r="HEZ106" s="1"/>
      <c r="HFA106" s="1"/>
      <c r="HFB106" s="1"/>
      <c r="HFC106" s="1"/>
      <c r="HFD106" s="1"/>
      <c r="HFE106" s="1"/>
      <c r="HFF106" s="1"/>
      <c r="HFG106" s="1"/>
      <c r="HFH106" s="1"/>
      <c r="HFI106" s="1"/>
      <c r="HFJ106" s="1"/>
      <c r="HFK106" s="1"/>
      <c r="HFL106" s="1"/>
      <c r="HFM106" s="1"/>
      <c r="HFN106" s="1"/>
      <c r="HFO106" s="1"/>
      <c r="HFP106" s="1"/>
      <c r="HFQ106" s="1"/>
      <c r="HFR106" s="1"/>
      <c r="HFS106" s="1"/>
      <c r="HFT106" s="1"/>
      <c r="HFU106" s="1"/>
      <c r="HFV106" s="1"/>
      <c r="HFW106" s="1"/>
      <c r="HFX106" s="1"/>
      <c r="HFY106" s="1"/>
      <c r="HFZ106" s="1"/>
      <c r="HGA106" s="1"/>
      <c r="HGB106" s="1"/>
      <c r="HGC106" s="1"/>
      <c r="HGD106" s="1"/>
      <c r="HGE106" s="1"/>
      <c r="HGF106" s="1"/>
      <c r="HGG106" s="1"/>
      <c r="HGH106" s="1"/>
      <c r="HGI106" s="1"/>
      <c r="HGJ106" s="1"/>
      <c r="HGK106" s="1"/>
      <c r="HGL106" s="1"/>
      <c r="HGM106" s="1"/>
      <c r="HGN106" s="1"/>
      <c r="HGO106" s="1"/>
      <c r="HGP106" s="1"/>
      <c r="HGQ106" s="1"/>
      <c r="HGR106" s="1"/>
      <c r="HGS106" s="1"/>
      <c r="HGT106" s="1"/>
      <c r="HGU106" s="1"/>
      <c r="HGV106" s="1"/>
      <c r="HGW106" s="1"/>
      <c r="HGX106" s="1"/>
      <c r="HGY106" s="1"/>
      <c r="HGZ106" s="1"/>
      <c r="HHA106" s="1"/>
      <c r="HHB106" s="1"/>
      <c r="HHC106" s="1"/>
      <c r="HHD106" s="1"/>
      <c r="HHE106" s="1"/>
      <c r="HHF106" s="1"/>
      <c r="HHG106" s="1"/>
      <c r="HHH106" s="1"/>
      <c r="HHI106" s="1"/>
      <c r="HHJ106" s="1"/>
      <c r="HHK106" s="1"/>
      <c r="HHL106" s="1"/>
      <c r="HHM106" s="1"/>
      <c r="HHN106" s="1"/>
      <c r="HHO106" s="1"/>
      <c r="HHP106" s="1"/>
      <c r="HHQ106" s="1"/>
      <c r="HHR106" s="1"/>
      <c r="HHS106" s="1"/>
      <c r="HHT106" s="1"/>
      <c r="HHU106" s="1"/>
      <c r="HHV106" s="1"/>
      <c r="HHW106" s="1"/>
      <c r="HHX106" s="1"/>
      <c r="HHY106" s="1"/>
      <c r="HHZ106" s="1"/>
      <c r="HIA106" s="1"/>
      <c r="HIB106" s="1"/>
      <c r="HIC106" s="1"/>
      <c r="HID106" s="1"/>
      <c r="HIE106" s="1"/>
      <c r="HIF106" s="1"/>
      <c r="HIG106" s="1"/>
      <c r="HIH106" s="1"/>
      <c r="HII106" s="1"/>
      <c r="HIJ106" s="1"/>
      <c r="HIK106" s="1"/>
      <c r="HIL106" s="1"/>
      <c r="HIM106" s="1"/>
      <c r="HIN106" s="1"/>
      <c r="HIO106" s="1"/>
      <c r="HIP106" s="1"/>
      <c r="HIQ106" s="1"/>
      <c r="HIR106" s="1"/>
      <c r="HIS106" s="1"/>
      <c r="HIT106" s="1"/>
      <c r="HIU106" s="1"/>
      <c r="HIV106" s="1"/>
      <c r="HIW106" s="1"/>
      <c r="HIX106" s="1"/>
      <c r="HIY106" s="1"/>
      <c r="HIZ106" s="1"/>
      <c r="HJA106" s="1"/>
      <c r="HJB106" s="1"/>
      <c r="HJC106" s="1"/>
      <c r="HJD106" s="1"/>
      <c r="HJE106" s="1"/>
      <c r="HJF106" s="1"/>
      <c r="HJG106" s="1"/>
      <c r="HJH106" s="1"/>
      <c r="HJI106" s="1"/>
      <c r="HJJ106" s="1"/>
      <c r="HJK106" s="1"/>
      <c r="HJL106" s="1"/>
      <c r="HJM106" s="1"/>
      <c r="HJN106" s="1"/>
      <c r="HJO106" s="1"/>
      <c r="HJP106" s="1"/>
      <c r="HJQ106" s="1"/>
      <c r="HJR106" s="1"/>
      <c r="HJS106" s="1"/>
      <c r="HJT106" s="1"/>
      <c r="HJU106" s="1"/>
      <c r="HJV106" s="1"/>
      <c r="HJW106" s="1"/>
      <c r="HJX106" s="1"/>
      <c r="HJY106" s="1"/>
      <c r="HJZ106" s="1"/>
      <c r="HKA106" s="1"/>
      <c r="HKB106" s="1"/>
      <c r="HKC106" s="1"/>
      <c r="HKD106" s="1"/>
      <c r="HKE106" s="1"/>
      <c r="HKF106" s="1"/>
      <c r="HKG106" s="1"/>
      <c r="HKH106" s="1"/>
      <c r="HKI106" s="1"/>
      <c r="HKJ106" s="1"/>
      <c r="HKK106" s="1"/>
      <c r="HKL106" s="1"/>
      <c r="HKM106" s="1"/>
      <c r="HKN106" s="1"/>
      <c r="HKO106" s="1"/>
      <c r="HKP106" s="1"/>
      <c r="HKQ106" s="1"/>
      <c r="HKR106" s="1"/>
      <c r="HKS106" s="1"/>
      <c r="HKT106" s="1"/>
      <c r="HKU106" s="1"/>
      <c r="HKV106" s="1"/>
      <c r="HKW106" s="1"/>
      <c r="HKX106" s="1"/>
      <c r="HKY106" s="1"/>
      <c r="HKZ106" s="1"/>
      <c r="HLA106" s="1"/>
      <c r="HLB106" s="1"/>
      <c r="HLC106" s="1"/>
      <c r="HLD106" s="1"/>
      <c r="HLE106" s="1"/>
      <c r="HLF106" s="1"/>
      <c r="HLG106" s="1"/>
      <c r="HLH106" s="1"/>
      <c r="HLI106" s="1"/>
      <c r="HLJ106" s="1"/>
      <c r="HLK106" s="1"/>
      <c r="HLL106" s="1"/>
      <c r="HLM106" s="1"/>
      <c r="HLN106" s="1"/>
      <c r="HLO106" s="1"/>
      <c r="HLP106" s="1"/>
      <c r="HLQ106" s="1"/>
      <c r="HLR106" s="1"/>
      <c r="HLS106" s="1"/>
      <c r="HLT106" s="1"/>
      <c r="HLU106" s="1"/>
      <c r="HLV106" s="1"/>
      <c r="HLW106" s="1"/>
      <c r="HLX106" s="1"/>
      <c r="HLY106" s="1"/>
      <c r="HLZ106" s="1"/>
      <c r="HMA106" s="1"/>
      <c r="HMB106" s="1"/>
      <c r="HMC106" s="1"/>
      <c r="HMD106" s="1"/>
      <c r="HME106" s="1"/>
      <c r="HMF106" s="1"/>
      <c r="HMG106" s="1"/>
      <c r="HMH106" s="1"/>
      <c r="HMI106" s="1"/>
      <c r="HMJ106" s="1"/>
      <c r="HMK106" s="1"/>
      <c r="HML106" s="1"/>
      <c r="HMM106" s="1"/>
      <c r="HMN106" s="1"/>
      <c r="HMO106" s="1"/>
      <c r="HMP106" s="1"/>
      <c r="HMQ106" s="1"/>
      <c r="HMR106" s="1"/>
      <c r="HMS106" s="1"/>
      <c r="HMT106" s="1"/>
      <c r="HMU106" s="1"/>
      <c r="HMV106" s="1"/>
      <c r="HMW106" s="1"/>
      <c r="HMX106" s="1"/>
      <c r="HMY106" s="1"/>
      <c r="HMZ106" s="1"/>
      <c r="HNA106" s="1"/>
      <c r="HNB106" s="1"/>
      <c r="HNC106" s="1"/>
      <c r="HND106" s="1"/>
      <c r="HNE106" s="1"/>
      <c r="HNF106" s="1"/>
      <c r="HNG106" s="1"/>
      <c r="HNH106" s="1"/>
      <c r="HNI106" s="1"/>
      <c r="HNJ106" s="1"/>
      <c r="HNK106" s="1"/>
      <c r="HNL106" s="1"/>
      <c r="HNM106" s="1"/>
      <c r="HNN106" s="1"/>
      <c r="HNO106" s="1"/>
      <c r="HNP106" s="1"/>
      <c r="HNQ106" s="1"/>
      <c r="HNR106" s="1"/>
      <c r="HNS106" s="1"/>
      <c r="HNT106" s="1"/>
      <c r="HNU106" s="1"/>
      <c r="HNV106" s="1"/>
      <c r="HNW106" s="1"/>
      <c r="HNX106" s="1"/>
      <c r="HNY106" s="1"/>
      <c r="HNZ106" s="1"/>
      <c r="HOA106" s="1"/>
      <c r="HOB106" s="1"/>
      <c r="HOC106" s="1"/>
      <c r="HOD106" s="1"/>
      <c r="HOE106" s="1"/>
      <c r="HOF106" s="1"/>
      <c r="HOG106" s="1"/>
      <c r="HOH106" s="1"/>
      <c r="HOI106" s="1"/>
      <c r="HOJ106" s="1"/>
      <c r="HOK106" s="1"/>
      <c r="HOL106" s="1"/>
      <c r="HOM106" s="1"/>
      <c r="HON106" s="1"/>
      <c r="HOO106" s="1"/>
      <c r="HOP106" s="1"/>
      <c r="HOQ106" s="1"/>
      <c r="HOR106" s="1"/>
      <c r="HOS106" s="1"/>
      <c r="HOT106" s="1"/>
      <c r="HOU106" s="1"/>
      <c r="HOV106" s="1"/>
      <c r="HOW106" s="1"/>
      <c r="HOX106" s="1"/>
      <c r="HOY106" s="1"/>
      <c r="HOZ106" s="1"/>
      <c r="HPA106" s="1"/>
      <c r="HPB106" s="1"/>
      <c r="HPC106" s="1"/>
      <c r="HPD106" s="1"/>
      <c r="HPE106" s="1"/>
      <c r="HPF106" s="1"/>
      <c r="HPG106" s="1"/>
      <c r="HPH106" s="1"/>
      <c r="HPI106" s="1"/>
      <c r="HPJ106" s="1"/>
      <c r="HPK106" s="1"/>
      <c r="HPL106" s="1"/>
      <c r="HPM106" s="1"/>
      <c r="HPN106" s="1"/>
      <c r="HPO106" s="1"/>
      <c r="HPP106" s="1"/>
      <c r="HPQ106" s="1"/>
      <c r="HPR106" s="1"/>
      <c r="HPS106" s="1"/>
      <c r="HPT106" s="1"/>
      <c r="HPU106" s="1"/>
      <c r="HPV106" s="1"/>
      <c r="HPW106" s="1"/>
      <c r="HPX106" s="1"/>
      <c r="HPY106" s="1"/>
      <c r="HPZ106" s="1"/>
      <c r="HQA106" s="1"/>
      <c r="HQB106" s="1"/>
      <c r="HQC106" s="1"/>
      <c r="HQD106" s="1"/>
      <c r="HQE106" s="1"/>
      <c r="HQF106" s="1"/>
      <c r="HQG106" s="1"/>
      <c r="HQH106" s="1"/>
      <c r="HQI106" s="1"/>
      <c r="HQJ106" s="1"/>
      <c r="HQK106" s="1"/>
      <c r="HQL106" s="1"/>
      <c r="HQM106" s="1"/>
      <c r="HQN106" s="1"/>
      <c r="HQO106" s="1"/>
      <c r="HQP106" s="1"/>
      <c r="HQQ106" s="1"/>
      <c r="HQR106" s="1"/>
      <c r="HQS106" s="1"/>
      <c r="HQT106" s="1"/>
      <c r="HQU106" s="1"/>
      <c r="HQV106" s="1"/>
      <c r="HQW106" s="1"/>
      <c r="HQX106" s="1"/>
      <c r="HQY106" s="1"/>
      <c r="HQZ106" s="1"/>
      <c r="HRA106" s="1"/>
      <c r="HRB106" s="1"/>
      <c r="HRC106" s="1"/>
      <c r="HRD106" s="1"/>
      <c r="HRE106" s="1"/>
      <c r="HRF106" s="1"/>
      <c r="HRG106" s="1"/>
      <c r="HRH106" s="1"/>
      <c r="HRI106" s="1"/>
      <c r="HRJ106" s="1"/>
      <c r="HRK106" s="1"/>
      <c r="HRL106" s="1"/>
      <c r="HRM106" s="1"/>
      <c r="HRN106" s="1"/>
      <c r="HRO106" s="1"/>
      <c r="HRP106" s="1"/>
      <c r="HRQ106" s="1"/>
      <c r="HRR106" s="1"/>
      <c r="HRS106" s="1"/>
      <c r="HRT106" s="1"/>
      <c r="HRU106" s="1"/>
      <c r="HRV106" s="1"/>
      <c r="HRW106" s="1"/>
      <c r="HRX106" s="1"/>
      <c r="HRY106" s="1"/>
      <c r="HRZ106" s="1"/>
      <c r="HSA106" s="1"/>
      <c r="HSB106" s="1"/>
      <c r="HSC106" s="1"/>
      <c r="HSD106" s="1"/>
      <c r="HSE106" s="1"/>
      <c r="HSF106" s="1"/>
      <c r="HSG106" s="1"/>
      <c r="HSH106" s="1"/>
      <c r="HSI106" s="1"/>
      <c r="HSJ106" s="1"/>
      <c r="HSK106" s="1"/>
      <c r="HSL106" s="1"/>
      <c r="HSM106" s="1"/>
      <c r="HSN106" s="1"/>
      <c r="HSO106" s="1"/>
      <c r="HSP106" s="1"/>
      <c r="HSQ106" s="1"/>
      <c r="HSR106" s="1"/>
      <c r="HSS106" s="1"/>
      <c r="HST106" s="1"/>
      <c r="HSU106" s="1"/>
      <c r="HSV106" s="1"/>
      <c r="HSW106" s="1"/>
      <c r="HSX106" s="1"/>
      <c r="HSY106" s="1"/>
      <c r="HSZ106" s="1"/>
      <c r="HTA106" s="1"/>
      <c r="HTB106" s="1"/>
      <c r="HTC106" s="1"/>
      <c r="HTD106" s="1"/>
      <c r="HTE106" s="1"/>
      <c r="HTF106" s="1"/>
      <c r="HTG106" s="1"/>
      <c r="HTH106" s="1"/>
      <c r="HTI106" s="1"/>
      <c r="HTJ106" s="1"/>
      <c r="HTK106" s="1"/>
      <c r="HTL106" s="1"/>
      <c r="HTM106" s="1"/>
      <c r="HTN106" s="1"/>
      <c r="HTO106" s="1"/>
      <c r="HTP106" s="1"/>
      <c r="HTQ106" s="1"/>
      <c r="HTR106" s="1"/>
      <c r="HTS106" s="1"/>
      <c r="HTT106" s="1"/>
      <c r="HTU106" s="1"/>
      <c r="HTV106" s="1"/>
      <c r="HTW106" s="1"/>
      <c r="HTX106" s="1"/>
      <c r="HTY106" s="1"/>
      <c r="HTZ106" s="1"/>
      <c r="HUA106" s="1"/>
      <c r="HUB106" s="1"/>
      <c r="HUC106" s="1"/>
      <c r="HUD106" s="1"/>
      <c r="HUE106" s="1"/>
      <c r="HUF106" s="1"/>
      <c r="HUG106" s="1"/>
      <c r="HUH106" s="1"/>
      <c r="HUI106" s="1"/>
      <c r="HUJ106" s="1"/>
      <c r="HUK106" s="1"/>
      <c r="HUL106" s="1"/>
      <c r="HUM106" s="1"/>
      <c r="HUN106" s="1"/>
      <c r="HUO106" s="1"/>
      <c r="HUP106" s="1"/>
      <c r="HUQ106" s="1"/>
      <c r="HUR106" s="1"/>
      <c r="HUS106" s="1"/>
      <c r="HUT106" s="1"/>
      <c r="HUU106" s="1"/>
      <c r="HUV106" s="1"/>
      <c r="HUW106" s="1"/>
      <c r="HUX106" s="1"/>
      <c r="HUY106" s="1"/>
      <c r="HUZ106" s="1"/>
      <c r="HVA106" s="1"/>
      <c r="HVB106" s="1"/>
      <c r="HVC106" s="1"/>
      <c r="HVD106" s="1"/>
      <c r="HVE106" s="1"/>
      <c r="HVF106" s="1"/>
      <c r="HVG106" s="1"/>
      <c r="HVH106" s="1"/>
      <c r="HVI106" s="1"/>
      <c r="HVJ106" s="1"/>
      <c r="HVK106" s="1"/>
      <c r="HVL106" s="1"/>
      <c r="HVM106" s="1"/>
      <c r="HVN106" s="1"/>
      <c r="HVO106" s="1"/>
      <c r="HVP106" s="1"/>
      <c r="HVQ106" s="1"/>
      <c r="HVR106" s="1"/>
      <c r="HVS106" s="1"/>
      <c r="HVT106" s="1"/>
      <c r="HVU106" s="1"/>
      <c r="HVV106" s="1"/>
      <c r="HVW106" s="1"/>
      <c r="HVX106" s="1"/>
      <c r="HVY106" s="1"/>
      <c r="HVZ106" s="1"/>
      <c r="HWA106" s="1"/>
      <c r="HWB106" s="1"/>
      <c r="HWC106" s="1"/>
      <c r="HWD106" s="1"/>
      <c r="HWE106" s="1"/>
      <c r="HWF106" s="1"/>
      <c r="HWG106" s="1"/>
      <c r="HWH106" s="1"/>
      <c r="HWI106" s="1"/>
      <c r="HWJ106" s="1"/>
      <c r="HWK106" s="1"/>
      <c r="HWL106" s="1"/>
      <c r="HWM106" s="1"/>
      <c r="HWN106" s="1"/>
      <c r="HWO106" s="1"/>
      <c r="HWP106" s="1"/>
      <c r="HWQ106" s="1"/>
      <c r="HWR106" s="1"/>
      <c r="HWS106" s="1"/>
      <c r="HWT106" s="1"/>
      <c r="HWU106" s="1"/>
      <c r="HWV106" s="1"/>
      <c r="HWW106" s="1"/>
      <c r="HWX106" s="1"/>
      <c r="HWY106" s="1"/>
      <c r="HWZ106" s="1"/>
      <c r="HXA106" s="1"/>
      <c r="HXB106" s="1"/>
      <c r="HXC106" s="1"/>
      <c r="HXD106" s="1"/>
      <c r="HXE106" s="1"/>
      <c r="HXF106" s="1"/>
      <c r="HXG106" s="1"/>
      <c r="HXH106" s="1"/>
      <c r="HXI106" s="1"/>
      <c r="HXJ106" s="1"/>
      <c r="HXK106" s="1"/>
      <c r="HXL106" s="1"/>
      <c r="HXM106" s="1"/>
      <c r="HXN106" s="1"/>
      <c r="HXO106" s="1"/>
      <c r="HXP106" s="1"/>
      <c r="HXQ106" s="1"/>
      <c r="HXR106" s="1"/>
      <c r="HXS106" s="1"/>
      <c r="HXT106" s="1"/>
      <c r="HXU106" s="1"/>
      <c r="HXV106" s="1"/>
      <c r="HXW106" s="1"/>
      <c r="HXX106" s="1"/>
      <c r="HXY106" s="1"/>
      <c r="HXZ106" s="1"/>
      <c r="HYA106" s="1"/>
      <c r="HYB106" s="1"/>
      <c r="HYC106" s="1"/>
      <c r="HYD106" s="1"/>
      <c r="HYE106" s="1"/>
      <c r="HYF106" s="1"/>
      <c r="HYG106" s="1"/>
      <c r="HYH106" s="1"/>
      <c r="HYI106" s="1"/>
      <c r="HYJ106" s="1"/>
      <c r="HYK106" s="1"/>
      <c r="HYL106" s="1"/>
      <c r="HYM106" s="1"/>
      <c r="HYN106" s="1"/>
      <c r="HYO106" s="1"/>
      <c r="HYP106" s="1"/>
      <c r="HYQ106" s="1"/>
      <c r="HYR106" s="1"/>
      <c r="HYS106" s="1"/>
      <c r="HYT106" s="1"/>
      <c r="HYU106" s="1"/>
      <c r="HYV106" s="1"/>
      <c r="HYW106" s="1"/>
      <c r="HYX106" s="1"/>
      <c r="HYY106" s="1"/>
      <c r="HYZ106" s="1"/>
      <c r="HZA106" s="1"/>
      <c r="HZB106" s="1"/>
      <c r="HZC106" s="1"/>
      <c r="HZD106" s="1"/>
      <c r="HZE106" s="1"/>
      <c r="HZF106" s="1"/>
      <c r="HZG106" s="1"/>
      <c r="HZH106" s="1"/>
      <c r="HZI106" s="1"/>
      <c r="HZJ106" s="1"/>
      <c r="HZK106" s="1"/>
      <c r="HZL106" s="1"/>
      <c r="HZM106" s="1"/>
      <c r="HZN106" s="1"/>
      <c r="HZO106" s="1"/>
      <c r="HZP106" s="1"/>
      <c r="HZQ106" s="1"/>
      <c r="HZR106" s="1"/>
      <c r="HZS106" s="1"/>
      <c r="HZT106" s="1"/>
      <c r="HZU106" s="1"/>
      <c r="HZV106" s="1"/>
      <c r="HZW106" s="1"/>
      <c r="HZX106" s="1"/>
      <c r="HZY106" s="1"/>
      <c r="HZZ106" s="1"/>
      <c r="IAA106" s="1"/>
      <c r="IAB106" s="1"/>
      <c r="IAC106" s="1"/>
      <c r="IAD106" s="1"/>
      <c r="IAE106" s="1"/>
      <c r="IAF106" s="1"/>
      <c r="IAG106" s="1"/>
      <c r="IAH106" s="1"/>
      <c r="IAI106" s="1"/>
      <c r="IAJ106" s="1"/>
      <c r="IAK106" s="1"/>
      <c r="IAL106" s="1"/>
      <c r="IAM106" s="1"/>
      <c r="IAN106" s="1"/>
      <c r="IAO106" s="1"/>
      <c r="IAP106" s="1"/>
      <c r="IAQ106" s="1"/>
      <c r="IAR106" s="1"/>
      <c r="IAS106" s="1"/>
      <c r="IAT106" s="1"/>
      <c r="IAU106" s="1"/>
      <c r="IAV106" s="1"/>
      <c r="IAW106" s="1"/>
      <c r="IAX106" s="1"/>
      <c r="IAY106" s="1"/>
      <c r="IAZ106" s="1"/>
      <c r="IBA106" s="1"/>
      <c r="IBB106" s="1"/>
      <c r="IBC106" s="1"/>
      <c r="IBD106" s="1"/>
      <c r="IBE106" s="1"/>
      <c r="IBF106" s="1"/>
      <c r="IBG106" s="1"/>
      <c r="IBH106" s="1"/>
      <c r="IBI106" s="1"/>
      <c r="IBJ106" s="1"/>
      <c r="IBK106" s="1"/>
      <c r="IBL106" s="1"/>
      <c r="IBM106" s="1"/>
      <c r="IBN106" s="1"/>
      <c r="IBO106" s="1"/>
      <c r="IBP106" s="1"/>
      <c r="IBQ106" s="1"/>
      <c r="IBR106" s="1"/>
      <c r="IBS106" s="1"/>
      <c r="IBT106" s="1"/>
      <c r="IBU106" s="1"/>
      <c r="IBV106" s="1"/>
      <c r="IBW106" s="1"/>
      <c r="IBX106" s="1"/>
      <c r="IBY106" s="1"/>
      <c r="IBZ106" s="1"/>
      <c r="ICA106" s="1"/>
      <c r="ICB106" s="1"/>
      <c r="ICC106" s="1"/>
      <c r="ICD106" s="1"/>
      <c r="ICE106" s="1"/>
      <c r="ICF106" s="1"/>
      <c r="ICG106" s="1"/>
      <c r="ICH106" s="1"/>
      <c r="ICI106" s="1"/>
      <c r="ICJ106" s="1"/>
      <c r="ICK106" s="1"/>
      <c r="ICL106" s="1"/>
      <c r="ICM106" s="1"/>
      <c r="ICN106" s="1"/>
      <c r="ICO106" s="1"/>
      <c r="ICP106" s="1"/>
      <c r="ICQ106" s="1"/>
      <c r="ICR106" s="1"/>
      <c r="ICS106" s="1"/>
      <c r="ICT106" s="1"/>
      <c r="ICU106" s="1"/>
      <c r="ICV106" s="1"/>
      <c r="ICW106" s="1"/>
      <c r="ICX106" s="1"/>
      <c r="ICY106" s="1"/>
      <c r="ICZ106" s="1"/>
      <c r="IDA106" s="1"/>
      <c r="IDB106" s="1"/>
      <c r="IDC106" s="1"/>
      <c r="IDD106" s="1"/>
      <c r="IDE106" s="1"/>
      <c r="IDF106" s="1"/>
      <c r="IDG106" s="1"/>
      <c r="IDH106" s="1"/>
      <c r="IDI106" s="1"/>
      <c r="IDJ106" s="1"/>
      <c r="IDK106" s="1"/>
      <c r="IDL106" s="1"/>
      <c r="IDM106" s="1"/>
      <c r="IDN106" s="1"/>
      <c r="IDO106" s="1"/>
      <c r="IDP106" s="1"/>
      <c r="IDQ106" s="1"/>
      <c r="IDR106" s="1"/>
      <c r="IDS106" s="1"/>
      <c r="IDT106" s="1"/>
      <c r="IDU106" s="1"/>
      <c r="IDV106" s="1"/>
      <c r="IDW106" s="1"/>
      <c r="IDX106" s="1"/>
      <c r="IDY106" s="1"/>
      <c r="IDZ106" s="1"/>
      <c r="IEA106" s="1"/>
      <c r="IEB106" s="1"/>
      <c r="IEC106" s="1"/>
      <c r="IED106" s="1"/>
      <c r="IEE106" s="1"/>
      <c r="IEF106" s="1"/>
      <c r="IEG106" s="1"/>
      <c r="IEH106" s="1"/>
      <c r="IEI106" s="1"/>
      <c r="IEJ106" s="1"/>
      <c r="IEK106" s="1"/>
      <c r="IEL106" s="1"/>
      <c r="IEM106" s="1"/>
      <c r="IEN106" s="1"/>
      <c r="IEO106" s="1"/>
      <c r="IEP106" s="1"/>
      <c r="IEQ106" s="1"/>
      <c r="IER106" s="1"/>
      <c r="IES106" s="1"/>
      <c r="IET106" s="1"/>
      <c r="IEU106" s="1"/>
      <c r="IEV106" s="1"/>
      <c r="IEW106" s="1"/>
      <c r="IEX106" s="1"/>
      <c r="IEY106" s="1"/>
      <c r="IEZ106" s="1"/>
      <c r="IFA106" s="1"/>
      <c r="IFB106" s="1"/>
      <c r="IFC106" s="1"/>
      <c r="IFD106" s="1"/>
      <c r="IFE106" s="1"/>
      <c r="IFF106" s="1"/>
      <c r="IFG106" s="1"/>
      <c r="IFH106" s="1"/>
      <c r="IFI106" s="1"/>
      <c r="IFJ106" s="1"/>
      <c r="IFK106" s="1"/>
      <c r="IFL106" s="1"/>
      <c r="IFM106" s="1"/>
      <c r="IFN106" s="1"/>
      <c r="IFO106" s="1"/>
      <c r="IFP106" s="1"/>
      <c r="IFQ106" s="1"/>
      <c r="IFR106" s="1"/>
      <c r="IFS106" s="1"/>
      <c r="IFT106" s="1"/>
      <c r="IFU106" s="1"/>
      <c r="IFV106" s="1"/>
      <c r="IFW106" s="1"/>
      <c r="IFX106" s="1"/>
      <c r="IFY106" s="1"/>
      <c r="IFZ106" s="1"/>
      <c r="IGA106" s="1"/>
      <c r="IGB106" s="1"/>
      <c r="IGC106" s="1"/>
      <c r="IGD106" s="1"/>
      <c r="IGE106" s="1"/>
      <c r="IGF106" s="1"/>
      <c r="IGG106" s="1"/>
      <c r="IGH106" s="1"/>
      <c r="IGI106" s="1"/>
      <c r="IGJ106" s="1"/>
      <c r="IGK106" s="1"/>
      <c r="IGL106" s="1"/>
      <c r="IGM106" s="1"/>
      <c r="IGN106" s="1"/>
      <c r="IGO106" s="1"/>
      <c r="IGP106" s="1"/>
      <c r="IGQ106" s="1"/>
      <c r="IGR106" s="1"/>
      <c r="IGS106" s="1"/>
      <c r="IGT106" s="1"/>
      <c r="IGU106" s="1"/>
      <c r="IGV106" s="1"/>
      <c r="IGW106" s="1"/>
      <c r="IGX106" s="1"/>
      <c r="IGY106" s="1"/>
      <c r="IGZ106" s="1"/>
      <c r="IHA106" s="1"/>
      <c r="IHB106" s="1"/>
      <c r="IHC106" s="1"/>
      <c r="IHD106" s="1"/>
      <c r="IHE106" s="1"/>
      <c r="IHF106" s="1"/>
      <c r="IHG106" s="1"/>
      <c r="IHH106" s="1"/>
      <c r="IHI106" s="1"/>
      <c r="IHJ106" s="1"/>
      <c r="IHK106" s="1"/>
      <c r="IHL106" s="1"/>
      <c r="IHM106" s="1"/>
      <c r="IHN106" s="1"/>
      <c r="IHO106" s="1"/>
      <c r="IHP106" s="1"/>
      <c r="IHQ106" s="1"/>
      <c r="IHR106" s="1"/>
      <c r="IHS106" s="1"/>
      <c r="IHT106" s="1"/>
      <c r="IHU106" s="1"/>
      <c r="IHV106" s="1"/>
      <c r="IHW106" s="1"/>
      <c r="IHX106" s="1"/>
      <c r="IHY106" s="1"/>
      <c r="IHZ106" s="1"/>
      <c r="IIA106" s="1"/>
      <c r="IIB106" s="1"/>
      <c r="IIC106" s="1"/>
      <c r="IID106" s="1"/>
      <c r="IIE106" s="1"/>
      <c r="IIF106" s="1"/>
      <c r="IIG106" s="1"/>
      <c r="IIH106" s="1"/>
      <c r="III106" s="1"/>
      <c r="IIJ106" s="1"/>
      <c r="IIK106" s="1"/>
      <c r="IIL106" s="1"/>
      <c r="IIM106" s="1"/>
      <c r="IIN106" s="1"/>
      <c r="IIO106" s="1"/>
      <c r="IIP106" s="1"/>
      <c r="IIQ106" s="1"/>
      <c r="IIR106" s="1"/>
      <c r="IIS106" s="1"/>
      <c r="IIT106" s="1"/>
      <c r="IIU106" s="1"/>
      <c r="IIV106" s="1"/>
      <c r="IIW106" s="1"/>
      <c r="IIX106" s="1"/>
      <c r="IIY106" s="1"/>
      <c r="IIZ106" s="1"/>
      <c r="IJA106" s="1"/>
      <c r="IJB106" s="1"/>
      <c r="IJC106" s="1"/>
      <c r="IJD106" s="1"/>
      <c r="IJE106" s="1"/>
      <c r="IJF106" s="1"/>
      <c r="IJG106" s="1"/>
      <c r="IJH106" s="1"/>
      <c r="IJI106" s="1"/>
      <c r="IJJ106" s="1"/>
      <c r="IJK106" s="1"/>
      <c r="IJL106" s="1"/>
      <c r="IJM106" s="1"/>
      <c r="IJN106" s="1"/>
      <c r="IJO106" s="1"/>
      <c r="IJP106" s="1"/>
      <c r="IJQ106" s="1"/>
      <c r="IJR106" s="1"/>
      <c r="IJS106" s="1"/>
      <c r="IJT106" s="1"/>
      <c r="IJU106" s="1"/>
      <c r="IJV106" s="1"/>
      <c r="IJW106" s="1"/>
      <c r="IJX106" s="1"/>
      <c r="IJY106" s="1"/>
      <c r="IJZ106" s="1"/>
      <c r="IKA106" s="1"/>
      <c r="IKB106" s="1"/>
      <c r="IKC106" s="1"/>
      <c r="IKD106" s="1"/>
      <c r="IKE106" s="1"/>
      <c r="IKF106" s="1"/>
      <c r="IKG106" s="1"/>
      <c r="IKH106" s="1"/>
      <c r="IKI106" s="1"/>
      <c r="IKJ106" s="1"/>
      <c r="IKK106" s="1"/>
      <c r="IKL106" s="1"/>
      <c r="IKM106" s="1"/>
      <c r="IKN106" s="1"/>
      <c r="IKO106" s="1"/>
      <c r="IKP106" s="1"/>
      <c r="IKQ106" s="1"/>
      <c r="IKR106" s="1"/>
      <c r="IKS106" s="1"/>
      <c r="IKT106" s="1"/>
      <c r="IKU106" s="1"/>
      <c r="IKV106" s="1"/>
      <c r="IKW106" s="1"/>
      <c r="IKX106" s="1"/>
      <c r="IKY106" s="1"/>
      <c r="IKZ106" s="1"/>
      <c r="ILA106" s="1"/>
      <c r="ILB106" s="1"/>
      <c r="ILC106" s="1"/>
      <c r="ILD106" s="1"/>
      <c r="ILE106" s="1"/>
      <c r="ILF106" s="1"/>
      <c r="ILG106" s="1"/>
      <c r="ILH106" s="1"/>
      <c r="ILI106" s="1"/>
      <c r="ILJ106" s="1"/>
      <c r="ILK106" s="1"/>
      <c r="ILL106" s="1"/>
      <c r="ILM106" s="1"/>
      <c r="ILN106" s="1"/>
      <c r="ILO106" s="1"/>
      <c r="ILP106" s="1"/>
      <c r="ILQ106" s="1"/>
      <c r="ILR106" s="1"/>
      <c r="ILS106" s="1"/>
      <c r="ILT106" s="1"/>
      <c r="ILU106" s="1"/>
      <c r="ILV106" s="1"/>
      <c r="ILW106" s="1"/>
      <c r="ILX106" s="1"/>
      <c r="ILY106" s="1"/>
      <c r="ILZ106" s="1"/>
      <c r="IMA106" s="1"/>
      <c r="IMB106" s="1"/>
      <c r="IMC106" s="1"/>
      <c r="IMD106" s="1"/>
      <c r="IME106" s="1"/>
      <c r="IMF106" s="1"/>
      <c r="IMG106" s="1"/>
      <c r="IMH106" s="1"/>
      <c r="IMI106" s="1"/>
      <c r="IMJ106" s="1"/>
      <c r="IMK106" s="1"/>
      <c r="IML106" s="1"/>
      <c r="IMM106" s="1"/>
      <c r="IMN106" s="1"/>
      <c r="IMO106" s="1"/>
      <c r="IMP106" s="1"/>
      <c r="IMQ106" s="1"/>
      <c r="IMR106" s="1"/>
      <c r="IMS106" s="1"/>
      <c r="IMT106" s="1"/>
      <c r="IMU106" s="1"/>
      <c r="IMV106" s="1"/>
      <c r="IMW106" s="1"/>
      <c r="IMX106" s="1"/>
      <c r="IMY106" s="1"/>
      <c r="IMZ106" s="1"/>
      <c r="INA106" s="1"/>
      <c r="INB106" s="1"/>
      <c r="INC106" s="1"/>
      <c r="IND106" s="1"/>
      <c r="INE106" s="1"/>
      <c r="INF106" s="1"/>
      <c r="ING106" s="1"/>
      <c r="INH106" s="1"/>
      <c r="INI106" s="1"/>
      <c r="INJ106" s="1"/>
      <c r="INK106" s="1"/>
      <c r="INL106" s="1"/>
      <c r="INM106" s="1"/>
      <c r="INN106" s="1"/>
      <c r="INO106" s="1"/>
      <c r="INP106" s="1"/>
      <c r="INQ106" s="1"/>
      <c r="INR106" s="1"/>
      <c r="INS106" s="1"/>
      <c r="INT106" s="1"/>
      <c r="INU106" s="1"/>
      <c r="INV106" s="1"/>
      <c r="INW106" s="1"/>
      <c r="INX106" s="1"/>
      <c r="INY106" s="1"/>
      <c r="INZ106" s="1"/>
      <c r="IOA106" s="1"/>
      <c r="IOB106" s="1"/>
      <c r="IOC106" s="1"/>
      <c r="IOD106" s="1"/>
      <c r="IOE106" s="1"/>
      <c r="IOF106" s="1"/>
      <c r="IOG106" s="1"/>
      <c r="IOH106" s="1"/>
      <c r="IOI106" s="1"/>
      <c r="IOJ106" s="1"/>
      <c r="IOK106" s="1"/>
      <c r="IOL106" s="1"/>
      <c r="IOM106" s="1"/>
      <c r="ION106" s="1"/>
      <c r="IOO106" s="1"/>
      <c r="IOP106" s="1"/>
      <c r="IOQ106" s="1"/>
      <c r="IOR106" s="1"/>
      <c r="IOS106" s="1"/>
      <c r="IOT106" s="1"/>
      <c r="IOU106" s="1"/>
      <c r="IOV106" s="1"/>
      <c r="IOW106" s="1"/>
      <c r="IOX106" s="1"/>
      <c r="IOY106" s="1"/>
      <c r="IOZ106" s="1"/>
      <c r="IPA106" s="1"/>
      <c r="IPB106" s="1"/>
      <c r="IPC106" s="1"/>
      <c r="IPD106" s="1"/>
      <c r="IPE106" s="1"/>
      <c r="IPF106" s="1"/>
      <c r="IPG106" s="1"/>
      <c r="IPH106" s="1"/>
      <c r="IPI106" s="1"/>
      <c r="IPJ106" s="1"/>
      <c r="IPK106" s="1"/>
      <c r="IPL106" s="1"/>
      <c r="IPM106" s="1"/>
      <c r="IPN106" s="1"/>
      <c r="IPO106" s="1"/>
      <c r="IPP106" s="1"/>
      <c r="IPQ106" s="1"/>
      <c r="IPR106" s="1"/>
      <c r="IPS106" s="1"/>
      <c r="IPT106" s="1"/>
      <c r="IPU106" s="1"/>
      <c r="IPV106" s="1"/>
      <c r="IPW106" s="1"/>
      <c r="IPX106" s="1"/>
      <c r="IPY106" s="1"/>
      <c r="IPZ106" s="1"/>
      <c r="IQA106" s="1"/>
      <c r="IQB106" s="1"/>
      <c r="IQC106" s="1"/>
      <c r="IQD106" s="1"/>
      <c r="IQE106" s="1"/>
      <c r="IQF106" s="1"/>
      <c r="IQG106" s="1"/>
      <c r="IQH106" s="1"/>
      <c r="IQI106" s="1"/>
      <c r="IQJ106" s="1"/>
      <c r="IQK106" s="1"/>
      <c r="IQL106" s="1"/>
      <c r="IQM106" s="1"/>
      <c r="IQN106" s="1"/>
      <c r="IQO106" s="1"/>
      <c r="IQP106" s="1"/>
      <c r="IQQ106" s="1"/>
      <c r="IQR106" s="1"/>
      <c r="IQS106" s="1"/>
      <c r="IQT106" s="1"/>
      <c r="IQU106" s="1"/>
      <c r="IQV106" s="1"/>
      <c r="IQW106" s="1"/>
      <c r="IQX106" s="1"/>
      <c r="IQY106" s="1"/>
      <c r="IQZ106" s="1"/>
      <c r="IRA106" s="1"/>
      <c r="IRB106" s="1"/>
      <c r="IRC106" s="1"/>
      <c r="IRD106" s="1"/>
      <c r="IRE106" s="1"/>
      <c r="IRF106" s="1"/>
      <c r="IRG106" s="1"/>
      <c r="IRH106" s="1"/>
      <c r="IRI106" s="1"/>
      <c r="IRJ106" s="1"/>
      <c r="IRK106" s="1"/>
      <c r="IRL106" s="1"/>
      <c r="IRM106" s="1"/>
      <c r="IRN106" s="1"/>
      <c r="IRO106" s="1"/>
      <c r="IRP106" s="1"/>
      <c r="IRQ106" s="1"/>
      <c r="IRR106" s="1"/>
      <c r="IRS106" s="1"/>
      <c r="IRT106" s="1"/>
      <c r="IRU106" s="1"/>
      <c r="IRV106" s="1"/>
      <c r="IRW106" s="1"/>
      <c r="IRX106" s="1"/>
      <c r="IRY106" s="1"/>
      <c r="IRZ106" s="1"/>
      <c r="ISA106" s="1"/>
      <c r="ISB106" s="1"/>
      <c r="ISC106" s="1"/>
      <c r="ISD106" s="1"/>
      <c r="ISE106" s="1"/>
      <c r="ISF106" s="1"/>
      <c r="ISG106" s="1"/>
      <c r="ISH106" s="1"/>
      <c r="ISI106" s="1"/>
      <c r="ISJ106" s="1"/>
      <c r="ISK106" s="1"/>
      <c r="ISL106" s="1"/>
      <c r="ISM106" s="1"/>
      <c r="ISN106" s="1"/>
      <c r="ISO106" s="1"/>
      <c r="ISP106" s="1"/>
      <c r="ISQ106" s="1"/>
      <c r="ISR106" s="1"/>
      <c r="ISS106" s="1"/>
      <c r="IST106" s="1"/>
      <c r="ISU106" s="1"/>
      <c r="ISV106" s="1"/>
      <c r="ISW106" s="1"/>
      <c r="ISX106" s="1"/>
      <c r="ISY106" s="1"/>
      <c r="ISZ106" s="1"/>
      <c r="ITA106" s="1"/>
      <c r="ITB106" s="1"/>
      <c r="ITC106" s="1"/>
      <c r="ITD106" s="1"/>
      <c r="ITE106" s="1"/>
      <c r="ITF106" s="1"/>
      <c r="ITG106" s="1"/>
      <c r="ITH106" s="1"/>
      <c r="ITI106" s="1"/>
      <c r="ITJ106" s="1"/>
      <c r="ITK106" s="1"/>
      <c r="ITL106" s="1"/>
      <c r="ITM106" s="1"/>
      <c r="ITN106" s="1"/>
      <c r="ITO106" s="1"/>
      <c r="ITP106" s="1"/>
      <c r="ITQ106" s="1"/>
      <c r="ITR106" s="1"/>
      <c r="ITS106" s="1"/>
      <c r="ITT106" s="1"/>
      <c r="ITU106" s="1"/>
      <c r="ITV106" s="1"/>
      <c r="ITW106" s="1"/>
      <c r="ITX106" s="1"/>
      <c r="ITY106" s="1"/>
      <c r="ITZ106" s="1"/>
      <c r="IUA106" s="1"/>
      <c r="IUB106" s="1"/>
      <c r="IUC106" s="1"/>
      <c r="IUD106" s="1"/>
      <c r="IUE106" s="1"/>
      <c r="IUF106" s="1"/>
      <c r="IUG106" s="1"/>
      <c r="IUH106" s="1"/>
      <c r="IUI106" s="1"/>
      <c r="IUJ106" s="1"/>
      <c r="IUK106" s="1"/>
      <c r="IUL106" s="1"/>
      <c r="IUM106" s="1"/>
      <c r="IUN106" s="1"/>
      <c r="IUO106" s="1"/>
      <c r="IUP106" s="1"/>
      <c r="IUQ106" s="1"/>
      <c r="IUR106" s="1"/>
      <c r="IUS106" s="1"/>
      <c r="IUT106" s="1"/>
      <c r="IUU106" s="1"/>
      <c r="IUV106" s="1"/>
      <c r="IUW106" s="1"/>
      <c r="IUX106" s="1"/>
      <c r="IUY106" s="1"/>
      <c r="IUZ106" s="1"/>
      <c r="IVA106" s="1"/>
      <c r="IVB106" s="1"/>
      <c r="IVC106" s="1"/>
      <c r="IVD106" s="1"/>
      <c r="IVE106" s="1"/>
      <c r="IVF106" s="1"/>
      <c r="IVG106" s="1"/>
      <c r="IVH106" s="1"/>
      <c r="IVI106" s="1"/>
      <c r="IVJ106" s="1"/>
      <c r="IVK106" s="1"/>
      <c r="IVL106" s="1"/>
      <c r="IVM106" s="1"/>
      <c r="IVN106" s="1"/>
      <c r="IVO106" s="1"/>
      <c r="IVP106" s="1"/>
      <c r="IVQ106" s="1"/>
      <c r="IVR106" s="1"/>
      <c r="IVS106" s="1"/>
      <c r="IVT106" s="1"/>
      <c r="IVU106" s="1"/>
      <c r="IVV106" s="1"/>
      <c r="IVW106" s="1"/>
      <c r="IVX106" s="1"/>
      <c r="IVY106" s="1"/>
      <c r="IVZ106" s="1"/>
      <c r="IWA106" s="1"/>
      <c r="IWB106" s="1"/>
      <c r="IWC106" s="1"/>
      <c r="IWD106" s="1"/>
      <c r="IWE106" s="1"/>
      <c r="IWF106" s="1"/>
      <c r="IWG106" s="1"/>
      <c r="IWH106" s="1"/>
      <c r="IWI106" s="1"/>
      <c r="IWJ106" s="1"/>
      <c r="IWK106" s="1"/>
      <c r="IWL106" s="1"/>
      <c r="IWM106" s="1"/>
      <c r="IWN106" s="1"/>
      <c r="IWO106" s="1"/>
      <c r="IWP106" s="1"/>
      <c r="IWQ106" s="1"/>
      <c r="IWR106" s="1"/>
      <c r="IWS106" s="1"/>
      <c r="IWT106" s="1"/>
      <c r="IWU106" s="1"/>
      <c r="IWV106" s="1"/>
      <c r="IWW106" s="1"/>
      <c r="IWX106" s="1"/>
      <c r="IWY106" s="1"/>
      <c r="IWZ106" s="1"/>
      <c r="IXA106" s="1"/>
      <c r="IXB106" s="1"/>
      <c r="IXC106" s="1"/>
      <c r="IXD106" s="1"/>
      <c r="IXE106" s="1"/>
      <c r="IXF106" s="1"/>
      <c r="IXG106" s="1"/>
      <c r="IXH106" s="1"/>
      <c r="IXI106" s="1"/>
      <c r="IXJ106" s="1"/>
      <c r="IXK106" s="1"/>
      <c r="IXL106" s="1"/>
      <c r="IXM106" s="1"/>
      <c r="IXN106" s="1"/>
      <c r="IXO106" s="1"/>
      <c r="IXP106" s="1"/>
      <c r="IXQ106" s="1"/>
      <c r="IXR106" s="1"/>
      <c r="IXS106" s="1"/>
      <c r="IXT106" s="1"/>
      <c r="IXU106" s="1"/>
      <c r="IXV106" s="1"/>
      <c r="IXW106" s="1"/>
      <c r="IXX106" s="1"/>
      <c r="IXY106" s="1"/>
      <c r="IXZ106" s="1"/>
      <c r="IYA106" s="1"/>
      <c r="IYB106" s="1"/>
      <c r="IYC106" s="1"/>
      <c r="IYD106" s="1"/>
      <c r="IYE106" s="1"/>
      <c r="IYF106" s="1"/>
      <c r="IYG106" s="1"/>
      <c r="IYH106" s="1"/>
      <c r="IYI106" s="1"/>
      <c r="IYJ106" s="1"/>
      <c r="IYK106" s="1"/>
      <c r="IYL106" s="1"/>
      <c r="IYM106" s="1"/>
      <c r="IYN106" s="1"/>
      <c r="IYO106" s="1"/>
      <c r="IYP106" s="1"/>
      <c r="IYQ106" s="1"/>
      <c r="IYR106" s="1"/>
      <c r="IYS106" s="1"/>
      <c r="IYT106" s="1"/>
      <c r="IYU106" s="1"/>
      <c r="IYV106" s="1"/>
      <c r="IYW106" s="1"/>
      <c r="IYX106" s="1"/>
      <c r="IYY106" s="1"/>
      <c r="IYZ106" s="1"/>
      <c r="IZA106" s="1"/>
      <c r="IZB106" s="1"/>
      <c r="IZC106" s="1"/>
      <c r="IZD106" s="1"/>
      <c r="IZE106" s="1"/>
      <c r="IZF106" s="1"/>
      <c r="IZG106" s="1"/>
      <c r="IZH106" s="1"/>
      <c r="IZI106" s="1"/>
      <c r="IZJ106" s="1"/>
      <c r="IZK106" s="1"/>
      <c r="IZL106" s="1"/>
      <c r="IZM106" s="1"/>
      <c r="IZN106" s="1"/>
      <c r="IZO106" s="1"/>
      <c r="IZP106" s="1"/>
      <c r="IZQ106" s="1"/>
      <c r="IZR106" s="1"/>
      <c r="IZS106" s="1"/>
      <c r="IZT106" s="1"/>
      <c r="IZU106" s="1"/>
      <c r="IZV106" s="1"/>
      <c r="IZW106" s="1"/>
      <c r="IZX106" s="1"/>
      <c r="IZY106" s="1"/>
      <c r="IZZ106" s="1"/>
      <c r="JAA106" s="1"/>
      <c r="JAB106" s="1"/>
      <c r="JAC106" s="1"/>
      <c r="JAD106" s="1"/>
      <c r="JAE106" s="1"/>
      <c r="JAF106" s="1"/>
      <c r="JAG106" s="1"/>
      <c r="JAH106" s="1"/>
      <c r="JAI106" s="1"/>
      <c r="JAJ106" s="1"/>
      <c r="JAK106" s="1"/>
      <c r="JAL106" s="1"/>
      <c r="JAM106" s="1"/>
      <c r="JAN106" s="1"/>
      <c r="JAO106" s="1"/>
      <c r="JAP106" s="1"/>
      <c r="JAQ106" s="1"/>
      <c r="JAR106" s="1"/>
      <c r="JAS106" s="1"/>
      <c r="JAT106" s="1"/>
      <c r="JAU106" s="1"/>
      <c r="JAV106" s="1"/>
      <c r="JAW106" s="1"/>
      <c r="JAX106" s="1"/>
      <c r="JAY106" s="1"/>
      <c r="JAZ106" s="1"/>
      <c r="JBA106" s="1"/>
      <c r="JBB106" s="1"/>
      <c r="JBC106" s="1"/>
      <c r="JBD106" s="1"/>
      <c r="JBE106" s="1"/>
      <c r="JBF106" s="1"/>
      <c r="JBG106" s="1"/>
      <c r="JBH106" s="1"/>
      <c r="JBI106" s="1"/>
      <c r="JBJ106" s="1"/>
      <c r="JBK106" s="1"/>
      <c r="JBL106" s="1"/>
      <c r="JBM106" s="1"/>
      <c r="JBN106" s="1"/>
      <c r="JBO106" s="1"/>
      <c r="JBP106" s="1"/>
      <c r="JBQ106" s="1"/>
      <c r="JBR106" s="1"/>
      <c r="JBS106" s="1"/>
      <c r="JBT106" s="1"/>
      <c r="JBU106" s="1"/>
      <c r="JBV106" s="1"/>
      <c r="JBW106" s="1"/>
      <c r="JBX106" s="1"/>
      <c r="JBY106" s="1"/>
      <c r="JBZ106" s="1"/>
      <c r="JCA106" s="1"/>
      <c r="JCB106" s="1"/>
      <c r="JCC106" s="1"/>
      <c r="JCD106" s="1"/>
      <c r="JCE106" s="1"/>
      <c r="JCF106" s="1"/>
      <c r="JCG106" s="1"/>
      <c r="JCH106" s="1"/>
      <c r="JCI106" s="1"/>
      <c r="JCJ106" s="1"/>
      <c r="JCK106" s="1"/>
      <c r="JCL106" s="1"/>
      <c r="JCM106" s="1"/>
      <c r="JCN106" s="1"/>
      <c r="JCO106" s="1"/>
      <c r="JCP106" s="1"/>
      <c r="JCQ106" s="1"/>
      <c r="JCR106" s="1"/>
      <c r="JCS106" s="1"/>
      <c r="JCT106" s="1"/>
      <c r="JCU106" s="1"/>
      <c r="JCV106" s="1"/>
      <c r="JCW106" s="1"/>
      <c r="JCX106" s="1"/>
      <c r="JCY106" s="1"/>
      <c r="JCZ106" s="1"/>
      <c r="JDA106" s="1"/>
      <c r="JDB106" s="1"/>
      <c r="JDC106" s="1"/>
      <c r="JDD106" s="1"/>
      <c r="JDE106" s="1"/>
      <c r="JDF106" s="1"/>
      <c r="JDG106" s="1"/>
      <c r="JDH106" s="1"/>
      <c r="JDI106" s="1"/>
      <c r="JDJ106" s="1"/>
      <c r="JDK106" s="1"/>
      <c r="JDL106" s="1"/>
      <c r="JDM106" s="1"/>
      <c r="JDN106" s="1"/>
      <c r="JDO106" s="1"/>
      <c r="JDP106" s="1"/>
      <c r="JDQ106" s="1"/>
      <c r="JDR106" s="1"/>
      <c r="JDS106" s="1"/>
      <c r="JDT106" s="1"/>
      <c r="JDU106" s="1"/>
      <c r="JDV106" s="1"/>
      <c r="JDW106" s="1"/>
      <c r="JDX106" s="1"/>
      <c r="JDY106" s="1"/>
      <c r="JDZ106" s="1"/>
      <c r="JEA106" s="1"/>
      <c r="JEB106" s="1"/>
      <c r="JEC106" s="1"/>
      <c r="JED106" s="1"/>
      <c r="JEE106" s="1"/>
      <c r="JEF106" s="1"/>
      <c r="JEG106" s="1"/>
      <c r="JEH106" s="1"/>
      <c r="JEI106" s="1"/>
      <c r="JEJ106" s="1"/>
      <c r="JEK106" s="1"/>
      <c r="JEL106" s="1"/>
      <c r="JEM106" s="1"/>
      <c r="JEN106" s="1"/>
      <c r="JEO106" s="1"/>
      <c r="JEP106" s="1"/>
      <c r="JEQ106" s="1"/>
      <c r="JER106" s="1"/>
      <c r="JES106" s="1"/>
      <c r="JET106" s="1"/>
      <c r="JEU106" s="1"/>
      <c r="JEV106" s="1"/>
      <c r="JEW106" s="1"/>
      <c r="JEX106" s="1"/>
      <c r="JEY106" s="1"/>
      <c r="JEZ106" s="1"/>
      <c r="JFA106" s="1"/>
      <c r="JFB106" s="1"/>
      <c r="JFC106" s="1"/>
      <c r="JFD106" s="1"/>
      <c r="JFE106" s="1"/>
      <c r="JFF106" s="1"/>
      <c r="JFG106" s="1"/>
      <c r="JFH106" s="1"/>
      <c r="JFI106" s="1"/>
      <c r="JFJ106" s="1"/>
      <c r="JFK106" s="1"/>
      <c r="JFL106" s="1"/>
      <c r="JFM106" s="1"/>
      <c r="JFN106" s="1"/>
      <c r="JFO106" s="1"/>
      <c r="JFP106" s="1"/>
      <c r="JFQ106" s="1"/>
      <c r="JFR106" s="1"/>
      <c r="JFS106" s="1"/>
      <c r="JFT106" s="1"/>
      <c r="JFU106" s="1"/>
      <c r="JFV106" s="1"/>
      <c r="JFW106" s="1"/>
      <c r="JFX106" s="1"/>
      <c r="JFY106" s="1"/>
      <c r="JFZ106" s="1"/>
      <c r="JGA106" s="1"/>
      <c r="JGB106" s="1"/>
      <c r="JGC106" s="1"/>
      <c r="JGD106" s="1"/>
      <c r="JGE106" s="1"/>
      <c r="JGF106" s="1"/>
      <c r="JGG106" s="1"/>
      <c r="JGH106" s="1"/>
      <c r="JGI106" s="1"/>
      <c r="JGJ106" s="1"/>
      <c r="JGK106" s="1"/>
      <c r="JGL106" s="1"/>
      <c r="JGM106" s="1"/>
      <c r="JGN106" s="1"/>
      <c r="JGO106" s="1"/>
      <c r="JGP106" s="1"/>
      <c r="JGQ106" s="1"/>
      <c r="JGR106" s="1"/>
      <c r="JGS106" s="1"/>
      <c r="JGT106" s="1"/>
      <c r="JGU106" s="1"/>
      <c r="JGV106" s="1"/>
      <c r="JGW106" s="1"/>
      <c r="JGX106" s="1"/>
      <c r="JGY106" s="1"/>
      <c r="JGZ106" s="1"/>
      <c r="JHA106" s="1"/>
      <c r="JHB106" s="1"/>
      <c r="JHC106" s="1"/>
      <c r="JHD106" s="1"/>
      <c r="JHE106" s="1"/>
      <c r="JHF106" s="1"/>
      <c r="JHG106" s="1"/>
      <c r="JHH106" s="1"/>
      <c r="JHI106" s="1"/>
      <c r="JHJ106" s="1"/>
      <c r="JHK106" s="1"/>
      <c r="JHL106" s="1"/>
      <c r="JHM106" s="1"/>
      <c r="JHN106" s="1"/>
      <c r="JHO106" s="1"/>
      <c r="JHP106" s="1"/>
      <c r="JHQ106" s="1"/>
      <c r="JHR106" s="1"/>
      <c r="JHS106" s="1"/>
      <c r="JHT106" s="1"/>
      <c r="JHU106" s="1"/>
      <c r="JHV106" s="1"/>
      <c r="JHW106" s="1"/>
      <c r="JHX106" s="1"/>
      <c r="JHY106" s="1"/>
      <c r="JHZ106" s="1"/>
      <c r="JIA106" s="1"/>
      <c r="JIB106" s="1"/>
      <c r="JIC106" s="1"/>
      <c r="JID106" s="1"/>
      <c r="JIE106" s="1"/>
      <c r="JIF106" s="1"/>
      <c r="JIG106" s="1"/>
      <c r="JIH106" s="1"/>
      <c r="JII106" s="1"/>
      <c r="JIJ106" s="1"/>
      <c r="JIK106" s="1"/>
      <c r="JIL106" s="1"/>
      <c r="JIM106" s="1"/>
      <c r="JIN106" s="1"/>
      <c r="JIO106" s="1"/>
      <c r="JIP106" s="1"/>
      <c r="JIQ106" s="1"/>
      <c r="JIR106" s="1"/>
      <c r="JIS106" s="1"/>
      <c r="JIT106" s="1"/>
      <c r="JIU106" s="1"/>
      <c r="JIV106" s="1"/>
      <c r="JIW106" s="1"/>
      <c r="JIX106" s="1"/>
      <c r="JIY106" s="1"/>
      <c r="JIZ106" s="1"/>
      <c r="JJA106" s="1"/>
      <c r="JJB106" s="1"/>
      <c r="JJC106" s="1"/>
      <c r="JJD106" s="1"/>
      <c r="JJE106" s="1"/>
      <c r="JJF106" s="1"/>
      <c r="JJG106" s="1"/>
      <c r="JJH106" s="1"/>
      <c r="JJI106" s="1"/>
      <c r="JJJ106" s="1"/>
      <c r="JJK106" s="1"/>
      <c r="JJL106" s="1"/>
      <c r="JJM106" s="1"/>
      <c r="JJN106" s="1"/>
      <c r="JJO106" s="1"/>
      <c r="JJP106" s="1"/>
      <c r="JJQ106" s="1"/>
      <c r="JJR106" s="1"/>
      <c r="JJS106" s="1"/>
      <c r="JJT106" s="1"/>
      <c r="JJU106" s="1"/>
      <c r="JJV106" s="1"/>
      <c r="JJW106" s="1"/>
      <c r="JJX106" s="1"/>
      <c r="JJY106" s="1"/>
      <c r="JJZ106" s="1"/>
      <c r="JKA106" s="1"/>
      <c r="JKB106" s="1"/>
      <c r="JKC106" s="1"/>
      <c r="JKD106" s="1"/>
      <c r="JKE106" s="1"/>
      <c r="JKF106" s="1"/>
      <c r="JKG106" s="1"/>
      <c r="JKH106" s="1"/>
      <c r="JKI106" s="1"/>
      <c r="JKJ106" s="1"/>
      <c r="JKK106" s="1"/>
      <c r="JKL106" s="1"/>
      <c r="JKM106" s="1"/>
      <c r="JKN106" s="1"/>
      <c r="JKO106" s="1"/>
      <c r="JKP106" s="1"/>
      <c r="JKQ106" s="1"/>
      <c r="JKR106" s="1"/>
      <c r="JKS106" s="1"/>
      <c r="JKT106" s="1"/>
      <c r="JKU106" s="1"/>
      <c r="JKV106" s="1"/>
      <c r="JKW106" s="1"/>
      <c r="JKX106" s="1"/>
      <c r="JKY106" s="1"/>
      <c r="JKZ106" s="1"/>
      <c r="JLA106" s="1"/>
      <c r="JLB106" s="1"/>
      <c r="JLC106" s="1"/>
      <c r="JLD106" s="1"/>
      <c r="JLE106" s="1"/>
      <c r="JLF106" s="1"/>
      <c r="JLG106" s="1"/>
      <c r="JLH106" s="1"/>
      <c r="JLI106" s="1"/>
      <c r="JLJ106" s="1"/>
      <c r="JLK106" s="1"/>
      <c r="JLL106" s="1"/>
      <c r="JLM106" s="1"/>
      <c r="JLN106" s="1"/>
      <c r="JLO106" s="1"/>
      <c r="JLP106" s="1"/>
      <c r="JLQ106" s="1"/>
      <c r="JLR106" s="1"/>
      <c r="JLS106" s="1"/>
      <c r="JLT106" s="1"/>
      <c r="JLU106" s="1"/>
      <c r="JLV106" s="1"/>
      <c r="JLW106" s="1"/>
      <c r="JLX106" s="1"/>
      <c r="JLY106" s="1"/>
      <c r="JLZ106" s="1"/>
      <c r="JMA106" s="1"/>
      <c r="JMB106" s="1"/>
      <c r="JMC106" s="1"/>
      <c r="JMD106" s="1"/>
      <c r="JME106" s="1"/>
      <c r="JMF106" s="1"/>
      <c r="JMG106" s="1"/>
      <c r="JMH106" s="1"/>
      <c r="JMI106" s="1"/>
      <c r="JMJ106" s="1"/>
      <c r="JMK106" s="1"/>
      <c r="JML106" s="1"/>
      <c r="JMM106" s="1"/>
      <c r="JMN106" s="1"/>
      <c r="JMO106" s="1"/>
      <c r="JMP106" s="1"/>
      <c r="JMQ106" s="1"/>
      <c r="JMR106" s="1"/>
      <c r="JMS106" s="1"/>
      <c r="JMT106" s="1"/>
      <c r="JMU106" s="1"/>
      <c r="JMV106" s="1"/>
      <c r="JMW106" s="1"/>
      <c r="JMX106" s="1"/>
      <c r="JMY106" s="1"/>
      <c r="JMZ106" s="1"/>
      <c r="JNA106" s="1"/>
      <c r="JNB106" s="1"/>
      <c r="JNC106" s="1"/>
      <c r="JND106" s="1"/>
      <c r="JNE106" s="1"/>
      <c r="JNF106" s="1"/>
      <c r="JNG106" s="1"/>
      <c r="JNH106" s="1"/>
      <c r="JNI106" s="1"/>
      <c r="JNJ106" s="1"/>
      <c r="JNK106" s="1"/>
      <c r="JNL106" s="1"/>
      <c r="JNM106" s="1"/>
      <c r="JNN106" s="1"/>
      <c r="JNO106" s="1"/>
      <c r="JNP106" s="1"/>
      <c r="JNQ106" s="1"/>
      <c r="JNR106" s="1"/>
      <c r="JNS106" s="1"/>
      <c r="JNT106" s="1"/>
      <c r="JNU106" s="1"/>
      <c r="JNV106" s="1"/>
      <c r="JNW106" s="1"/>
      <c r="JNX106" s="1"/>
      <c r="JNY106" s="1"/>
      <c r="JNZ106" s="1"/>
      <c r="JOA106" s="1"/>
      <c r="JOB106" s="1"/>
      <c r="JOC106" s="1"/>
      <c r="JOD106" s="1"/>
      <c r="JOE106" s="1"/>
      <c r="JOF106" s="1"/>
      <c r="JOG106" s="1"/>
      <c r="JOH106" s="1"/>
      <c r="JOI106" s="1"/>
      <c r="JOJ106" s="1"/>
      <c r="JOK106" s="1"/>
      <c r="JOL106" s="1"/>
      <c r="JOM106" s="1"/>
      <c r="JON106" s="1"/>
      <c r="JOO106" s="1"/>
      <c r="JOP106" s="1"/>
      <c r="JOQ106" s="1"/>
      <c r="JOR106" s="1"/>
      <c r="JOS106" s="1"/>
      <c r="JOT106" s="1"/>
      <c r="JOU106" s="1"/>
      <c r="JOV106" s="1"/>
      <c r="JOW106" s="1"/>
      <c r="JOX106" s="1"/>
      <c r="JOY106" s="1"/>
      <c r="JOZ106" s="1"/>
      <c r="JPA106" s="1"/>
      <c r="JPB106" s="1"/>
      <c r="JPC106" s="1"/>
      <c r="JPD106" s="1"/>
      <c r="JPE106" s="1"/>
      <c r="JPF106" s="1"/>
      <c r="JPG106" s="1"/>
      <c r="JPH106" s="1"/>
      <c r="JPI106" s="1"/>
      <c r="JPJ106" s="1"/>
      <c r="JPK106" s="1"/>
      <c r="JPL106" s="1"/>
      <c r="JPM106" s="1"/>
      <c r="JPN106" s="1"/>
      <c r="JPO106" s="1"/>
      <c r="JPP106" s="1"/>
      <c r="JPQ106" s="1"/>
      <c r="JPR106" s="1"/>
      <c r="JPS106" s="1"/>
      <c r="JPT106" s="1"/>
      <c r="JPU106" s="1"/>
      <c r="JPV106" s="1"/>
      <c r="JPW106" s="1"/>
      <c r="JPX106" s="1"/>
      <c r="JPY106" s="1"/>
      <c r="JPZ106" s="1"/>
      <c r="JQA106" s="1"/>
      <c r="JQB106" s="1"/>
      <c r="JQC106" s="1"/>
      <c r="JQD106" s="1"/>
      <c r="JQE106" s="1"/>
      <c r="JQF106" s="1"/>
      <c r="JQG106" s="1"/>
      <c r="JQH106" s="1"/>
      <c r="JQI106" s="1"/>
      <c r="JQJ106" s="1"/>
      <c r="JQK106" s="1"/>
      <c r="JQL106" s="1"/>
      <c r="JQM106" s="1"/>
      <c r="JQN106" s="1"/>
      <c r="JQO106" s="1"/>
      <c r="JQP106" s="1"/>
      <c r="JQQ106" s="1"/>
      <c r="JQR106" s="1"/>
      <c r="JQS106" s="1"/>
      <c r="JQT106" s="1"/>
      <c r="JQU106" s="1"/>
      <c r="JQV106" s="1"/>
      <c r="JQW106" s="1"/>
      <c r="JQX106" s="1"/>
      <c r="JQY106" s="1"/>
      <c r="JQZ106" s="1"/>
      <c r="JRA106" s="1"/>
      <c r="JRB106" s="1"/>
      <c r="JRC106" s="1"/>
      <c r="JRD106" s="1"/>
      <c r="JRE106" s="1"/>
      <c r="JRF106" s="1"/>
      <c r="JRG106" s="1"/>
      <c r="JRH106" s="1"/>
      <c r="JRI106" s="1"/>
      <c r="JRJ106" s="1"/>
      <c r="JRK106" s="1"/>
      <c r="JRL106" s="1"/>
      <c r="JRM106" s="1"/>
      <c r="JRN106" s="1"/>
      <c r="JRO106" s="1"/>
      <c r="JRP106" s="1"/>
      <c r="JRQ106" s="1"/>
      <c r="JRR106" s="1"/>
      <c r="JRS106" s="1"/>
      <c r="JRT106" s="1"/>
      <c r="JRU106" s="1"/>
      <c r="JRV106" s="1"/>
      <c r="JRW106" s="1"/>
      <c r="JRX106" s="1"/>
      <c r="JRY106" s="1"/>
      <c r="JRZ106" s="1"/>
      <c r="JSA106" s="1"/>
      <c r="JSB106" s="1"/>
      <c r="JSC106" s="1"/>
      <c r="JSD106" s="1"/>
      <c r="JSE106" s="1"/>
      <c r="JSF106" s="1"/>
      <c r="JSG106" s="1"/>
      <c r="JSH106" s="1"/>
      <c r="JSI106" s="1"/>
      <c r="JSJ106" s="1"/>
      <c r="JSK106" s="1"/>
      <c r="JSL106" s="1"/>
      <c r="JSM106" s="1"/>
      <c r="JSN106" s="1"/>
      <c r="JSO106" s="1"/>
      <c r="JSP106" s="1"/>
      <c r="JSQ106" s="1"/>
      <c r="JSR106" s="1"/>
      <c r="JSS106" s="1"/>
      <c r="JST106" s="1"/>
      <c r="JSU106" s="1"/>
      <c r="JSV106" s="1"/>
      <c r="JSW106" s="1"/>
      <c r="JSX106" s="1"/>
      <c r="JSY106" s="1"/>
      <c r="JSZ106" s="1"/>
      <c r="JTA106" s="1"/>
      <c r="JTB106" s="1"/>
      <c r="JTC106" s="1"/>
      <c r="JTD106" s="1"/>
      <c r="JTE106" s="1"/>
      <c r="JTF106" s="1"/>
      <c r="JTG106" s="1"/>
      <c r="JTH106" s="1"/>
      <c r="JTI106" s="1"/>
      <c r="JTJ106" s="1"/>
      <c r="JTK106" s="1"/>
      <c r="JTL106" s="1"/>
      <c r="JTM106" s="1"/>
      <c r="JTN106" s="1"/>
      <c r="JTO106" s="1"/>
      <c r="JTP106" s="1"/>
      <c r="JTQ106" s="1"/>
      <c r="JTR106" s="1"/>
      <c r="JTS106" s="1"/>
      <c r="JTT106" s="1"/>
      <c r="JTU106" s="1"/>
      <c r="JTV106" s="1"/>
      <c r="JTW106" s="1"/>
      <c r="JTX106" s="1"/>
      <c r="JTY106" s="1"/>
      <c r="JTZ106" s="1"/>
      <c r="JUA106" s="1"/>
      <c r="JUB106" s="1"/>
      <c r="JUC106" s="1"/>
      <c r="JUD106" s="1"/>
      <c r="JUE106" s="1"/>
      <c r="JUF106" s="1"/>
      <c r="JUG106" s="1"/>
      <c r="JUH106" s="1"/>
      <c r="JUI106" s="1"/>
      <c r="JUJ106" s="1"/>
      <c r="JUK106" s="1"/>
      <c r="JUL106" s="1"/>
      <c r="JUM106" s="1"/>
      <c r="JUN106" s="1"/>
      <c r="JUO106" s="1"/>
      <c r="JUP106" s="1"/>
      <c r="JUQ106" s="1"/>
      <c r="JUR106" s="1"/>
      <c r="JUS106" s="1"/>
      <c r="JUT106" s="1"/>
      <c r="JUU106" s="1"/>
      <c r="JUV106" s="1"/>
      <c r="JUW106" s="1"/>
      <c r="JUX106" s="1"/>
      <c r="JUY106" s="1"/>
      <c r="JUZ106" s="1"/>
      <c r="JVA106" s="1"/>
      <c r="JVB106" s="1"/>
      <c r="JVC106" s="1"/>
      <c r="JVD106" s="1"/>
      <c r="JVE106" s="1"/>
      <c r="JVF106" s="1"/>
      <c r="JVG106" s="1"/>
      <c r="JVH106" s="1"/>
      <c r="JVI106" s="1"/>
      <c r="JVJ106" s="1"/>
      <c r="JVK106" s="1"/>
      <c r="JVL106" s="1"/>
      <c r="JVM106" s="1"/>
      <c r="JVN106" s="1"/>
      <c r="JVO106" s="1"/>
      <c r="JVP106" s="1"/>
      <c r="JVQ106" s="1"/>
      <c r="JVR106" s="1"/>
      <c r="JVS106" s="1"/>
      <c r="JVT106" s="1"/>
      <c r="JVU106" s="1"/>
      <c r="JVV106" s="1"/>
      <c r="JVW106" s="1"/>
      <c r="JVX106" s="1"/>
      <c r="JVY106" s="1"/>
      <c r="JVZ106" s="1"/>
      <c r="JWA106" s="1"/>
      <c r="JWB106" s="1"/>
      <c r="JWC106" s="1"/>
      <c r="JWD106" s="1"/>
      <c r="JWE106" s="1"/>
      <c r="JWF106" s="1"/>
      <c r="JWG106" s="1"/>
      <c r="JWH106" s="1"/>
      <c r="JWI106" s="1"/>
      <c r="JWJ106" s="1"/>
      <c r="JWK106" s="1"/>
      <c r="JWL106" s="1"/>
      <c r="JWM106" s="1"/>
      <c r="JWN106" s="1"/>
      <c r="JWO106" s="1"/>
      <c r="JWP106" s="1"/>
      <c r="JWQ106" s="1"/>
      <c r="JWR106" s="1"/>
      <c r="JWS106" s="1"/>
      <c r="JWT106" s="1"/>
      <c r="JWU106" s="1"/>
      <c r="JWV106" s="1"/>
      <c r="JWW106" s="1"/>
      <c r="JWX106" s="1"/>
      <c r="JWY106" s="1"/>
      <c r="JWZ106" s="1"/>
      <c r="JXA106" s="1"/>
      <c r="JXB106" s="1"/>
      <c r="JXC106" s="1"/>
      <c r="JXD106" s="1"/>
      <c r="JXE106" s="1"/>
      <c r="JXF106" s="1"/>
      <c r="JXG106" s="1"/>
      <c r="JXH106" s="1"/>
      <c r="JXI106" s="1"/>
      <c r="JXJ106" s="1"/>
      <c r="JXK106" s="1"/>
      <c r="JXL106" s="1"/>
      <c r="JXM106" s="1"/>
      <c r="JXN106" s="1"/>
      <c r="JXO106" s="1"/>
      <c r="JXP106" s="1"/>
      <c r="JXQ106" s="1"/>
      <c r="JXR106" s="1"/>
      <c r="JXS106" s="1"/>
      <c r="JXT106" s="1"/>
      <c r="JXU106" s="1"/>
      <c r="JXV106" s="1"/>
      <c r="JXW106" s="1"/>
      <c r="JXX106" s="1"/>
      <c r="JXY106" s="1"/>
      <c r="JXZ106" s="1"/>
      <c r="JYA106" s="1"/>
      <c r="JYB106" s="1"/>
      <c r="JYC106" s="1"/>
      <c r="JYD106" s="1"/>
      <c r="JYE106" s="1"/>
      <c r="JYF106" s="1"/>
      <c r="JYG106" s="1"/>
      <c r="JYH106" s="1"/>
      <c r="JYI106" s="1"/>
      <c r="JYJ106" s="1"/>
      <c r="JYK106" s="1"/>
      <c r="JYL106" s="1"/>
      <c r="JYM106" s="1"/>
      <c r="JYN106" s="1"/>
      <c r="JYO106" s="1"/>
      <c r="JYP106" s="1"/>
      <c r="JYQ106" s="1"/>
      <c r="JYR106" s="1"/>
      <c r="JYS106" s="1"/>
      <c r="JYT106" s="1"/>
      <c r="JYU106" s="1"/>
      <c r="JYV106" s="1"/>
      <c r="JYW106" s="1"/>
      <c r="JYX106" s="1"/>
      <c r="JYY106" s="1"/>
      <c r="JYZ106" s="1"/>
      <c r="JZA106" s="1"/>
      <c r="JZB106" s="1"/>
      <c r="JZC106" s="1"/>
      <c r="JZD106" s="1"/>
      <c r="JZE106" s="1"/>
      <c r="JZF106" s="1"/>
      <c r="JZG106" s="1"/>
      <c r="JZH106" s="1"/>
      <c r="JZI106" s="1"/>
      <c r="JZJ106" s="1"/>
      <c r="JZK106" s="1"/>
      <c r="JZL106" s="1"/>
      <c r="JZM106" s="1"/>
      <c r="JZN106" s="1"/>
      <c r="JZO106" s="1"/>
      <c r="JZP106" s="1"/>
      <c r="JZQ106" s="1"/>
      <c r="JZR106" s="1"/>
      <c r="JZS106" s="1"/>
      <c r="JZT106" s="1"/>
      <c r="JZU106" s="1"/>
      <c r="JZV106" s="1"/>
      <c r="JZW106" s="1"/>
      <c r="JZX106" s="1"/>
      <c r="JZY106" s="1"/>
      <c r="JZZ106" s="1"/>
      <c r="KAA106" s="1"/>
      <c r="KAB106" s="1"/>
      <c r="KAC106" s="1"/>
      <c r="KAD106" s="1"/>
      <c r="KAE106" s="1"/>
      <c r="KAF106" s="1"/>
      <c r="KAG106" s="1"/>
      <c r="KAH106" s="1"/>
      <c r="KAI106" s="1"/>
      <c r="KAJ106" s="1"/>
      <c r="KAK106" s="1"/>
      <c r="KAL106" s="1"/>
      <c r="KAM106" s="1"/>
      <c r="KAN106" s="1"/>
      <c r="KAO106" s="1"/>
      <c r="KAP106" s="1"/>
      <c r="KAQ106" s="1"/>
      <c r="KAR106" s="1"/>
      <c r="KAS106" s="1"/>
      <c r="KAT106" s="1"/>
      <c r="KAU106" s="1"/>
      <c r="KAV106" s="1"/>
      <c r="KAW106" s="1"/>
      <c r="KAX106" s="1"/>
      <c r="KAY106" s="1"/>
      <c r="KAZ106" s="1"/>
      <c r="KBA106" s="1"/>
      <c r="KBB106" s="1"/>
      <c r="KBC106" s="1"/>
      <c r="KBD106" s="1"/>
      <c r="KBE106" s="1"/>
      <c r="KBF106" s="1"/>
      <c r="KBG106" s="1"/>
      <c r="KBH106" s="1"/>
      <c r="KBI106" s="1"/>
      <c r="KBJ106" s="1"/>
      <c r="KBK106" s="1"/>
      <c r="KBL106" s="1"/>
      <c r="KBM106" s="1"/>
      <c r="KBN106" s="1"/>
      <c r="KBO106" s="1"/>
      <c r="KBP106" s="1"/>
      <c r="KBQ106" s="1"/>
      <c r="KBR106" s="1"/>
      <c r="KBS106" s="1"/>
      <c r="KBT106" s="1"/>
      <c r="KBU106" s="1"/>
      <c r="KBV106" s="1"/>
      <c r="KBW106" s="1"/>
      <c r="KBX106" s="1"/>
      <c r="KBY106" s="1"/>
      <c r="KBZ106" s="1"/>
      <c r="KCA106" s="1"/>
      <c r="KCB106" s="1"/>
      <c r="KCC106" s="1"/>
      <c r="KCD106" s="1"/>
      <c r="KCE106" s="1"/>
      <c r="KCF106" s="1"/>
      <c r="KCG106" s="1"/>
      <c r="KCH106" s="1"/>
      <c r="KCI106" s="1"/>
      <c r="KCJ106" s="1"/>
      <c r="KCK106" s="1"/>
      <c r="KCL106" s="1"/>
      <c r="KCM106" s="1"/>
      <c r="KCN106" s="1"/>
      <c r="KCO106" s="1"/>
      <c r="KCP106" s="1"/>
      <c r="KCQ106" s="1"/>
      <c r="KCR106" s="1"/>
      <c r="KCS106" s="1"/>
      <c r="KCT106" s="1"/>
      <c r="KCU106" s="1"/>
      <c r="KCV106" s="1"/>
      <c r="KCW106" s="1"/>
      <c r="KCX106" s="1"/>
      <c r="KCY106" s="1"/>
      <c r="KCZ106" s="1"/>
      <c r="KDA106" s="1"/>
      <c r="KDB106" s="1"/>
      <c r="KDC106" s="1"/>
      <c r="KDD106" s="1"/>
      <c r="KDE106" s="1"/>
      <c r="KDF106" s="1"/>
      <c r="KDG106" s="1"/>
      <c r="KDH106" s="1"/>
      <c r="KDI106" s="1"/>
      <c r="KDJ106" s="1"/>
      <c r="KDK106" s="1"/>
      <c r="KDL106" s="1"/>
      <c r="KDM106" s="1"/>
      <c r="KDN106" s="1"/>
      <c r="KDO106" s="1"/>
      <c r="KDP106" s="1"/>
      <c r="KDQ106" s="1"/>
      <c r="KDR106" s="1"/>
      <c r="KDS106" s="1"/>
      <c r="KDT106" s="1"/>
      <c r="KDU106" s="1"/>
      <c r="KDV106" s="1"/>
      <c r="KDW106" s="1"/>
      <c r="KDX106" s="1"/>
      <c r="KDY106" s="1"/>
      <c r="KDZ106" s="1"/>
      <c r="KEA106" s="1"/>
      <c r="KEB106" s="1"/>
      <c r="KEC106" s="1"/>
      <c r="KED106" s="1"/>
      <c r="KEE106" s="1"/>
      <c r="KEF106" s="1"/>
      <c r="KEG106" s="1"/>
      <c r="KEH106" s="1"/>
      <c r="KEI106" s="1"/>
      <c r="KEJ106" s="1"/>
      <c r="KEK106" s="1"/>
      <c r="KEL106" s="1"/>
      <c r="KEM106" s="1"/>
      <c r="KEN106" s="1"/>
      <c r="KEO106" s="1"/>
      <c r="KEP106" s="1"/>
      <c r="KEQ106" s="1"/>
      <c r="KER106" s="1"/>
      <c r="KES106" s="1"/>
      <c r="KET106" s="1"/>
      <c r="KEU106" s="1"/>
      <c r="KEV106" s="1"/>
      <c r="KEW106" s="1"/>
      <c r="KEX106" s="1"/>
      <c r="KEY106" s="1"/>
      <c r="KEZ106" s="1"/>
      <c r="KFA106" s="1"/>
      <c r="KFB106" s="1"/>
      <c r="KFC106" s="1"/>
      <c r="KFD106" s="1"/>
      <c r="KFE106" s="1"/>
      <c r="KFF106" s="1"/>
      <c r="KFG106" s="1"/>
      <c r="KFH106" s="1"/>
      <c r="KFI106" s="1"/>
      <c r="KFJ106" s="1"/>
      <c r="KFK106" s="1"/>
      <c r="KFL106" s="1"/>
      <c r="KFM106" s="1"/>
      <c r="KFN106" s="1"/>
      <c r="KFO106" s="1"/>
      <c r="KFP106" s="1"/>
      <c r="KFQ106" s="1"/>
      <c r="KFR106" s="1"/>
      <c r="KFS106" s="1"/>
      <c r="KFT106" s="1"/>
      <c r="KFU106" s="1"/>
      <c r="KFV106" s="1"/>
      <c r="KFW106" s="1"/>
      <c r="KFX106" s="1"/>
      <c r="KFY106" s="1"/>
      <c r="KFZ106" s="1"/>
      <c r="KGA106" s="1"/>
      <c r="KGB106" s="1"/>
      <c r="KGC106" s="1"/>
      <c r="KGD106" s="1"/>
      <c r="KGE106" s="1"/>
      <c r="KGF106" s="1"/>
      <c r="KGG106" s="1"/>
      <c r="KGH106" s="1"/>
      <c r="KGI106" s="1"/>
      <c r="KGJ106" s="1"/>
      <c r="KGK106" s="1"/>
      <c r="KGL106" s="1"/>
      <c r="KGM106" s="1"/>
      <c r="KGN106" s="1"/>
      <c r="KGO106" s="1"/>
      <c r="KGP106" s="1"/>
      <c r="KGQ106" s="1"/>
      <c r="KGR106" s="1"/>
      <c r="KGS106" s="1"/>
      <c r="KGT106" s="1"/>
      <c r="KGU106" s="1"/>
      <c r="KGV106" s="1"/>
      <c r="KGW106" s="1"/>
      <c r="KGX106" s="1"/>
      <c r="KGY106" s="1"/>
      <c r="KGZ106" s="1"/>
      <c r="KHA106" s="1"/>
      <c r="KHB106" s="1"/>
      <c r="KHC106" s="1"/>
      <c r="KHD106" s="1"/>
      <c r="KHE106" s="1"/>
      <c r="KHF106" s="1"/>
      <c r="KHG106" s="1"/>
      <c r="KHH106" s="1"/>
      <c r="KHI106" s="1"/>
      <c r="KHJ106" s="1"/>
      <c r="KHK106" s="1"/>
      <c r="KHL106" s="1"/>
      <c r="KHM106" s="1"/>
      <c r="KHN106" s="1"/>
      <c r="KHO106" s="1"/>
      <c r="KHP106" s="1"/>
      <c r="KHQ106" s="1"/>
      <c r="KHR106" s="1"/>
      <c r="KHS106" s="1"/>
      <c r="KHT106" s="1"/>
      <c r="KHU106" s="1"/>
      <c r="KHV106" s="1"/>
      <c r="KHW106" s="1"/>
      <c r="KHX106" s="1"/>
      <c r="KHY106" s="1"/>
      <c r="KHZ106" s="1"/>
      <c r="KIA106" s="1"/>
      <c r="KIB106" s="1"/>
      <c r="KIC106" s="1"/>
      <c r="KID106" s="1"/>
      <c r="KIE106" s="1"/>
      <c r="KIF106" s="1"/>
      <c r="KIG106" s="1"/>
      <c r="KIH106" s="1"/>
      <c r="KII106" s="1"/>
      <c r="KIJ106" s="1"/>
      <c r="KIK106" s="1"/>
      <c r="KIL106" s="1"/>
      <c r="KIM106" s="1"/>
      <c r="KIN106" s="1"/>
      <c r="KIO106" s="1"/>
      <c r="KIP106" s="1"/>
      <c r="KIQ106" s="1"/>
      <c r="KIR106" s="1"/>
      <c r="KIS106" s="1"/>
      <c r="KIT106" s="1"/>
      <c r="KIU106" s="1"/>
      <c r="KIV106" s="1"/>
      <c r="KIW106" s="1"/>
      <c r="KIX106" s="1"/>
      <c r="KIY106" s="1"/>
      <c r="KIZ106" s="1"/>
      <c r="KJA106" s="1"/>
      <c r="KJB106" s="1"/>
      <c r="KJC106" s="1"/>
      <c r="KJD106" s="1"/>
      <c r="KJE106" s="1"/>
      <c r="KJF106" s="1"/>
      <c r="KJG106" s="1"/>
      <c r="KJH106" s="1"/>
      <c r="KJI106" s="1"/>
      <c r="KJJ106" s="1"/>
      <c r="KJK106" s="1"/>
      <c r="KJL106" s="1"/>
      <c r="KJM106" s="1"/>
      <c r="KJN106" s="1"/>
      <c r="KJO106" s="1"/>
      <c r="KJP106" s="1"/>
      <c r="KJQ106" s="1"/>
      <c r="KJR106" s="1"/>
      <c r="KJS106" s="1"/>
      <c r="KJT106" s="1"/>
      <c r="KJU106" s="1"/>
      <c r="KJV106" s="1"/>
      <c r="KJW106" s="1"/>
      <c r="KJX106" s="1"/>
      <c r="KJY106" s="1"/>
      <c r="KJZ106" s="1"/>
      <c r="KKA106" s="1"/>
      <c r="KKB106" s="1"/>
      <c r="KKC106" s="1"/>
      <c r="KKD106" s="1"/>
      <c r="KKE106" s="1"/>
      <c r="KKF106" s="1"/>
      <c r="KKG106" s="1"/>
      <c r="KKH106" s="1"/>
      <c r="KKI106" s="1"/>
      <c r="KKJ106" s="1"/>
      <c r="KKK106" s="1"/>
      <c r="KKL106" s="1"/>
      <c r="KKM106" s="1"/>
      <c r="KKN106" s="1"/>
      <c r="KKO106" s="1"/>
      <c r="KKP106" s="1"/>
      <c r="KKQ106" s="1"/>
      <c r="KKR106" s="1"/>
      <c r="KKS106" s="1"/>
      <c r="KKT106" s="1"/>
      <c r="KKU106" s="1"/>
      <c r="KKV106" s="1"/>
      <c r="KKW106" s="1"/>
      <c r="KKX106" s="1"/>
      <c r="KKY106" s="1"/>
      <c r="KKZ106" s="1"/>
      <c r="KLA106" s="1"/>
      <c r="KLB106" s="1"/>
      <c r="KLC106" s="1"/>
      <c r="KLD106" s="1"/>
      <c r="KLE106" s="1"/>
      <c r="KLF106" s="1"/>
      <c r="KLG106" s="1"/>
      <c r="KLH106" s="1"/>
      <c r="KLI106" s="1"/>
      <c r="KLJ106" s="1"/>
      <c r="KLK106" s="1"/>
      <c r="KLL106" s="1"/>
      <c r="KLM106" s="1"/>
      <c r="KLN106" s="1"/>
      <c r="KLO106" s="1"/>
      <c r="KLP106" s="1"/>
      <c r="KLQ106" s="1"/>
      <c r="KLR106" s="1"/>
      <c r="KLS106" s="1"/>
      <c r="KLT106" s="1"/>
      <c r="KLU106" s="1"/>
      <c r="KLV106" s="1"/>
      <c r="KLW106" s="1"/>
      <c r="KLX106" s="1"/>
      <c r="KLY106" s="1"/>
      <c r="KLZ106" s="1"/>
      <c r="KMA106" s="1"/>
      <c r="KMB106" s="1"/>
      <c r="KMC106" s="1"/>
      <c r="KMD106" s="1"/>
      <c r="KME106" s="1"/>
      <c r="KMF106" s="1"/>
      <c r="KMG106" s="1"/>
      <c r="KMH106" s="1"/>
      <c r="KMI106" s="1"/>
      <c r="KMJ106" s="1"/>
      <c r="KMK106" s="1"/>
      <c r="KML106" s="1"/>
      <c r="KMM106" s="1"/>
      <c r="KMN106" s="1"/>
      <c r="KMO106" s="1"/>
      <c r="KMP106" s="1"/>
      <c r="KMQ106" s="1"/>
      <c r="KMR106" s="1"/>
      <c r="KMS106" s="1"/>
      <c r="KMT106" s="1"/>
      <c r="KMU106" s="1"/>
      <c r="KMV106" s="1"/>
      <c r="KMW106" s="1"/>
      <c r="KMX106" s="1"/>
      <c r="KMY106" s="1"/>
      <c r="KMZ106" s="1"/>
      <c r="KNA106" s="1"/>
      <c r="KNB106" s="1"/>
      <c r="KNC106" s="1"/>
      <c r="KND106" s="1"/>
      <c r="KNE106" s="1"/>
      <c r="KNF106" s="1"/>
      <c r="KNG106" s="1"/>
      <c r="KNH106" s="1"/>
      <c r="KNI106" s="1"/>
      <c r="KNJ106" s="1"/>
      <c r="KNK106" s="1"/>
      <c r="KNL106" s="1"/>
      <c r="KNM106" s="1"/>
      <c r="KNN106" s="1"/>
      <c r="KNO106" s="1"/>
      <c r="KNP106" s="1"/>
      <c r="KNQ106" s="1"/>
      <c r="KNR106" s="1"/>
      <c r="KNS106" s="1"/>
      <c r="KNT106" s="1"/>
      <c r="KNU106" s="1"/>
      <c r="KNV106" s="1"/>
      <c r="KNW106" s="1"/>
      <c r="KNX106" s="1"/>
      <c r="KNY106" s="1"/>
      <c r="KNZ106" s="1"/>
      <c r="KOA106" s="1"/>
      <c r="KOB106" s="1"/>
      <c r="KOC106" s="1"/>
      <c r="KOD106" s="1"/>
      <c r="KOE106" s="1"/>
      <c r="KOF106" s="1"/>
      <c r="KOG106" s="1"/>
      <c r="KOH106" s="1"/>
      <c r="KOI106" s="1"/>
      <c r="KOJ106" s="1"/>
      <c r="KOK106" s="1"/>
      <c r="KOL106" s="1"/>
      <c r="KOM106" s="1"/>
      <c r="KON106" s="1"/>
      <c r="KOO106" s="1"/>
      <c r="KOP106" s="1"/>
      <c r="KOQ106" s="1"/>
      <c r="KOR106" s="1"/>
      <c r="KOS106" s="1"/>
      <c r="KOT106" s="1"/>
      <c r="KOU106" s="1"/>
      <c r="KOV106" s="1"/>
      <c r="KOW106" s="1"/>
      <c r="KOX106" s="1"/>
      <c r="KOY106" s="1"/>
      <c r="KOZ106" s="1"/>
      <c r="KPA106" s="1"/>
      <c r="KPB106" s="1"/>
      <c r="KPC106" s="1"/>
      <c r="KPD106" s="1"/>
      <c r="KPE106" s="1"/>
      <c r="KPF106" s="1"/>
      <c r="KPG106" s="1"/>
      <c r="KPH106" s="1"/>
      <c r="KPI106" s="1"/>
      <c r="KPJ106" s="1"/>
      <c r="KPK106" s="1"/>
      <c r="KPL106" s="1"/>
      <c r="KPM106" s="1"/>
      <c r="KPN106" s="1"/>
      <c r="KPO106" s="1"/>
      <c r="KPP106" s="1"/>
      <c r="KPQ106" s="1"/>
      <c r="KPR106" s="1"/>
      <c r="KPS106" s="1"/>
      <c r="KPT106" s="1"/>
      <c r="KPU106" s="1"/>
      <c r="KPV106" s="1"/>
      <c r="KPW106" s="1"/>
      <c r="KPX106" s="1"/>
      <c r="KPY106" s="1"/>
      <c r="KPZ106" s="1"/>
      <c r="KQA106" s="1"/>
      <c r="KQB106" s="1"/>
      <c r="KQC106" s="1"/>
      <c r="KQD106" s="1"/>
      <c r="KQE106" s="1"/>
      <c r="KQF106" s="1"/>
      <c r="KQG106" s="1"/>
      <c r="KQH106" s="1"/>
      <c r="KQI106" s="1"/>
      <c r="KQJ106" s="1"/>
      <c r="KQK106" s="1"/>
      <c r="KQL106" s="1"/>
      <c r="KQM106" s="1"/>
      <c r="KQN106" s="1"/>
      <c r="KQO106" s="1"/>
      <c r="KQP106" s="1"/>
      <c r="KQQ106" s="1"/>
      <c r="KQR106" s="1"/>
      <c r="KQS106" s="1"/>
      <c r="KQT106" s="1"/>
      <c r="KQU106" s="1"/>
      <c r="KQV106" s="1"/>
      <c r="KQW106" s="1"/>
      <c r="KQX106" s="1"/>
      <c r="KQY106" s="1"/>
      <c r="KQZ106" s="1"/>
      <c r="KRA106" s="1"/>
      <c r="KRB106" s="1"/>
      <c r="KRC106" s="1"/>
      <c r="KRD106" s="1"/>
      <c r="KRE106" s="1"/>
      <c r="KRF106" s="1"/>
      <c r="KRG106" s="1"/>
      <c r="KRH106" s="1"/>
      <c r="KRI106" s="1"/>
      <c r="KRJ106" s="1"/>
      <c r="KRK106" s="1"/>
      <c r="KRL106" s="1"/>
      <c r="KRM106" s="1"/>
      <c r="KRN106" s="1"/>
      <c r="KRO106" s="1"/>
      <c r="KRP106" s="1"/>
      <c r="KRQ106" s="1"/>
      <c r="KRR106" s="1"/>
      <c r="KRS106" s="1"/>
      <c r="KRT106" s="1"/>
      <c r="KRU106" s="1"/>
      <c r="KRV106" s="1"/>
      <c r="KRW106" s="1"/>
      <c r="KRX106" s="1"/>
      <c r="KRY106" s="1"/>
      <c r="KRZ106" s="1"/>
      <c r="KSA106" s="1"/>
      <c r="KSB106" s="1"/>
      <c r="KSC106" s="1"/>
      <c r="KSD106" s="1"/>
      <c r="KSE106" s="1"/>
      <c r="KSF106" s="1"/>
      <c r="KSG106" s="1"/>
      <c r="KSH106" s="1"/>
      <c r="KSI106" s="1"/>
      <c r="KSJ106" s="1"/>
      <c r="KSK106" s="1"/>
      <c r="KSL106" s="1"/>
      <c r="KSM106" s="1"/>
      <c r="KSN106" s="1"/>
      <c r="KSO106" s="1"/>
      <c r="KSP106" s="1"/>
      <c r="KSQ106" s="1"/>
      <c r="KSR106" s="1"/>
      <c r="KSS106" s="1"/>
      <c r="KST106" s="1"/>
      <c r="KSU106" s="1"/>
      <c r="KSV106" s="1"/>
      <c r="KSW106" s="1"/>
      <c r="KSX106" s="1"/>
      <c r="KSY106" s="1"/>
      <c r="KSZ106" s="1"/>
      <c r="KTA106" s="1"/>
      <c r="KTB106" s="1"/>
      <c r="KTC106" s="1"/>
      <c r="KTD106" s="1"/>
      <c r="KTE106" s="1"/>
      <c r="KTF106" s="1"/>
      <c r="KTG106" s="1"/>
      <c r="KTH106" s="1"/>
      <c r="KTI106" s="1"/>
      <c r="KTJ106" s="1"/>
      <c r="KTK106" s="1"/>
      <c r="KTL106" s="1"/>
      <c r="KTM106" s="1"/>
      <c r="KTN106" s="1"/>
      <c r="KTO106" s="1"/>
      <c r="KTP106" s="1"/>
      <c r="KTQ106" s="1"/>
      <c r="KTR106" s="1"/>
      <c r="KTS106" s="1"/>
      <c r="KTT106" s="1"/>
      <c r="KTU106" s="1"/>
      <c r="KTV106" s="1"/>
      <c r="KTW106" s="1"/>
      <c r="KTX106" s="1"/>
      <c r="KTY106" s="1"/>
      <c r="KTZ106" s="1"/>
      <c r="KUA106" s="1"/>
      <c r="KUB106" s="1"/>
      <c r="KUC106" s="1"/>
      <c r="KUD106" s="1"/>
      <c r="KUE106" s="1"/>
      <c r="KUF106" s="1"/>
      <c r="KUG106" s="1"/>
      <c r="KUH106" s="1"/>
      <c r="KUI106" s="1"/>
      <c r="KUJ106" s="1"/>
      <c r="KUK106" s="1"/>
      <c r="KUL106" s="1"/>
      <c r="KUM106" s="1"/>
      <c r="KUN106" s="1"/>
      <c r="KUO106" s="1"/>
      <c r="KUP106" s="1"/>
      <c r="KUQ106" s="1"/>
      <c r="KUR106" s="1"/>
      <c r="KUS106" s="1"/>
      <c r="KUT106" s="1"/>
      <c r="KUU106" s="1"/>
      <c r="KUV106" s="1"/>
      <c r="KUW106" s="1"/>
      <c r="KUX106" s="1"/>
      <c r="KUY106" s="1"/>
      <c r="KUZ106" s="1"/>
      <c r="KVA106" s="1"/>
      <c r="KVB106" s="1"/>
      <c r="KVC106" s="1"/>
      <c r="KVD106" s="1"/>
      <c r="KVE106" s="1"/>
      <c r="KVF106" s="1"/>
      <c r="KVG106" s="1"/>
      <c r="KVH106" s="1"/>
      <c r="KVI106" s="1"/>
      <c r="KVJ106" s="1"/>
      <c r="KVK106" s="1"/>
      <c r="KVL106" s="1"/>
      <c r="KVM106" s="1"/>
      <c r="KVN106" s="1"/>
      <c r="KVO106" s="1"/>
      <c r="KVP106" s="1"/>
      <c r="KVQ106" s="1"/>
      <c r="KVR106" s="1"/>
      <c r="KVS106" s="1"/>
      <c r="KVT106" s="1"/>
      <c r="KVU106" s="1"/>
      <c r="KVV106" s="1"/>
      <c r="KVW106" s="1"/>
      <c r="KVX106" s="1"/>
      <c r="KVY106" s="1"/>
      <c r="KVZ106" s="1"/>
      <c r="KWA106" s="1"/>
      <c r="KWB106" s="1"/>
      <c r="KWC106" s="1"/>
      <c r="KWD106" s="1"/>
      <c r="KWE106" s="1"/>
      <c r="KWF106" s="1"/>
      <c r="KWG106" s="1"/>
      <c r="KWH106" s="1"/>
      <c r="KWI106" s="1"/>
      <c r="KWJ106" s="1"/>
      <c r="KWK106" s="1"/>
      <c r="KWL106" s="1"/>
      <c r="KWM106" s="1"/>
      <c r="KWN106" s="1"/>
      <c r="KWO106" s="1"/>
      <c r="KWP106" s="1"/>
      <c r="KWQ106" s="1"/>
      <c r="KWR106" s="1"/>
      <c r="KWS106" s="1"/>
      <c r="KWT106" s="1"/>
      <c r="KWU106" s="1"/>
      <c r="KWV106" s="1"/>
      <c r="KWW106" s="1"/>
      <c r="KWX106" s="1"/>
      <c r="KWY106" s="1"/>
      <c r="KWZ106" s="1"/>
      <c r="KXA106" s="1"/>
      <c r="KXB106" s="1"/>
      <c r="KXC106" s="1"/>
      <c r="KXD106" s="1"/>
      <c r="KXE106" s="1"/>
      <c r="KXF106" s="1"/>
      <c r="KXG106" s="1"/>
      <c r="KXH106" s="1"/>
      <c r="KXI106" s="1"/>
      <c r="KXJ106" s="1"/>
      <c r="KXK106" s="1"/>
      <c r="KXL106" s="1"/>
      <c r="KXM106" s="1"/>
      <c r="KXN106" s="1"/>
      <c r="KXO106" s="1"/>
      <c r="KXP106" s="1"/>
      <c r="KXQ106" s="1"/>
      <c r="KXR106" s="1"/>
      <c r="KXS106" s="1"/>
      <c r="KXT106" s="1"/>
      <c r="KXU106" s="1"/>
      <c r="KXV106" s="1"/>
      <c r="KXW106" s="1"/>
      <c r="KXX106" s="1"/>
      <c r="KXY106" s="1"/>
      <c r="KXZ106" s="1"/>
      <c r="KYA106" s="1"/>
      <c r="KYB106" s="1"/>
      <c r="KYC106" s="1"/>
      <c r="KYD106" s="1"/>
      <c r="KYE106" s="1"/>
      <c r="KYF106" s="1"/>
      <c r="KYG106" s="1"/>
      <c r="KYH106" s="1"/>
      <c r="KYI106" s="1"/>
      <c r="KYJ106" s="1"/>
      <c r="KYK106" s="1"/>
      <c r="KYL106" s="1"/>
      <c r="KYM106" s="1"/>
      <c r="KYN106" s="1"/>
      <c r="KYO106" s="1"/>
      <c r="KYP106" s="1"/>
      <c r="KYQ106" s="1"/>
      <c r="KYR106" s="1"/>
      <c r="KYS106" s="1"/>
      <c r="KYT106" s="1"/>
      <c r="KYU106" s="1"/>
      <c r="KYV106" s="1"/>
      <c r="KYW106" s="1"/>
      <c r="KYX106" s="1"/>
      <c r="KYY106" s="1"/>
      <c r="KYZ106" s="1"/>
      <c r="KZA106" s="1"/>
      <c r="KZB106" s="1"/>
      <c r="KZC106" s="1"/>
      <c r="KZD106" s="1"/>
      <c r="KZE106" s="1"/>
      <c r="KZF106" s="1"/>
      <c r="KZG106" s="1"/>
      <c r="KZH106" s="1"/>
      <c r="KZI106" s="1"/>
      <c r="KZJ106" s="1"/>
      <c r="KZK106" s="1"/>
      <c r="KZL106" s="1"/>
      <c r="KZM106" s="1"/>
      <c r="KZN106" s="1"/>
      <c r="KZO106" s="1"/>
      <c r="KZP106" s="1"/>
      <c r="KZQ106" s="1"/>
      <c r="KZR106" s="1"/>
      <c r="KZS106" s="1"/>
      <c r="KZT106" s="1"/>
      <c r="KZU106" s="1"/>
      <c r="KZV106" s="1"/>
      <c r="KZW106" s="1"/>
      <c r="KZX106" s="1"/>
      <c r="KZY106" s="1"/>
      <c r="KZZ106" s="1"/>
      <c r="LAA106" s="1"/>
      <c r="LAB106" s="1"/>
      <c r="LAC106" s="1"/>
      <c r="LAD106" s="1"/>
      <c r="LAE106" s="1"/>
      <c r="LAF106" s="1"/>
      <c r="LAG106" s="1"/>
      <c r="LAH106" s="1"/>
      <c r="LAI106" s="1"/>
      <c r="LAJ106" s="1"/>
      <c r="LAK106" s="1"/>
      <c r="LAL106" s="1"/>
      <c r="LAM106" s="1"/>
      <c r="LAN106" s="1"/>
      <c r="LAO106" s="1"/>
      <c r="LAP106" s="1"/>
      <c r="LAQ106" s="1"/>
      <c r="LAR106" s="1"/>
      <c r="LAS106" s="1"/>
      <c r="LAT106" s="1"/>
      <c r="LAU106" s="1"/>
      <c r="LAV106" s="1"/>
      <c r="LAW106" s="1"/>
      <c r="LAX106" s="1"/>
      <c r="LAY106" s="1"/>
      <c r="LAZ106" s="1"/>
      <c r="LBA106" s="1"/>
      <c r="LBB106" s="1"/>
      <c r="LBC106" s="1"/>
      <c r="LBD106" s="1"/>
      <c r="LBE106" s="1"/>
      <c r="LBF106" s="1"/>
      <c r="LBG106" s="1"/>
      <c r="LBH106" s="1"/>
      <c r="LBI106" s="1"/>
      <c r="LBJ106" s="1"/>
      <c r="LBK106" s="1"/>
      <c r="LBL106" s="1"/>
      <c r="LBM106" s="1"/>
      <c r="LBN106" s="1"/>
      <c r="LBO106" s="1"/>
      <c r="LBP106" s="1"/>
      <c r="LBQ106" s="1"/>
      <c r="LBR106" s="1"/>
      <c r="LBS106" s="1"/>
      <c r="LBT106" s="1"/>
      <c r="LBU106" s="1"/>
      <c r="LBV106" s="1"/>
      <c r="LBW106" s="1"/>
      <c r="LBX106" s="1"/>
      <c r="LBY106" s="1"/>
      <c r="LBZ106" s="1"/>
      <c r="LCA106" s="1"/>
      <c r="LCB106" s="1"/>
      <c r="LCC106" s="1"/>
      <c r="LCD106" s="1"/>
      <c r="LCE106" s="1"/>
      <c r="LCF106" s="1"/>
      <c r="LCG106" s="1"/>
      <c r="LCH106" s="1"/>
      <c r="LCI106" s="1"/>
      <c r="LCJ106" s="1"/>
      <c r="LCK106" s="1"/>
      <c r="LCL106" s="1"/>
      <c r="LCM106" s="1"/>
      <c r="LCN106" s="1"/>
      <c r="LCO106" s="1"/>
      <c r="LCP106" s="1"/>
      <c r="LCQ106" s="1"/>
      <c r="LCR106" s="1"/>
      <c r="LCS106" s="1"/>
      <c r="LCT106" s="1"/>
      <c r="LCU106" s="1"/>
      <c r="LCV106" s="1"/>
      <c r="LCW106" s="1"/>
      <c r="LCX106" s="1"/>
      <c r="LCY106" s="1"/>
      <c r="LCZ106" s="1"/>
      <c r="LDA106" s="1"/>
      <c r="LDB106" s="1"/>
      <c r="LDC106" s="1"/>
      <c r="LDD106" s="1"/>
      <c r="LDE106" s="1"/>
      <c r="LDF106" s="1"/>
      <c r="LDG106" s="1"/>
      <c r="LDH106" s="1"/>
      <c r="LDI106" s="1"/>
      <c r="LDJ106" s="1"/>
      <c r="LDK106" s="1"/>
      <c r="LDL106" s="1"/>
      <c r="LDM106" s="1"/>
      <c r="LDN106" s="1"/>
      <c r="LDO106" s="1"/>
      <c r="LDP106" s="1"/>
      <c r="LDQ106" s="1"/>
      <c r="LDR106" s="1"/>
      <c r="LDS106" s="1"/>
      <c r="LDT106" s="1"/>
      <c r="LDU106" s="1"/>
      <c r="LDV106" s="1"/>
      <c r="LDW106" s="1"/>
      <c r="LDX106" s="1"/>
      <c r="LDY106" s="1"/>
      <c r="LDZ106" s="1"/>
      <c r="LEA106" s="1"/>
      <c r="LEB106" s="1"/>
      <c r="LEC106" s="1"/>
      <c r="LED106" s="1"/>
      <c r="LEE106" s="1"/>
      <c r="LEF106" s="1"/>
      <c r="LEG106" s="1"/>
      <c r="LEH106" s="1"/>
      <c r="LEI106" s="1"/>
      <c r="LEJ106" s="1"/>
      <c r="LEK106" s="1"/>
      <c r="LEL106" s="1"/>
      <c r="LEM106" s="1"/>
      <c r="LEN106" s="1"/>
      <c r="LEO106" s="1"/>
      <c r="LEP106" s="1"/>
      <c r="LEQ106" s="1"/>
      <c r="LER106" s="1"/>
      <c r="LES106" s="1"/>
      <c r="LET106" s="1"/>
      <c r="LEU106" s="1"/>
      <c r="LEV106" s="1"/>
      <c r="LEW106" s="1"/>
      <c r="LEX106" s="1"/>
      <c r="LEY106" s="1"/>
      <c r="LEZ106" s="1"/>
      <c r="LFA106" s="1"/>
      <c r="LFB106" s="1"/>
      <c r="LFC106" s="1"/>
      <c r="LFD106" s="1"/>
      <c r="LFE106" s="1"/>
      <c r="LFF106" s="1"/>
      <c r="LFG106" s="1"/>
      <c r="LFH106" s="1"/>
      <c r="LFI106" s="1"/>
      <c r="LFJ106" s="1"/>
      <c r="LFK106" s="1"/>
      <c r="LFL106" s="1"/>
      <c r="LFM106" s="1"/>
      <c r="LFN106" s="1"/>
      <c r="LFO106" s="1"/>
      <c r="LFP106" s="1"/>
      <c r="LFQ106" s="1"/>
      <c r="LFR106" s="1"/>
      <c r="LFS106" s="1"/>
      <c r="LFT106" s="1"/>
      <c r="LFU106" s="1"/>
      <c r="LFV106" s="1"/>
      <c r="LFW106" s="1"/>
      <c r="LFX106" s="1"/>
      <c r="LFY106" s="1"/>
      <c r="LFZ106" s="1"/>
      <c r="LGA106" s="1"/>
      <c r="LGB106" s="1"/>
      <c r="LGC106" s="1"/>
      <c r="LGD106" s="1"/>
      <c r="LGE106" s="1"/>
      <c r="LGF106" s="1"/>
      <c r="LGG106" s="1"/>
      <c r="LGH106" s="1"/>
      <c r="LGI106" s="1"/>
      <c r="LGJ106" s="1"/>
      <c r="LGK106" s="1"/>
      <c r="LGL106" s="1"/>
      <c r="LGM106" s="1"/>
      <c r="LGN106" s="1"/>
      <c r="LGO106" s="1"/>
      <c r="LGP106" s="1"/>
      <c r="LGQ106" s="1"/>
      <c r="LGR106" s="1"/>
      <c r="LGS106" s="1"/>
      <c r="LGT106" s="1"/>
      <c r="LGU106" s="1"/>
      <c r="LGV106" s="1"/>
      <c r="LGW106" s="1"/>
      <c r="LGX106" s="1"/>
      <c r="LGY106" s="1"/>
      <c r="LGZ106" s="1"/>
      <c r="LHA106" s="1"/>
      <c r="LHB106" s="1"/>
      <c r="LHC106" s="1"/>
      <c r="LHD106" s="1"/>
      <c r="LHE106" s="1"/>
      <c r="LHF106" s="1"/>
      <c r="LHG106" s="1"/>
      <c r="LHH106" s="1"/>
      <c r="LHI106" s="1"/>
      <c r="LHJ106" s="1"/>
      <c r="LHK106" s="1"/>
      <c r="LHL106" s="1"/>
      <c r="LHM106" s="1"/>
      <c r="LHN106" s="1"/>
      <c r="LHO106" s="1"/>
      <c r="LHP106" s="1"/>
      <c r="LHQ106" s="1"/>
      <c r="LHR106" s="1"/>
      <c r="LHS106" s="1"/>
      <c r="LHT106" s="1"/>
      <c r="LHU106" s="1"/>
      <c r="LHV106" s="1"/>
      <c r="LHW106" s="1"/>
      <c r="LHX106" s="1"/>
      <c r="LHY106" s="1"/>
      <c r="LHZ106" s="1"/>
      <c r="LIA106" s="1"/>
      <c r="LIB106" s="1"/>
      <c r="LIC106" s="1"/>
      <c r="LID106" s="1"/>
      <c r="LIE106" s="1"/>
      <c r="LIF106" s="1"/>
      <c r="LIG106" s="1"/>
      <c r="LIH106" s="1"/>
      <c r="LII106" s="1"/>
      <c r="LIJ106" s="1"/>
      <c r="LIK106" s="1"/>
      <c r="LIL106" s="1"/>
      <c r="LIM106" s="1"/>
      <c r="LIN106" s="1"/>
      <c r="LIO106" s="1"/>
      <c r="LIP106" s="1"/>
      <c r="LIQ106" s="1"/>
      <c r="LIR106" s="1"/>
      <c r="LIS106" s="1"/>
      <c r="LIT106" s="1"/>
      <c r="LIU106" s="1"/>
      <c r="LIV106" s="1"/>
      <c r="LIW106" s="1"/>
      <c r="LIX106" s="1"/>
      <c r="LIY106" s="1"/>
      <c r="LIZ106" s="1"/>
      <c r="LJA106" s="1"/>
      <c r="LJB106" s="1"/>
      <c r="LJC106" s="1"/>
      <c r="LJD106" s="1"/>
      <c r="LJE106" s="1"/>
      <c r="LJF106" s="1"/>
      <c r="LJG106" s="1"/>
      <c r="LJH106" s="1"/>
      <c r="LJI106" s="1"/>
      <c r="LJJ106" s="1"/>
      <c r="LJK106" s="1"/>
      <c r="LJL106" s="1"/>
      <c r="LJM106" s="1"/>
      <c r="LJN106" s="1"/>
      <c r="LJO106" s="1"/>
      <c r="LJP106" s="1"/>
      <c r="LJQ106" s="1"/>
      <c r="LJR106" s="1"/>
      <c r="LJS106" s="1"/>
      <c r="LJT106" s="1"/>
      <c r="LJU106" s="1"/>
      <c r="LJV106" s="1"/>
      <c r="LJW106" s="1"/>
      <c r="LJX106" s="1"/>
      <c r="LJY106" s="1"/>
      <c r="LJZ106" s="1"/>
      <c r="LKA106" s="1"/>
      <c r="LKB106" s="1"/>
      <c r="LKC106" s="1"/>
      <c r="LKD106" s="1"/>
      <c r="LKE106" s="1"/>
      <c r="LKF106" s="1"/>
      <c r="LKG106" s="1"/>
      <c r="LKH106" s="1"/>
      <c r="LKI106" s="1"/>
      <c r="LKJ106" s="1"/>
      <c r="LKK106" s="1"/>
      <c r="LKL106" s="1"/>
      <c r="LKM106" s="1"/>
      <c r="LKN106" s="1"/>
      <c r="LKO106" s="1"/>
      <c r="LKP106" s="1"/>
      <c r="LKQ106" s="1"/>
      <c r="LKR106" s="1"/>
      <c r="LKS106" s="1"/>
      <c r="LKT106" s="1"/>
      <c r="LKU106" s="1"/>
      <c r="LKV106" s="1"/>
      <c r="LKW106" s="1"/>
      <c r="LKX106" s="1"/>
      <c r="LKY106" s="1"/>
      <c r="LKZ106" s="1"/>
      <c r="LLA106" s="1"/>
      <c r="LLB106" s="1"/>
      <c r="LLC106" s="1"/>
      <c r="LLD106" s="1"/>
      <c r="LLE106" s="1"/>
      <c r="LLF106" s="1"/>
      <c r="LLG106" s="1"/>
      <c r="LLH106" s="1"/>
      <c r="LLI106" s="1"/>
      <c r="LLJ106" s="1"/>
      <c r="LLK106" s="1"/>
      <c r="LLL106" s="1"/>
      <c r="LLM106" s="1"/>
      <c r="LLN106" s="1"/>
      <c r="LLO106" s="1"/>
      <c r="LLP106" s="1"/>
      <c r="LLQ106" s="1"/>
      <c r="LLR106" s="1"/>
      <c r="LLS106" s="1"/>
      <c r="LLT106" s="1"/>
      <c r="LLU106" s="1"/>
      <c r="LLV106" s="1"/>
      <c r="LLW106" s="1"/>
      <c r="LLX106" s="1"/>
      <c r="LLY106" s="1"/>
      <c r="LLZ106" s="1"/>
      <c r="LMA106" s="1"/>
      <c r="LMB106" s="1"/>
      <c r="LMC106" s="1"/>
      <c r="LMD106" s="1"/>
      <c r="LME106" s="1"/>
      <c r="LMF106" s="1"/>
      <c r="LMG106" s="1"/>
      <c r="LMH106" s="1"/>
      <c r="LMI106" s="1"/>
      <c r="LMJ106" s="1"/>
      <c r="LMK106" s="1"/>
      <c r="LML106" s="1"/>
      <c r="LMM106" s="1"/>
      <c r="LMN106" s="1"/>
      <c r="LMO106" s="1"/>
      <c r="LMP106" s="1"/>
      <c r="LMQ106" s="1"/>
      <c r="LMR106" s="1"/>
      <c r="LMS106" s="1"/>
      <c r="LMT106" s="1"/>
      <c r="LMU106" s="1"/>
      <c r="LMV106" s="1"/>
      <c r="LMW106" s="1"/>
      <c r="LMX106" s="1"/>
      <c r="LMY106" s="1"/>
      <c r="LMZ106" s="1"/>
      <c r="LNA106" s="1"/>
      <c r="LNB106" s="1"/>
      <c r="LNC106" s="1"/>
      <c r="LND106" s="1"/>
      <c r="LNE106" s="1"/>
      <c r="LNF106" s="1"/>
      <c r="LNG106" s="1"/>
      <c r="LNH106" s="1"/>
      <c r="LNI106" s="1"/>
      <c r="LNJ106" s="1"/>
      <c r="LNK106" s="1"/>
      <c r="LNL106" s="1"/>
      <c r="LNM106" s="1"/>
      <c r="LNN106" s="1"/>
      <c r="LNO106" s="1"/>
      <c r="LNP106" s="1"/>
      <c r="LNQ106" s="1"/>
      <c r="LNR106" s="1"/>
      <c r="LNS106" s="1"/>
      <c r="LNT106" s="1"/>
      <c r="LNU106" s="1"/>
      <c r="LNV106" s="1"/>
      <c r="LNW106" s="1"/>
      <c r="LNX106" s="1"/>
      <c r="LNY106" s="1"/>
      <c r="LNZ106" s="1"/>
      <c r="LOA106" s="1"/>
      <c r="LOB106" s="1"/>
      <c r="LOC106" s="1"/>
      <c r="LOD106" s="1"/>
      <c r="LOE106" s="1"/>
      <c r="LOF106" s="1"/>
      <c r="LOG106" s="1"/>
      <c r="LOH106" s="1"/>
      <c r="LOI106" s="1"/>
      <c r="LOJ106" s="1"/>
      <c r="LOK106" s="1"/>
      <c r="LOL106" s="1"/>
      <c r="LOM106" s="1"/>
      <c r="LON106" s="1"/>
      <c r="LOO106" s="1"/>
      <c r="LOP106" s="1"/>
      <c r="LOQ106" s="1"/>
      <c r="LOR106" s="1"/>
      <c r="LOS106" s="1"/>
      <c r="LOT106" s="1"/>
      <c r="LOU106" s="1"/>
      <c r="LOV106" s="1"/>
      <c r="LOW106" s="1"/>
      <c r="LOX106" s="1"/>
      <c r="LOY106" s="1"/>
      <c r="LOZ106" s="1"/>
      <c r="LPA106" s="1"/>
      <c r="LPB106" s="1"/>
      <c r="LPC106" s="1"/>
      <c r="LPD106" s="1"/>
      <c r="LPE106" s="1"/>
      <c r="LPF106" s="1"/>
      <c r="LPG106" s="1"/>
      <c r="LPH106" s="1"/>
      <c r="LPI106" s="1"/>
      <c r="LPJ106" s="1"/>
      <c r="LPK106" s="1"/>
      <c r="LPL106" s="1"/>
      <c r="LPM106" s="1"/>
      <c r="LPN106" s="1"/>
      <c r="LPO106" s="1"/>
      <c r="LPP106" s="1"/>
      <c r="LPQ106" s="1"/>
      <c r="LPR106" s="1"/>
      <c r="LPS106" s="1"/>
      <c r="LPT106" s="1"/>
      <c r="LPU106" s="1"/>
      <c r="LPV106" s="1"/>
      <c r="LPW106" s="1"/>
      <c r="LPX106" s="1"/>
      <c r="LPY106" s="1"/>
      <c r="LPZ106" s="1"/>
      <c r="LQA106" s="1"/>
      <c r="LQB106" s="1"/>
      <c r="LQC106" s="1"/>
      <c r="LQD106" s="1"/>
      <c r="LQE106" s="1"/>
      <c r="LQF106" s="1"/>
      <c r="LQG106" s="1"/>
      <c r="LQH106" s="1"/>
      <c r="LQI106" s="1"/>
      <c r="LQJ106" s="1"/>
      <c r="LQK106" s="1"/>
      <c r="LQL106" s="1"/>
      <c r="LQM106" s="1"/>
      <c r="LQN106" s="1"/>
      <c r="LQO106" s="1"/>
      <c r="LQP106" s="1"/>
      <c r="LQQ106" s="1"/>
      <c r="LQR106" s="1"/>
      <c r="LQS106" s="1"/>
      <c r="LQT106" s="1"/>
      <c r="LQU106" s="1"/>
      <c r="LQV106" s="1"/>
      <c r="LQW106" s="1"/>
      <c r="LQX106" s="1"/>
      <c r="LQY106" s="1"/>
      <c r="LQZ106" s="1"/>
      <c r="LRA106" s="1"/>
      <c r="LRB106" s="1"/>
      <c r="LRC106" s="1"/>
      <c r="LRD106" s="1"/>
      <c r="LRE106" s="1"/>
      <c r="LRF106" s="1"/>
      <c r="LRG106" s="1"/>
      <c r="LRH106" s="1"/>
      <c r="LRI106" s="1"/>
      <c r="LRJ106" s="1"/>
      <c r="LRK106" s="1"/>
      <c r="LRL106" s="1"/>
      <c r="LRM106" s="1"/>
      <c r="LRN106" s="1"/>
      <c r="LRO106" s="1"/>
      <c r="LRP106" s="1"/>
      <c r="LRQ106" s="1"/>
      <c r="LRR106" s="1"/>
      <c r="LRS106" s="1"/>
      <c r="LRT106" s="1"/>
      <c r="LRU106" s="1"/>
      <c r="LRV106" s="1"/>
      <c r="LRW106" s="1"/>
      <c r="LRX106" s="1"/>
      <c r="LRY106" s="1"/>
      <c r="LRZ106" s="1"/>
      <c r="LSA106" s="1"/>
      <c r="LSB106" s="1"/>
      <c r="LSC106" s="1"/>
      <c r="LSD106" s="1"/>
      <c r="LSE106" s="1"/>
      <c r="LSF106" s="1"/>
      <c r="LSG106" s="1"/>
      <c r="LSH106" s="1"/>
      <c r="LSI106" s="1"/>
      <c r="LSJ106" s="1"/>
      <c r="LSK106" s="1"/>
      <c r="LSL106" s="1"/>
      <c r="LSM106" s="1"/>
      <c r="LSN106" s="1"/>
      <c r="LSO106" s="1"/>
      <c r="LSP106" s="1"/>
      <c r="LSQ106" s="1"/>
      <c r="LSR106" s="1"/>
      <c r="LSS106" s="1"/>
      <c r="LST106" s="1"/>
      <c r="LSU106" s="1"/>
      <c r="LSV106" s="1"/>
      <c r="LSW106" s="1"/>
      <c r="LSX106" s="1"/>
      <c r="LSY106" s="1"/>
      <c r="LSZ106" s="1"/>
      <c r="LTA106" s="1"/>
      <c r="LTB106" s="1"/>
      <c r="LTC106" s="1"/>
      <c r="LTD106" s="1"/>
      <c r="LTE106" s="1"/>
      <c r="LTF106" s="1"/>
      <c r="LTG106" s="1"/>
      <c r="LTH106" s="1"/>
      <c r="LTI106" s="1"/>
      <c r="LTJ106" s="1"/>
      <c r="LTK106" s="1"/>
      <c r="LTL106" s="1"/>
      <c r="LTM106" s="1"/>
      <c r="LTN106" s="1"/>
      <c r="LTO106" s="1"/>
      <c r="LTP106" s="1"/>
      <c r="LTQ106" s="1"/>
      <c r="LTR106" s="1"/>
      <c r="LTS106" s="1"/>
      <c r="LTT106" s="1"/>
      <c r="LTU106" s="1"/>
      <c r="LTV106" s="1"/>
      <c r="LTW106" s="1"/>
      <c r="LTX106" s="1"/>
      <c r="LTY106" s="1"/>
      <c r="LTZ106" s="1"/>
      <c r="LUA106" s="1"/>
      <c r="LUB106" s="1"/>
      <c r="LUC106" s="1"/>
      <c r="LUD106" s="1"/>
      <c r="LUE106" s="1"/>
      <c r="LUF106" s="1"/>
      <c r="LUG106" s="1"/>
      <c r="LUH106" s="1"/>
      <c r="LUI106" s="1"/>
      <c r="LUJ106" s="1"/>
      <c r="LUK106" s="1"/>
      <c r="LUL106" s="1"/>
      <c r="LUM106" s="1"/>
      <c r="LUN106" s="1"/>
      <c r="LUO106" s="1"/>
      <c r="LUP106" s="1"/>
      <c r="LUQ106" s="1"/>
      <c r="LUR106" s="1"/>
      <c r="LUS106" s="1"/>
      <c r="LUT106" s="1"/>
      <c r="LUU106" s="1"/>
      <c r="LUV106" s="1"/>
      <c r="LUW106" s="1"/>
      <c r="LUX106" s="1"/>
      <c r="LUY106" s="1"/>
      <c r="LUZ106" s="1"/>
      <c r="LVA106" s="1"/>
      <c r="LVB106" s="1"/>
      <c r="LVC106" s="1"/>
      <c r="LVD106" s="1"/>
      <c r="LVE106" s="1"/>
      <c r="LVF106" s="1"/>
      <c r="LVG106" s="1"/>
      <c r="LVH106" s="1"/>
      <c r="LVI106" s="1"/>
      <c r="LVJ106" s="1"/>
      <c r="LVK106" s="1"/>
      <c r="LVL106" s="1"/>
      <c r="LVM106" s="1"/>
      <c r="LVN106" s="1"/>
      <c r="LVO106" s="1"/>
      <c r="LVP106" s="1"/>
      <c r="LVQ106" s="1"/>
      <c r="LVR106" s="1"/>
      <c r="LVS106" s="1"/>
      <c r="LVT106" s="1"/>
      <c r="LVU106" s="1"/>
      <c r="LVV106" s="1"/>
      <c r="LVW106" s="1"/>
      <c r="LVX106" s="1"/>
      <c r="LVY106" s="1"/>
      <c r="LVZ106" s="1"/>
      <c r="LWA106" s="1"/>
      <c r="LWB106" s="1"/>
      <c r="LWC106" s="1"/>
      <c r="LWD106" s="1"/>
      <c r="LWE106" s="1"/>
      <c r="LWF106" s="1"/>
      <c r="LWG106" s="1"/>
      <c r="LWH106" s="1"/>
      <c r="LWI106" s="1"/>
      <c r="LWJ106" s="1"/>
      <c r="LWK106" s="1"/>
      <c r="LWL106" s="1"/>
      <c r="LWM106" s="1"/>
      <c r="LWN106" s="1"/>
      <c r="LWO106" s="1"/>
      <c r="LWP106" s="1"/>
      <c r="LWQ106" s="1"/>
      <c r="LWR106" s="1"/>
      <c r="LWS106" s="1"/>
      <c r="LWT106" s="1"/>
      <c r="LWU106" s="1"/>
      <c r="LWV106" s="1"/>
      <c r="LWW106" s="1"/>
      <c r="LWX106" s="1"/>
      <c r="LWY106" s="1"/>
      <c r="LWZ106" s="1"/>
      <c r="LXA106" s="1"/>
      <c r="LXB106" s="1"/>
      <c r="LXC106" s="1"/>
      <c r="LXD106" s="1"/>
      <c r="LXE106" s="1"/>
      <c r="LXF106" s="1"/>
      <c r="LXG106" s="1"/>
      <c r="LXH106" s="1"/>
      <c r="LXI106" s="1"/>
      <c r="LXJ106" s="1"/>
      <c r="LXK106" s="1"/>
      <c r="LXL106" s="1"/>
      <c r="LXM106" s="1"/>
      <c r="LXN106" s="1"/>
      <c r="LXO106" s="1"/>
      <c r="LXP106" s="1"/>
      <c r="LXQ106" s="1"/>
      <c r="LXR106" s="1"/>
      <c r="LXS106" s="1"/>
      <c r="LXT106" s="1"/>
      <c r="LXU106" s="1"/>
      <c r="LXV106" s="1"/>
      <c r="LXW106" s="1"/>
      <c r="LXX106" s="1"/>
      <c r="LXY106" s="1"/>
      <c r="LXZ106" s="1"/>
      <c r="LYA106" s="1"/>
      <c r="LYB106" s="1"/>
      <c r="LYC106" s="1"/>
      <c r="LYD106" s="1"/>
      <c r="LYE106" s="1"/>
      <c r="LYF106" s="1"/>
      <c r="LYG106" s="1"/>
      <c r="LYH106" s="1"/>
      <c r="LYI106" s="1"/>
      <c r="LYJ106" s="1"/>
      <c r="LYK106" s="1"/>
      <c r="LYL106" s="1"/>
      <c r="LYM106" s="1"/>
      <c r="LYN106" s="1"/>
      <c r="LYO106" s="1"/>
      <c r="LYP106" s="1"/>
      <c r="LYQ106" s="1"/>
      <c r="LYR106" s="1"/>
      <c r="LYS106" s="1"/>
      <c r="LYT106" s="1"/>
      <c r="LYU106" s="1"/>
      <c r="LYV106" s="1"/>
      <c r="LYW106" s="1"/>
      <c r="LYX106" s="1"/>
      <c r="LYY106" s="1"/>
      <c r="LYZ106" s="1"/>
      <c r="LZA106" s="1"/>
      <c r="LZB106" s="1"/>
      <c r="LZC106" s="1"/>
      <c r="LZD106" s="1"/>
      <c r="LZE106" s="1"/>
      <c r="LZF106" s="1"/>
      <c r="LZG106" s="1"/>
      <c r="LZH106" s="1"/>
      <c r="LZI106" s="1"/>
      <c r="LZJ106" s="1"/>
      <c r="LZK106" s="1"/>
      <c r="LZL106" s="1"/>
      <c r="LZM106" s="1"/>
      <c r="LZN106" s="1"/>
      <c r="LZO106" s="1"/>
      <c r="LZP106" s="1"/>
      <c r="LZQ106" s="1"/>
      <c r="LZR106" s="1"/>
      <c r="LZS106" s="1"/>
      <c r="LZT106" s="1"/>
      <c r="LZU106" s="1"/>
      <c r="LZV106" s="1"/>
      <c r="LZW106" s="1"/>
      <c r="LZX106" s="1"/>
      <c r="LZY106" s="1"/>
      <c r="LZZ106" s="1"/>
      <c r="MAA106" s="1"/>
      <c r="MAB106" s="1"/>
      <c r="MAC106" s="1"/>
      <c r="MAD106" s="1"/>
      <c r="MAE106" s="1"/>
      <c r="MAF106" s="1"/>
      <c r="MAG106" s="1"/>
      <c r="MAH106" s="1"/>
      <c r="MAI106" s="1"/>
      <c r="MAJ106" s="1"/>
      <c r="MAK106" s="1"/>
      <c r="MAL106" s="1"/>
      <c r="MAM106" s="1"/>
      <c r="MAN106" s="1"/>
      <c r="MAO106" s="1"/>
      <c r="MAP106" s="1"/>
      <c r="MAQ106" s="1"/>
      <c r="MAR106" s="1"/>
      <c r="MAS106" s="1"/>
      <c r="MAT106" s="1"/>
      <c r="MAU106" s="1"/>
      <c r="MAV106" s="1"/>
      <c r="MAW106" s="1"/>
      <c r="MAX106" s="1"/>
      <c r="MAY106" s="1"/>
      <c r="MAZ106" s="1"/>
      <c r="MBA106" s="1"/>
      <c r="MBB106" s="1"/>
      <c r="MBC106" s="1"/>
      <c r="MBD106" s="1"/>
      <c r="MBE106" s="1"/>
      <c r="MBF106" s="1"/>
      <c r="MBG106" s="1"/>
      <c r="MBH106" s="1"/>
      <c r="MBI106" s="1"/>
      <c r="MBJ106" s="1"/>
      <c r="MBK106" s="1"/>
      <c r="MBL106" s="1"/>
      <c r="MBM106" s="1"/>
      <c r="MBN106" s="1"/>
      <c r="MBO106" s="1"/>
      <c r="MBP106" s="1"/>
      <c r="MBQ106" s="1"/>
      <c r="MBR106" s="1"/>
      <c r="MBS106" s="1"/>
      <c r="MBT106" s="1"/>
      <c r="MBU106" s="1"/>
      <c r="MBV106" s="1"/>
      <c r="MBW106" s="1"/>
      <c r="MBX106" s="1"/>
      <c r="MBY106" s="1"/>
      <c r="MBZ106" s="1"/>
      <c r="MCA106" s="1"/>
      <c r="MCB106" s="1"/>
      <c r="MCC106" s="1"/>
      <c r="MCD106" s="1"/>
      <c r="MCE106" s="1"/>
      <c r="MCF106" s="1"/>
      <c r="MCG106" s="1"/>
      <c r="MCH106" s="1"/>
      <c r="MCI106" s="1"/>
      <c r="MCJ106" s="1"/>
      <c r="MCK106" s="1"/>
      <c r="MCL106" s="1"/>
      <c r="MCM106" s="1"/>
      <c r="MCN106" s="1"/>
      <c r="MCO106" s="1"/>
      <c r="MCP106" s="1"/>
      <c r="MCQ106" s="1"/>
      <c r="MCR106" s="1"/>
      <c r="MCS106" s="1"/>
      <c r="MCT106" s="1"/>
      <c r="MCU106" s="1"/>
      <c r="MCV106" s="1"/>
      <c r="MCW106" s="1"/>
      <c r="MCX106" s="1"/>
      <c r="MCY106" s="1"/>
      <c r="MCZ106" s="1"/>
      <c r="MDA106" s="1"/>
      <c r="MDB106" s="1"/>
      <c r="MDC106" s="1"/>
      <c r="MDD106" s="1"/>
      <c r="MDE106" s="1"/>
      <c r="MDF106" s="1"/>
      <c r="MDG106" s="1"/>
      <c r="MDH106" s="1"/>
      <c r="MDI106" s="1"/>
      <c r="MDJ106" s="1"/>
      <c r="MDK106" s="1"/>
      <c r="MDL106" s="1"/>
      <c r="MDM106" s="1"/>
      <c r="MDN106" s="1"/>
      <c r="MDO106" s="1"/>
      <c r="MDP106" s="1"/>
      <c r="MDQ106" s="1"/>
      <c r="MDR106" s="1"/>
      <c r="MDS106" s="1"/>
      <c r="MDT106" s="1"/>
      <c r="MDU106" s="1"/>
      <c r="MDV106" s="1"/>
      <c r="MDW106" s="1"/>
      <c r="MDX106" s="1"/>
      <c r="MDY106" s="1"/>
      <c r="MDZ106" s="1"/>
      <c r="MEA106" s="1"/>
      <c r="MEB106" s="1"/>
      <c r="MEC106" s="1"/>
      <c r="MED106" s="1"/>
      <c r="MEE106" s="1"/>
      <c r="MEF106" s="1"/>
      <c r="MEG106" s="1"/>
      <c r="MEH106" s="1"/>
      <c r="MEI106" s="1"/>
      <c r="MEJ106" s="1"/>
      <c r="MEK106" s="1"/>
      <c r="MEL106" s="1"/>
      <c r="MEM106" s="1"/>
      <c r="MEN106" s="1"/>
      <c r="MEO106" s="1"/>
      <c r="MEP106" s="1"/>
      <c r="MEQ106" s="1"/>
      <c r="MER106" s="1"/>
      <c r="MES106" s="1"/>
      <c r="MET106" s="1"/>
      <c r="MEU106" s="1"/>
      <c r="MEV106" s="1"/>
      <c r="MEW106" s="1"/>
      <c r="MEX106" s="1"/>
      <c r="MEY106" s="1"/>
      <c r="MEZ106" s="1"/>
      <c r="MFA106" s="1"/>
      <c r="MFB106" s="1"/>
      <c r="MFC106" s="1"/>
      <c r="MFD106" s="1"/>
      <c r="MFE106" s="1"/>
      <c r="MFF106" s="1"/>
      <c r="MFG106" s="1"/>
      <c r="MFH106" s="1"/>
      <c r="MFI106" s="1"/>
      <c r="MFJ106" s="1"/>
      <c r="MFK106" s="1"/>
      <c r="MFL106" s="1"/>
      <c r="MFM106" s="1"/>
      <c r="MFN106" s="1"/>
      <c r="MFO106" s="1"/>
      <c r="MFP106" s="1"/>
      <c r="MFQ106" s="1"/>
      <c r="MFR106" s="1"/>
      <c r="MFS106" s="1"/>
      <c r="MFT106" s="1"/>
      <c r="MFU106" s="1"/>
      <c r="MFV106" s="1"/>
      <c r="MFW106" s="1"/>
      <c r="MFX106" s="1"/>
      <c r="MFY106" s="1"/>
      <c r="MFZ106" s="1"/>
      <c r="MGA106" s="1"/>
      <c r="MGB106" s="1"/>
      <c r="MGC106" s="1"/>
      <c r="MGD106" s="1"/>
      <c r="MGE106" s="1"/>
      <c r="MGF106" s="1"/>
      <c r="MGG106" s="1"/>
      <c r="MGH106" s="1"/>
      <c r="MGI106" s="1"/>
      <c r="MGJ106" s="1"/>
      <c r="MGK106" s="1"/>
      <c r="MGL106" s="1"/>
      <c r="MGM106" s="1"/>
      <c r="MGN106" s="1"/>
      <c r="MGO106" s="1"/>
      <c r="MGP106" s="1"/>
      <c r="MGQ106" s="1"/>
      <c r="MGR106" s="1"/>
      <c r="MGS106" s="1"/>
      <c r="MGT106" s="1"/>
      <c r="MGU106" s="1"/>
      <c r="MGV106" s="1"/>
      <c r="MGW106" s="1"/>
      <c r="MGX106" s="1"/>
      <c r="MGY106" s="1"/>
      <c r="MGZ106" s="1"/>
      <c r="MHA106" s="1"/>
      <c r="MHB106" s="1"/>
      <c r="MHC106" s="1"/>
      <c r="MHD106" s="1"/>
      <c r="MHE106" s="1"/>
      <c r="MHF106" s="1"/>
      <c r="MHG106" s="1"/>
      <c r="MHH106" s="1"/>
      <c r="MHI106" s="1"/>
      <c r="MHJ106" s="1"/>
      <c r="MHK106" s="1"/>
      <c r="MHL106" s="1"/>
      <c r="MHM106" s="1"/>
      <c r="MHN106" s="1"/>
      <c r="MHO106" s="1"/>
      <c r="MHP106" s="1"/>
      <c r="MHQ106" s="1"/>
      <c r="MHR106" s="1"/>
      <c r="MHS106" s="1"/>
      <c r="MHT106" s="1"/>
      <c r="MHU106" s="1"/>
      <c r="MHV106" s="1"/>
      <c r="MHW106" s="1"/>
      <c r="MHX106" s="1"/>
      <c r="MHY106" s="1"/>
      <c r="MHZ106" s="1"/>
      <c r="MIA106" s="1"/>
      <c r="MIB106" s="1"/>
      <c r="MIC106" s="1"/>
      <c r="MID106" s="1"/>
      <c r="MIE106" s="1"/>
      <c r="MIF106" s="1"/>
      <c r="MIG106" s="1"/>
      <c r="MIH106" s="1"/>
      <c r="MII106" s="1"/>
      <c r="MIJ106" s="1"/>
      <c r="MIK106" s="1"/>
      <c r="MIL106" s="1"/>
      <c r="MIM106" s="1"/>
      <c r="MIN106" s="1"/>
      <c r="MIO106" s="1"/>
      <c r="MIP106" s="1"/>
      <c r="MIQ106" s="1"/>
      <c r="MIR106" s="1"/>
      <c r="MIS106" s="1"/>
      <c r="MIT106" s="1"/>
      <c r="MIU106" s="1"/>
      <c r="MIV106" s="1"/>
      <c r="MIW106" s="1"/>
      <c r="MIX106" s="1"/>
      <c r="MIY106" s="1"/>
      <c r="MIZ106" s="1"/>
      <c r="MJA106" s="1"/>
      <c r="MJB106" s="1"/>
      <c r="MJC106" s="1"/>
      <c r="MJD106" s="1"/>
      <c r="MJE106" s="1"/>
      <c r="MJF106" s="1"/>
      <c r="MJG106" s="1"/>
      <c r="MJH106" s="1"/>
      <c r="MJI106" s="1"/>
      <c r="MJJ106" s="1"/>
      <c r="MJK106" s="1"/>
      <c r="MJL106" s="1"/>
      <c r="MJM106" s="1"/>
      <c r="MJN106" s="1"/>
      <c r="MJO106" s="1"/>
      <c r="MJP106" s="1"/>
      <c r="MJQ106" s="1"/>
      <c r="MJR106" s="1"/>
      <c r="MJS106" s="1"/>
      <c r="MJT106" s="1"/>
      <c r="MJU106" s="1"/>
      <c r="MJV106" s="1"/>
      <c r="MJW106" s="1"/>
      <c r="MJX106" s="1"/>
      <c r="MJY106" s="1"/>
      <c r="MJZ106" s="1"/>
      <c r="MKA106" s="1"/>
      <c r="MKB106" s="1"/>
      <c r="MKC106" s="1"/>
      <c r="MKD106" s="1"/>
      <c r="MKE106" s="1"/>
      <c r="MKF106" s="1"/>
      <c r="MKG106" s="1"/>
      <c r="MKH106" s="1"/>
      <c r="MKI106" s="1"/>
      <c r="MKJ106" s="1"/>
      <c r="MKK106" s="1"/>
      <c r="MKL106" s="1"/>
      <c r="MKM106" s="1"/>
      <c r="MKN106" s="1"/>
      <c r="MKO106" s="1"/>
      <c r="MKP106" s="1"/>
      <c r="MKQ106" s="1"/>
      <c r="MKR106" s="1"/>
      <c r="MKS106" s="1"/>
      <c r="MKT106" s="1"/>
      <c r="MKU106" s="1"/>
      <c r="MKV106" s="1"/>
      <c r="MKW106" s="1"/>
      <c r="MKX106" s="1"/>
      <c r="MKY106" s="1"/>
      <c r="MKZ106" s="1"/>
      <c r="MLA106" s="1"/>
      <c r="MLB106" s="1"/>
      <c r="MLC106" s="1"/>
      <c r="MLD106" s="1"/>
      <c r="MLE106" s="1"/>
      <c r="MLF106" s="1"/>
      <c r="MLG106" s="1"/>
      <c r="MLH106" s="1"/>
      <c r="MLI106" s="1"/>
      <c r="MLJ106" s="1"/>
      <c r="MLK106" s="1"/>
      <c r="MLL106" s="1"/>
      <c r="MLM106" s="1"/>
      <c r="MLN106" s="1"/>
      <c r="MLO106" s="1"/>
      <c r="MLP106" s="1"/>
      <c r="MLQ106" s="1"/>
      <c r="MLR106" s="1"/>
      <c r="MLS106" s="1"/>
      <c r="MLT106" s="1"/>
      <c r="MLU106" s="1"/>
      <c r="MLV106" s="1"/>
      <c r="MLW106" s="1"/>
      <c r="MLX106" s="1"/>
      <c r="MLY106" s="1"/>
      <c r="MLZ106" s="1"/>
      <c r="MMA106" s="1"/>
      <c r="MMB106" s="1"/>
      <c r="MMC106" s="1"/>
      <c r="MMD106" s="1"/>
      <c r="MME106" s="1"/>
      <c r="MMF106" s="1"/>
      <c r="MMG106" s="1"/>
      <c r="MMH106" s="1"/>
      <c r="MMI106" s="1"/>
      <c r="MMJ106" s="1"/>
      <c r="MMK106" s="1"/>
      <c r="MML106" s="1"/>
      <c r="MMM106" s="1"/>
      <c r="MMN106" s="1"/>
      <c r="MMO106" s="1"/>
      <c r="MMP106" s="1"/>
      <c r="MMQ106" s="1"/>
      <c r="MMR106" s="1"/>
      <c r="MMS106" s="1"/>
      <c r="MMT106" s="1"/>
      <c r="MMU106" s="1"/>
      <c r="MMV106" s="1"/>
      <c r="MMW106" s="1"/>
      <c r="MMX106" s="1"/>
      <c r="MMY106" s="1"/>
      <c r="MMZ106" s="1"/>
      <c r="MNA106" s="1"/>
      <c r="MNB106" s="1"/>
      <c r="MNC106" s="1"/>
      <c r="MND106" s="1"/>
      <c r="MNE106" s="1"/>
      <c r="MNF106" s="1"/>
      <c r="MNG106" s="1"/>
      <c r="MNH106" s="1"/>
      <c r="MNI106" s="1"/>
      <c r="MNJ106" s="1"/>
      <c r="MNK106" s="1"/>
      <c r="MNL106" s="1"/>
      <c r="MNM106" s="1"/>
      <c r="MNN106" s="1"/>
      <c r="MNO106" s="1"/>
      <c r="MNP106" s="1"/>
      <c r="MNQ106" s="1"/>
      <c r="MNR106" s="1"/>
      <c r="MNS106" s="1"/>
      <c r="MNT106" s="1"/>
      <c r="MNU106" s="1"/>
      <c r="MNV106" s="1"/>
      <c r="MNW106" s="1"/>
      <c r="MNX106" s="1"/>
      <c r="MNY106" s="1"/>
      <c r="MNZ106" s="1"/>
      <c r="MOA106" s="1"/>
      <c r="MOB106" s="1"/>
      <c r="MOC106" s="1"/>
      <c r="MOD106" s="1"/>
      <c r="MOE106" s="1"/>
      <c r="MOF106" s="1"/>
      <c r="MOG106" s="1"/>
      <c r="MOH106" s="1"/>
      <c r="MOI106" s="1"/>
      <c r="MOJ106" s="1"/>
      <c r="MOK106" s="1"/>
      <c r="MOL106" s="1"/>
      <c r="MOM106" s="1"/>
      <c r="MON106" s="1"/>
      <c r="MOO106" s="1"/>
      <c r="MOP106" s="1"/>
      <c r="MOQ106" s="1"/>
      <c r="MOR106" s="1"/>
      <c r="MOS106" s="1"/>
      <c r="MOT106" s="1"/>
      <c r="MOU106" s="1"/>
      <c r="MOV106" s="1"/>
      <c r="MOW106" s="1"/>
      <c r="MOX106" s="1"/>
      <c r="MOY106" s="1"/>
      <c r="MOZ106" s="1"/>
      <c r="MPA106" s="1"/>
      <c r="MPB106" s="1"/>
      <c r="MPC106" s="1"/>
      <c r="MPD106" s="1"/>
      <c r="MPE106" s="1"/>
      <c r="MPF106" s="1"/>
      <c r="MPG106" s="1"/>
      <c r="MPH106" s="1"/>
      <c r="MPI106" s="1"/>
      <c r="MPJ106" s="1"/>
      <c r="MPK106" s="1"/>
      <c r="MPL106" s="1"/>
      <c r="MPM106" s="1"/>
      <c r="MPN106" s="1"/>
      <c r="MPO106" s="1"/>
      <c r="MPP106" s="1"/>
      <c r="MPQ106" s="1"/>
      <c r="MPR106" s="1"/>
      <c r="MPS106" s="1"/>
      <c r="MPT106" s="1"/>
      <c r="MPU106" s="1"/>
      <c r="MPV106" s="1"/>
      <c r="MPW106" s="1"/>
      <c r="MPX106" s="1"/>
      <c r="MPY106" s="1"/>
      <c r="MPZ106" s="1"/>
      <c r="MQA106" s="1"/>
      <c r="MQB106" s="1"/>
      <c r="MQC106" s="1"/>
      <c r="MQD106" s="1"/>
      <c r="MQE106" s="1"/>
      <c r="MQF106" s="1"/>
      <c r="MQG106" s="1"/>
      <c r="MQH106" s="1"/>
      <c r="MQI106" s="1"/>
      <c r="MQJ106" s="1"/>
      <c r="MQK106" s="1"/>
      <c r="MQL106" s="1"/>
      <c r="MQM106" s="1"/>
      <c r="MQN106" s="1"/>
      <c r="MQO106" s="1"/>
      <c r="MQP106" s="1"/>
      <c r="MQQ106" s="1"/>
      <c r="MQR106" s="1"/>
      <c r="MQS106" s="1"/>
      <c r="MQT106" s="1"/>
      <c r="MQU106" s="1"/>
      <c r="MQV106" s="1"/>
      <c r="MQW106" s="1"/>
      <c r="MQX106" s="1"/>
      <c r="MQY106" s="1"/>
      <c r="MQZ106" s="1"/>
      <c r="MRA106" s="1"/>
      <c r="MRB106" s="1"/>
      <c r="MRC106" s="1"/>
      <c r="MRD106" s="1"/>
      <c r="MRE106" s="1"/>
      <c r="MRF106" s="1"/>
      <c r="MRG106" s="1"/>
      <c r="MRH106" s="1"/>
      <c r="MRI106" s="1"/>
      <c r="MRJ106" s="1"/>
      <c r="MRK106" s="1"/>
      <c r="MRL106" s="1"/>
      <c r="MRM106" s="1"/>
      <c r="MRN106" s="1"/>
      <c r="MRO106" s="1"/>
      <c r="MRP106" s="1"/>
      <c r="MRQ106" s="1"/>
      <c r="MRR106" s="1"/>
      <c r="MRS106" s="1"/>
      <c r="MRT106" s="1"/>
      <c r="MRU106" s="1"/>
      <c r="MRV106" s="1"/>
      <c r="MRW106" s="1"/>
      <c r="MRX106" s="1"/>
      <c r="MRY106" s="1"/>
      <c r="MRZ106" s="1"/>
      <c r="MSA106" s="1"/>
      <c r="MSB106" s="1"/>
      <c r="MSC106" s="1"/>
      <c r="MSD106" s="1"/>
      <c r="MSE106" s="1"/>
      <c r="MSF106" s="1"/>
      <c r="MSG106" s="1"/>
      <c r="MSH106" s="1"/>
      <c r="MSI106" s="1"/>
      <c r="MSJ106" s="1"/>
      <c r="MSK106" s="1"/>
      <c r="MSL106" s="1"/>
      <c r="MSM106" s="1"/>
      <c r="MSN106" s="1"/>
      <c r="MSO106" s="1"/>
      <c r="MSP106" s="1"/>
      <c r="MSQ106" s="1"/>
      <c r="MSR106" s="1"/>
      <c r="MSS106" s="1"/>
      <c r="MST106" s="1"/>
      <c r="MSU106" s="1"/>
      <c r="MSV106" s="1"/>
      <c r="MSW106" s="1"/>
      <c r="MSX106" s="1"/>
      <c r="MSY106" s="1"/>
      <c r="MSZ106" s="1"/>
      <c r="MTA106" s="1"/>
      <c r="MTB106" s="1"/>
      <c r="MTC106" s="1"/>
      <c r="MTD106" s="1"/>
      <c r="MTE106" s="1"/>
      <c r="MTF106" s="1"/>
      <c r="MTG106" s="1"/>
      <c r="MTH106" s="1"/>
      <c r="MTI106" s="1"/>
      <c r="MTJ106" s="1"/>
      <c r="MTK106" s="1"/>
      <c r="MTL106" s="1"/>
      <c r="MTM106" s="1"/>
      <c r="MTN106" s="1"/>
      <c r="MTO106" s="1"/>
      <c r="MTP106" s="1"/>
      <c r="MTQ106" s="1"/>
      <c r="MTR106" s="1"/>
      <c r="MTS106" s="1"/>
      <c r="MTT106" s="1"/>
      <c r="MTU106" s="1"/>
      <c r="MTV106" s="1"/>
      <c r="MTW106" s="1"/>
      <c r="MTX106" s="1"/>
      <c r="MTY106" s="1"/>
      <c r="MTZ106" s="1"/>
      <c r="MUA106" s="1"/>
      <c r="MUB106" s="1"/>
      <c r="MUC106" s="1"/>
      <c r="MUD106" s="1"/>
      <c r="MUE106" s="1"/>
      <c r="MUF106" s="1"/>
      <c r="MUG106" s="1"/>
      <c r="MUH106" s="1"/>
      <c r="MUI106" s="1"/>
      <c r="MUJ106" s="1"/>
      <c r="MUK106" s="1"/>
      <c r="MUL106" s="1"/>
      <c r="MUM106" s="1"/>
      <c r="MUN106" s="1"/>
      <c r="MUO106" s="1"/>
      <c r="MUP106" s="1"/>
      <c r="MUQ106" s="1"/>
      <c r="MUR106" s="1"/>
      <c r="MUS106" s="1"/>
      <c r="MUT106" s="1"/>
      <c r="MUU106" s="1"/>
      <c r="MUV106" s="1"/>
      <c r="MUW106" s="1"/>
      <c r="MUX106" s="1"/>
      <c r="MUY106" s="1"/>
      <c r="MUZ106" s="1"/>
      <c r="MVA106" s="1"/>
      <c r="MVB106" s="1"/>
      <c r="MVC106" s="1"/>
      <c r="MVD106" s="1"/>
      <c r="MVE106" s="1"/>
      <c r="MVF106" s="1"/>
      <c r="MVG106" s="1"/>
      <c r="MVH106" s="1"/>
      <c r="MVI106" s="1"/>
      <c r="MVJ106" s="1"/>
      <c r="MVK106" s="1"/>
      <c r="MVL106" s="1"/>
      <c r="MVM106" s="1"/>
      <c r="MVN106" s="1"/>
      <c r="MVO106" s="1"/>
      <c r="MVP106" s="1"/>
      <c r="MVQ106" s="1"/>
      <c r="MVR106" s="1"/>
      <c r="MVS106" s="1"/>
      <c r="MVT106" s="1"/>
      <c r="MVU106" s="1"/>
      <c r="MVV106" s="1"/>
      <c r="MVW106" s="1"/>
      <c r="MVX106" s="1"/>
      <c r="MVY106" s="1"/>
      <c r="MVZ106" s="1"/>
      <c r="MWA106" s="1"/>
      <c r="MWB106" s="1"/>
      <c r="MWC106" s="1"/>
      <c r="MWD106" s="1"/>
      <c r="MWE106" s="1"/>
      <c r="MWF106" s="1"/>
      <c r="MWG106" s="1"/>
      <c r="MWH106" s="1"/>
      <c r="MWI106" s="1"/>
      <c r="MWJ106" s="1"/>
      <c r="MWK106" s="1"/>
      <c r="MWL106" s="1"/>
      <c r="MWM106" s="1"/>
      <c r="MWN106" s="1"/>
      <c r="MWO106" s="1"/>
      <c r="MWP106" s="1"/>
      <c r="MWQ106" s="1"/>
      <c r="MWR106" s="1"/>
      <c r="MWS106" s="1"/>
      <c r="MWT106" s="1"/>
      <c r="MWU106" s="1"/>
      <c r="MWV106" s="1"/>
      <c r="MWW106" s="1"/>
      <c r="MWX106" s="1"/>
      <c r="MWY106" s="1"/>
      <c r="MWZ106" s="1"/>
      <c r="MXA106" s="1"/>
      <c r="MXB106" s="1"/>
      <c r="MXC106" s="1"/>
      <c r="MXD106" s="1"/>
      <c r="MXE106" s="1"/>
      <c r="MXF106" s="1"/>
      <c r="MXG106" s="1"/>
      <c r="MXH106" s="1"/>
      <c r="MXI106" s="1"/>
      <c r="MXJ106" s="1"/>
      <c r="MXK106" s="1"/>
      <c r="MXL106" s="1"/>
      <c r="MXM106" s="1"/>
      <c r="MXN106" s="1"/>
      <c r="MXO106" s="1"/>
      <c r="MXP106" s="1"/>
      <c r="MXQ106" s="1"/>
      <c r="MXR106" s="1"/>
      <c r="MXS106" s="1"/>
      <c r="MXT106" s="1"/>
      <c r="MXU106" s="1"/>
      <c r="MXV106" s="1"/>
      <c r="MXW106" s="1"/>
      <c r="MXX106" s="1"/>
      <c r="MXY106" s="1"/>
      <c r="MXZ106" s="1"/>
      <c r="MYA106" s="1"/>
      <c r="MYB106" s="1"/>
      <c r="MYC106" s="1"/>
      <c r="MYD106" s="1"/>
      <c r="MYE106" s="1"/>
      <c r="MYF106" s="1"/>
      <c r="MYG106" s="1"/>
      <c r="MYH106" s="1"/>
      <c r="MYI106" s="1"/>
      <c r="MYJ106" s="1"/>
      <c r="MYK106" s="1"/>
      <c r="MYL106" s="1"/>
      <c r="MYM106" s="1"/>
      <c r="MYN106" s="1"/>
      <c r="MYO106" s="1"/>
      <c r="MYP106" s="1"/>
      <c r="MYQ106" s="1"/>
      <c r="MYR106" s="1"/>
      <c r="MYS106" s="1"/>
      <c r="MYT106" s="1"/>
      <c r="MYU106" s="1"/>
      <c r="MYV106" s="1"/>
      <c r="MYW106" s="1"/>
      <c r="MYX106" s="1"/>
      <c r="MYY106" s="1"/>
      <c r="MYZ106" s="1"/>
      <c r="MZA106" s="1"/>
      <c r="MZB106" s="1"/>
      <c r="MZC106" s="1"/>
      <c r="MZD106" s="1"/>
      <c r="MZE106" s="1"/>
      <c r="MZF106" s="1"/>
      <c r="MZG106" s="1"/>
      <c r="MZH106" s="1"/>
      <c r="MZI106" s="1"/>
      <c r="MZJ106" s="1"/>
      <c r="MZK106" s="1"/>
      <c r="MZL106" s="1"/>
      <c r="MZM106" s="1"/>
      <c r="MZN106" s="1"/>
      <c r="MZO106" s="1"/>
      <c r="MZP106" s="1"/>
      <c r="MZQ106" s="1"/>
      <c r="MZR106" s="1"/>
      <c r="MZS106" s="1"/>
      <c r="MZT106" s="1"/>
      <c r="MZU106" s="1"/>
      <c r="MZV106" s="1"/>
      <c r="MZW106" s="1"/>
      <c r="MZX106" s="1"/>
      <c r="MZY106" s="1"/>
      <c r="MZZ106" s="1"/>
      <c r="NAA106" s="1"/>
      <c r="NAB106" s="1"/>
      <c r="NAC106" s="1"/>
      <c r="NAD106" s="1"/>
      <c r="NAE106" s="1"/>
      <c r="NAF106" s="1"/>
      <c r="NAG106" s="1"/>
      <c r="NAH106" s="1"/>
      <c r="NAI106" s="1"/>
      <c r="NAJ106" s="1"/>
      <c r="NAK106" s="1"/>
      <c r="NAL106" s="1"/>
      <c r="NAM106" s="1"/>
      <c r="NAN106" s="1"/>
      <c r="NAO106" s="1"/>
      <c r="NAP106" s="1"/>
      <c r="NAQ106" s="1"/>
      <c r="NAR106" s="1"/>
      <c r="NAS106" s="1"/>
      <c r="NAT106" s="1"/>
      <c r="NAU106" s="1"/>
      <c r="NAV106" s="1"/>
      <c r="NAW106" s="1"/>
      <c r="NAX106" s="1"/>
      <c r="NAY106" s="1"/>
      <c r="NAZ106" s="1"/>
      <c r="NBA106" s="1"/>
      <c r="NBB106" s="1"/>
      <c r="NBC106" s="1"/>
      <c r="NBD106" s="1"/>
      <c r="NBE106" s="1"/>
      <c r="NBF106" s="1"/>
      <c r="NBG106" s="1"/>
      <c r="NBH106" s="1"/>
      <c r="NBI106" s="1"/>
      <c r="NBJ106" s="1"/>
      <c r="NBK106" s="1"/>
      <c r="NBL106" s="1"/>
      <c r="NBM106" s="1"/>
      <c r="NBN106" s="1"/>
      <c r="NBO106" s="1"/>
      <c r="NBP106" s="1"/>
      <c r="NBQ106" s="1"/>
      <c r="NBR106" s="1"/>
      <c r="NBS106" s="1"/>
      <c r="NBT106" s="1"/>
      <c r="NBU106" s="1"/>
      <c r="NBV106" s="1"/>
      <c r="NBW106" s="1"/>
      <c r="NBX106" s="1"/>
      <c r="NBY106" s="1"/>
      <c r="NBZ106" s="1"/>
      <c r="NCA106" s="1"/>
      <c r="NCB106" s="1"/>
      <c r="NCC106" s="1"/>
      <c r="NCD106" s="1"/>
      <c r="NCE106" s="1"/>
      <c r="NCF106" s="1"/>
      <c r="NCG106" s="1"/>
      <c r="NCH106" s="1"/>
      <c r="NCI106" s="1"/>
      <c r="NCJ106" s="1"/>
      <c r="NCK106" s="1"/>
      <c r="NCL106" s="1"/>
      <c r="NCM106" s="1"/>
      <c r="NCN106" s="1"/>
      <c r="NCO106" s="1"/>
      <c r="NCP106" s="1"/>
      <c r="NCQ106" s="1"/>
      <c r="NCR106" s="1"/>
      <c r="NCS106" s="1"/>
      <c r="NCT106" s="1"/>
      <c r="NCU106" s="1"/>
      <c r="NCV106" s="1"/>
      <c r="NCW106" s="1"/>
      <c r="NCX106" s="1"/>
      <c r="NCY106" s="1"/>
      <c r="NCZ106" s="1"/>
      <c r="NDA106" s="1"/>
      <c r="NDB106" s="1"/>
      <c r="NDC106" s="1"/>
      <c r="NDD106" s="1"/>
      <c r="NDE106" s="1"/>
      <c r="NDF106" s="1"/>
      <c r="NDG106" s="1"/>
      <c r="NDH106" s="1"/>
      <c r="NDI106" s="1"/>
      <c r="NDJ106" s="1"/>
      <c r="NDK106" s="1"/>
      <c r="NDL106" s="1"/>
      <c r="NDM106" s="1"/>
      <c r="NDN106" s="1"/>
      <c r="NDO106" s="1"/>
      <c r="NDP106" s="1"/>
      <c r="NDQ106" s="1"/>
      <c r="NDR106" s="1"/>
      <c r="NDS106" s="1"/>
      <c r="NDT106" s="1"/>
      <c r="NDU106" s="1"/>
      <c r="NDV106" s="1"/>
      <c r="NDW106" s="1"/>
      <c r="NDX106" s="1"/>
      <c r="NDY106" s="1"/>
      <c r="NDZ106" s="1"/>
      <c r="NEA106" s="1"/>
      <c r="NEB106" s="1"/>
      <c r="NEC106" s="1"/>
      <c r="NED106" s="1"/>
      <c r="NEE106" s="1"/>
      <c r="NEF106" s="1"/>
      <c r="NEG106" s="1"/>
      <c r="NEH106" s="1"/>
      <c r="NEI106" s="1"/>
      <c r="NEJ106" s="1"/>
      <c r="NEK106" s="1"/>
      <c r="NEL106" s="1"/>
      <c r="NEM106" s="1"/>
      <c r="NEN106" s="1"/>
      <c r="NEO106" s="1"/>
      <c r="NEP106" s="1"/>
      <c r="NEQ106" s="1"/>
      <c r="NER106" s="1"/>
      <c r="NES106" s="1"/>
      <c r="NET106" s="1"/>
      <c r="NEU106" s="1"/>
      <c r="NEV106" s="1"/>
      <c r="NEW106" s="1"/>
      <c r="NEX106" s="1"/>
      <c r="NEY106" s="1"/>
      <c r="NEZ106" s="1"/>
      <c r="NFA106" s="1"/>
      <c r="NFB106" s="1"/>
      <c r="NFC106" s="1"/>
      <c r="NFD106" s="1"/>
      <c r="NFE106" s="1"/>
      <c r="NFF106" s="1"/>
      <c r="NFG106" s="1"/>
      <c r="NFH106" s="1"/>
      <c r="NFI106" s="1"/>
      <c r="NFJ106" s="1"/>
      <c r="NFK106" s="1"/>
      <c r="NFL106" s="1"/>
      <c r="NFM106" s="1"/>
      <c r="NFN106" s="1"/>
      <c r="NFO106" s="1"/>
      <c r="NFP106" s="1"/>
      <c r="NFQ106" s="1"/>
      <c r="NFR106" s="1"/>
      <c r="NFS106" s="1"/>
      <c r="NFT106" s="1"/>
      <c r="NFU106" s="1"/>
      <c r="NFV106" s="1"/>
      <c r="NFW106" s="1"/>
      <c r="NFX106" s="1"/>
      <c r="NFY106" s="1"/>
      <c r="NFZ106" s="1"/>
      <c r="NGA106" s="1"/>
      <c r="NGB106" s="1"/>
      <c r="NGC106" s="1"/>
      <c r="NGD106" s="1"/>
      <c r="NGE106" s="1"/>
      <c r="NGF106" s="1"/>
      <c r="NGG106" s="1"/>
      <c r="NGH106" s="1"/>
      <c r="NGI106" s="1"/>
      <c r="NGJ106" s="1"/>
      <c r="NGK106" s="1"/>
      <c r="NGL106" s="1"/>
      <c r="NGM106" s="1"/>
      <c r="NGN106" s="1"/>
      <c r="NGO106" s="1"/>
      <c r="NGP106" s="1"/>
      <c r="NGQ106" s="1"/>
      <c r="NGR106" s="1"/>
      <c r="NGS106" s="1"/>
      <c r="NGT106" s="1"/>
      <c r="NGU106" s="1"/>
      <c r="NGV106" s="1"/>
      <c r="NGW106" s="1"/>
      <c r="NGX106" s="1"/>
      <c r="NGY106" s="1"/>
      <c r="NGZ106" s="1"/>
      <c r="NHA106" s="1"/>
      <c r="NHB106" s="1"/>
      <c r="NHC106" s="1"/>
      <c r="NHD106" s="1"/>
      <c r="NHE106" s="1"/>
      <c r="NHF106" s="1"/>
      <c r="NHG106" s="1"/>
      <c r="NHH106" s="1"/>
      <c r="NHI106" s="1"/>
      <c r="NHJ106" s="1"/>
      <c r="NHK106" s="1"/>
      <c r="NHL106" s="1"/>
      <c r="NHM106" s="1"/>
      <c r="NHN106" s="1"/>
      <c r="NHO106" s="1"/>
      <c r="NHP106" s="1"/>
      <c r="NHQ106" s="1"/>
      <c r="NHR106" s="1"/>
      <c r="NHS106" s="1"/>
      <c r="NHT106" s="1"/>
      <c r="NHU106" s="1"/>
      <c r="NHV106" s="1"/>
      <c r="NHW106" s="1"/>
      <c r="NHX106" s="1"/>
      <c r="NHY106" s="1"/>
      <c r="NHZ106" s="1"/>
      <c r="NIA106" s="1"/>
      <c r="NIB106" s="1"/>
      <c r="NIC106" s="1"/>
      <c r="NID106" s="1"/>
      <c r="NIE106" s="1"/>
      <c r="NIF106" s="1"/>
      <c r="NIG106" s="1"/>
      <c r="NIH106" s="1"/>
      <c r="NII106" s="1"/>
      <c r="NIJ106" s="1"/>
      <c r="NIK106" s="1"/>
      <c r="NIL106" s="1"/>
      <c r="NIM106" s="1"/>
      <c r="NIN106" s="1"/>
      <c r="NIO106" s="1"/>
      <c r="NIP106" s="1"/>
      <c r="NIQ106" s="1"/>
      <c r="NIR106" s="1"/>
      <c r="NIS106" s="1"/>
      <c r="NIT106" s="1"/>
      <c r="NIU106" s="1"/>
      <c r="NIV106" s="1"/>
      <c r="NIW106" s="1"/>
      <c r="NIX106" s="1"/>
      <c r="NIY106" s="1"/>
      <c r="NIZ106" s="1"/>
      <c r="NJA106" s="1"/>
      <c r="NJB106" s="1"/>
      <c r="NJC106" s="1"/>
      <c r="NJD106" s="1"/>
      <c r="NJE106" s="1"/>
      <c r="NJF106" s="1"/>
      <c r="NJG106" s="1"/>
      <c r="NJH106" s="1"/>
      <c r="NJI106" s="1"/>
      <c r="NJJ106" s="1"/>
      <c r="NJK106" s="1"/>
      <c r="NJL106" s="1"/>
      <c r="NJM106" s="1"/>
      <c r="NJN106" s="1"/>
      <c r="NJO106" s="1"/>
      <c r="NJP106" s="1"/>
      <c r="NJQ106" s="1"/>
      <c r="NJR106" s="1"/>
      <c r="NJS106" s="1"/>
      <c r="NJT106" s="1"/>
      <c r="NJU106" s="1"/>
      <c r="NJV106" s="1"/>
      <c r="NJW106" s="1"/>
      <c r="NJX106" s="1"/>
      <c r="NJY106" s="1"/>
      <c r="NJZ106" s="1"/>
      <c r="NKA106" s="1"/>
      <c r="NKB106" s="1"/>
      <c r="NKC106" s="1"/>
      <c r="NKD106" s="1"/>
      <c r="NKE106" s="1"/>
      <c r="NKF106" s="1"/>
      <c r="NKG106" s="1"/>
      <c r="NKH106" s="1"/>
      <c r="NKI106" s="1"/>
      <c r="NKJ106" s="1"/>
      <c r="NKK106" s="1"/>
      <c r="NKL106" s="1"/>
      <c r="NKM106" s="1"/>
      <c r="NKN106" s="1"/>
      <c r="NKO106" s="1"/>
      <c r="NKP106" s="1"/>
      <c r="NKQ106" s="1"/>
      <c r="NKR106" s="1"/>
      <c r="NKS106" s="1"/>
      <c r="NKT106" s="1"/>
      <c r="NKU106" s="1"/>
      <c r="NKV106" s="1"/>
      <c r="NKW106" s="1"/>
      <c r="NKX106" s="1"/>
      <c r="NKY106" s="1"/>
      <c r="NKZ106" s="1"/>
      <c r="NLA106" s="1"/>
      <c r="NLB106" s="1"/>
      <c r="NLC106" s="1"/>
      <c r="NLD106" s="1"/>
      <c r="NLE106" s="1"/>
      <c r="NLF106" s="1"/>
      <c r="NLG106" s="1"/>
      <c r="NLH106" s="1"/>
      <c r="NLI106" s="1"/>
      <c r="NLJ106" s="1"/>
      <c r="NLK106" s="1"/>
      <c r="NLL106" s="1"/>
      <c r="NLM106" s="1"/>
      <c r="NLN106" s="1"/>
      <c r="NLO106" s="1"/>
      <c r="NLP106" s="1"/>
      <c r="NLQ106" s="1"/>
      <c r="NLR106" s="1"/>
      <c r="NLS106" s="1"/>
      <c r="NLT106" s="1"/>
      <c r="NLU106" s="1"/>
      <c r="NLV106" s="1"/>
      <c r="NLW106" s="1"/>
      <c r="NLX106" s="1"/>
      <c r="NLY106" s="1"/>
      <c r="NLZ106" s="1"/>
      <c r="NMA106" s="1"/>
      <c r="NMB106" s="1"/>
      <c r="NMC106" s="1"/>
      <c r="NMD106" s="1"/>
      <c r="NME106" s="1"/>
      <c r="NMF106" s="1"/>
      <c r="NMG106" s="1"/>
      <c r="NMH106" s="1"/>
      <c r="NMI106" s="1"/>
      <c r="NMJ106" s="1"/>
      <c r="NMK106" s="1"/>
      <c r="NML106" s="1"/>
      <c r="NMM106" s="1"/>
      <c r="NMN106" s="1"/>
      <c r="NMO106" s="1"/>
      <c r="NMP106" s="1"/>
      <c r="NMQ106" s="1"/>
      <c r="NMR106" s="1"/>
      <c r="NMS106" s="1"/>
      <c r="NMT106" s="1"/>
      <c r="NMU106" s="1"/>
      <c r="NMV106" s="1"/>
      <c r="NMW106" s="1"/>
      <c r="NMX106" s="1"/>
      <c r="NMY106" s="1"/>
      <c r="NMZ106" s="1"/>
      <c r="NNA106" s="1"/>
      <c r="NNB106" s="1"/>
      <c r="NNC106" s="1"/>
      <c r="NND106" s="1"/>
      <c r="NNE106" s="1"/>
      <c r="NNF106" s="1"/>
      <c r="NNG106" s="1"/>
      <c r="NNH106" s="1"/>
      <c r="NNI106" s="1"/>
      <c r="NNJ106" s="1"/>
      <c r="NNK106" s="1"/>
      <c r="NNL106" s="1"/>
      <c r="NNM106" s="1"/>
      <c r="NNN106" s="1"/>
      <c r="NNO106" s="1"/>
      <c r="NNP106" s="1"/>
      <c r="NNQ106" s="1"/>
      <c r="NNR106" s="1"/>
      <c r="NNS106" s="1"/>
      <c r="NNT106" s="1"/>
      <c r="NNU106" s="1"/>
      <c r="NNV106" s="1"/>
      <c r="NNW106" s="1"/>
      <c r="NNX106" s="1"/>
      <c r="NNY106" s="1"/>
      <c r="NNZ106" s="1"/>
      <c r="NOA106" s="1"/>
      <c r="NOB106" s="1"/>
      <c r="NOC106" s="1"/>
      <c r="NOD106" s="1"/>
      <c r="NOE106" s="1"/>
      <c r="NOF106" s="1"/>
      <c r="NOG106" s="1"/>
      <c r="NOH106" s="1"/>
      <c r="NOI106" s="1"/>
      <c r="NOJ106" s="1"/>
      <c r="NOK106" s="1"/>
      <c r="NOL106" s="1"/>
      <c r="NOM106" s="1"/>
      <c r="NON106" s="1"/>
      <c r="NOO106" s="1"/>
      <c r="NOP106" s="1"/>
      <c r="NOQ106" s="1"/>
      <c r="NOR106" s="1"/>
      <c r="NOS106" s="1"/>
      <c r="NOT106" s="1"/>
      <c r="NOU106" s="1"/>
      <c r="NOV106" s="1"/>
      <c r="NOW106" s="1"/>
      <c r="NOX106" s="1"/>
      <c r="NOY106" s="1"/>
      <c r="NOZ106" s="1"/>
      <c r="NPA106" s="1"/>
      <c r="NPB106" s="1"/>
      <c r="NPC106" s="1"/>
      <c r="NPD106" s="1"/>
      <c r="NPE106" s="1"/>
      <c r="NPF106" s="1"/>
      <c r="NPG106" s="1"/>
      <c r="NPH106" s="1"/>
      <c r="NPI106" s="1"/>
      <c r="NPJ106" s="1"/>
      <c r="NPK106" s="1"/>
      <c r="NPL106" s="1"/>
      <c r="NPM106" s="1"/>
      <c r="NPN106" s="1"/>
      <c r="NPO106" s="1"/>
      <c r="NPP106" s="1"/>
      <c r="NPQ106" s="1"/>
      <c r="NPR106" s="1"/>
      <c r="NPS106" s="1"/>
      <c r="NPT106" s="1"/>
      <c r="NPU106" s="1"/>
      <c r="NPV106" s="1"/>
      <c r="NPW106" s="1"/>
      <c r="NPX106" s="1"/>
      <c r="NPY106" s="1"/>
      <c r="NPZ106" s="1"/>
      <c r="NQA106" s="1"/>
      <c r="NQB106" s="1"/>
      <c r="NQC106" s="1"/>
      <c r="NQD106" s="1"/>
      <c r="NQE106" s="1"/>
      <c r="NQF106" s="1"/>
      <c r="NQG106" s="1"/>
      <c r="NQH106" s="1"/>
      <c r="NQI106" s="1"/>
      <c r="NQJ106" s="1"/>
      <c r="NQK106" s="1"/>
      <c r="NQL106" s="1"/>
      <c r="NQM106" s="1"/>
      <c r="NQN106" s="1"/>
      <c r="NQO106" s="1"/>
      <c r="NQP106" s="1"/>
      <c r="NQQ106" s="1"/>
      <c r="NQR106" s="1"/>
      <c r="NQS106" s="1"/>
      <c r="NQT106" s="1"/>
      <c r="NQU106" s="1"/>
      <c r="NQV106" s="1"/>
      <c r="NQW106" s="1"/>
      <c r="NQX106" s="1"/>
      <c r="NQY106" s="1"/>
      <c r="NQZ106" s="1"/>
      <c r="NRA106" s="1"/>
      <c r="NRB106" s="1"/>
      <c r="NRC106" s="1"/>
      <c r="NRD106" s="1"/>
      <c r="NRE106" s="1"/>
      <c r="NRF106" s="1"/>
      <c r="NRG106" s="1"/>
      <c r="NRH106" s="1"/>
      <c r="NRI106" s="1"/>
      <c r="NRJ106" s="1"/>
      <c r="NRK106" s="1"/>
      <c r="NRL106" s="1"/>
      <c r="NRM106" s="1"/>
      <c r="NRN106" s="1"/>
      <c r="NRO106" s="1"/>
      <c r="NRP106" s="1"/>
      <c r="NRQ106" s="1"/>
      <c r="NRR106" s="1"/>
      <c r="NRS106" s="1"/>
      <c r="NRT106" s="1"/>
      <c r="NRU106" s="1"/>
      <c r="NRV106" s="1"/>
      <c r="NRW106" s="1"/>
      <c r="NRX106" s="1"/>
      <c r="NRY106" s="1"/>
      <c r="NRZ106" s="1"/>
      <c r="NSA106" s="1"/>
      <c r="NSB106" s="1"/>
      <c r="NSC106" s="1"/>
      <c r="NSD106" s="1"/>
      <c r="NSE106" s="1"/>
      <c r="NSF106" s="1"/>
      <c r="NSG106" s="1"/>
      <c r="NSH106" s="1"/>
      <c r="NSI106" s="1"/>
      <c r="NSJ106" s="1"/>
      <c r="NSK106" s="1"/>
      <c r="NSL106" s="1"/>
      <c r="NSM106" s="1"/>
      <c r="NSN106" s="1"/>
      <c r="NSO106" s="1"/>
      <c r="NSP106" s="1"/>
      <c r="NSQ106" s="1"/>
      <c r="NSR106" s="1"/>
      <c r="NSS106" s="1"/>
      <c r="NST106" s="1"/>
      <c r="NSU106" s="1"/>
      <c r="NSV106" s="1"/>
      <c r="NSW106" s="1"/>
      <c r="NSX106" s="1"/>
      <c r="NSY106" s="1"/>
      <c r="NSZ106" s="1"/>
      <c r="NTA106" s="1"/>
      <c r="NTB106" s="1"/>
      <c r="NTC106" s="1"/>
      <c r="NTD106" s="1"/>
      <c r="NTE106" s="1"/>
      <c r="NTF106" s="1"/>
      <c r="NTG106" s="1"/>
      <c r="NTH106" s="1"/>
      <c r="NTI106" s="1"/>
      <c r="NTJ106" s="1"/>
      <c r="NTK106" s="1"/>
      <c r="NTL106" s="1"/>
      <c r="NTM106" s="1"/>
      <c r="NTN106" s="1"/>
      <c r="NTO106" s="1"/>
      <c r="NTP106" s="1"/>
      <c r="NTQ106" s="1"/>
      <c r="NTR106" s="1"/>
      <c r="NTS106" s="1"/>
      <c r="NTT106" s="1"/>
      <c r="NTU106" s="1"/>
      <c r="NTV106" s="1"/>
      <c r="NTW106" s="1"/>
      <c r="NTX106" s="1"/>
      <c r="NTY106" s="1"/>
      <c r="NTZ106" s="1"/>
      <c r="NUA106" s="1"/>
      <c r="NUB106" s="1"/>
      <c r="NUC106" s="1"/>
      <c r="NUD106" s="1"/>
      <c r="NUE106" s="1"/>
      <c r="NUF106" s="1"/>
      <c r="NUG106" s="1"/>
      <c r="NUH106" s="1"/>
      <c r="NUI106" s="1"/>
      <c r="NUJ106" s="1"/>
      <c r="NUK106" s="1"/>
      <c r="NUL106" s="1"/>
      <c r="NUM106" s="1"/>
      <c r="NUN106" s="1"/>
      <c r="NUO106" s="1"/>
      <c r="NUP106" s="1"/>
      <c r="NUQ106" s="1"/>
      <c r="NUR106" s="1"/>
      <c r="NUS106" s="1"/>
      <c r="NUT106" s="1"/>
      <c r="NUU106" s="1"/>
      <c r="NUV106" s="1"/>
      <c r="NUW106" s="1"/>
      <c r="NUX106" s="1"/>
      <c r="NUY106" s="1"/>
      <c r="NUZ106" s="1"/>
      <c r="NVA106" s="1"/>
      <c r="NVB106" s="1"/>
      <c r="NVC106" s="1"/>
      <c r="NVD106" s="1"/>
      <c r="NVE106" s="1"/>
      <c r="NVF106" s="1"/>
      <c r="NVG106" s="1"/>
      <c r="NVH106" s="1"/>
      <c r="NVI106" s="1"/>
      <c r="NVJ106" s="1"/>
      <c r="NVK106" s="1"/>
      <c r="NVL106" s="1"/>
      <c r="NVM106" s="1"/>
      <c r="NVN106" s="1"/>
      <c r="NVO106" s="1"/>
      <c r="NVP106" s="1"/>
      <c r="NVQ106" s="1"/>
      <c r="NVR106" s="1"/>
      <c r="NVS106" s="1"/>
      <c r="NVT106" s="1"/>
      <c r="NVU106" s="1"/>
      <c r="NVV106" s="1"/>
      <c r="NVW106" s="1"/>
      <c r="NVX106" s="1"/>
      <c r="NVY106" s="1"/>
      <c r="NVZ106" s="1"/>
      <c r="NWA106" s="1"/>
      <c r="NWB106" s="1"/>
      <c r="NWC106" s="1"/>
      <c r="NWD106" s="1"/>
      <c r="NWE106" s="1"/>
      <c r="NWF106" s="1"/>
      <c r="NWG106" s="1"/>
      <c r="NWH106" s="1"/>
      <c r="NWI106" s="1"/>
      <c r="NWJ106" s="1"/>
      <c r="NWK106" s="1"/>
      <c r="NWL106" s="1"/>
      <c r="NWM106" s="1"/>
      <c r="NWN106" s="1"/>
      <c r="NWO106" s="1"/>
      <c r="NWP106" s="1"/>
      <c r="NWQ106" s="1"/>
      <c r="NWR106" s="1"/>
      <c r="NWS106" s="1"/>
      <c r="NWT106" s="1"/>
      <c r="NWU106" s="1"/>
      <c r="NWV106" s="1"/>
      <c r="NWW106" s="1"/>
      <c r="NWX106" s="1"/>
      <c r="NWY106" s="1"/>
      <c r="NWZ106" s="1"/>
      <c r="NXA106" s="1"/>
      <c r="NXB106" s="1"/>
      <c r="NXC106" s="1"/>
      <c r="NXD106" s="1"/>
      <c r="NXE106" s="1"/>
      <c r="NXF106" s="1"/>
      <c r="NXG106" s="1"/>
      <c r="NXH106" s="1"/>
      <c r="NXI106" s="1"/>
      <c r="NXJ106" s="1"/>
      <c r="NXK106" s="1"/>
      <c r="NXL106" s="1"/>
      <c r="NXM106" s="1"/>
      <c r="NXN106" s="1"/>
      <c r="NXO106" s="1"/>
      <c r="NXP106" s="1"/>
      <c r="NXQ106" s="1"/>
      <c r="NXR106" s="1"/>
      <c r="NXS106" s="1"/>
      <c r="NXT106" s="1"/>
      <c r="NXU106" s="1"/>
      <c r="NXV106" s="1"/>
      <c r="NXW106" s="1"/>
      <c r="NXX106" s="1"/>
      <c r="NXY106" s="1"/>
      <c r="NXZ106" s="1"/>
      <c r="NYA106" s="1"/>
      <c r="NYB106" s="1"/>
      <c r="NYC106" s="1"/>
      <c r="NYD106" s="1"/>
      <c r="NYE106" s="1"/>
      <c r="NYF106" s="1"/>
      <c r="NYG106" s="1"/>
      <c r="NYH106" s="1"/>
      <c r="NYI106" s="1"/>
      <c r="NYJ106" s="1"/>
      <c r="NYK106" s="1"/>
      <c r="NYL106" s="1"/>
      <c r="NYM106" s="1"/>
      <c r="NYN106" s="1"/>
      <c r="NYO106" s="1"/>
      <c r="NYP106" s="1"/>
      <c r="NYQ106" s="1"/>
      <c r="NYR106" s="1"/>
      <c r="NYS106" s="1"/>
      <c r="NYT106" s="1"/>
      <c r="NYU106" s="1"/>
      <c r="NYV106" s="1"/>
      <c r="NYW106" s="1"/>
      <c r="NYX106" s="1"/>
      <c r="NYY106" s="1"/>
      <c r="NYZ106" s="1"/>
      <c r="NZA106" s="1"/>
      <c r="NZB106" s="1"/>
      <c r="NZC106" s="1"/>
      <c r="NZD106" s="1"/>
      <c r="NZE106" s="1"/>
      <c r="NZF106" s="1"/>
      <c r="NZG106" s="1"/>
      <c r="NZH106" s="1"/>
      <c r="NZI106" s="1"/>
      <c r="NZJ106" s="1"/>
      <c r="NZK106" s="1"/>
      <c r="NZL106" s="1"/>
      <c r="NZM106" s="1"/>
      <c r="NZN106" s="1"/>
      <c r="NZO106" s="1"/>
      <c r="NZP106" s="1"/>
      <c r="NZQ106" s="1"/>
      <c r="NZR106" s="1"/>
      <c r="NZS106" s="1"/>
      <c r="NZT106" s="1"/>
      <c r="NZU106" s="1"/>
      <c r="NZV106" s="1"/>
      <c r="NZW106" s="1"/>
      <c r="NZX106" s="1"/>
      <c r="NZY106" s="1"/>
      <c r="NZZ106" s="1"/>
      <c r="OAA106" s="1"/>
      <c r="OAB106" s="1"/>
      <c r="OAC106" s="1"/>
      <c r="OAD106" s="1"/>
      <c r="OAE106" s="1"/>
      <c r="OAF106" s="1"/>
      <c r="OAG106" s="1"/>
      <c r="OAH106" s="1"/>
      <c r="OAI106" s="1"/>
      <c r="OAJ106" s="1"/>
      <c r="OAK106" s="1"/>
      <c r="OAL106" s="1"/>
      <c r="OAM106" s="1"/>
      <c r="OAN106" s="1"/>
      <c r="OAO106" s="1"/>
      <c r="OAP106" s="1"/>
      <c r="OAQ106" s="1"/>
      <c r="OAR106" s="1"/>
      <c r="OAS106" s="1"/>
      <c r="OAT106" s="1"/>
      <c r="OAU106" s="1"/>
      <c r="OAV106" s="1"/>
      <c r="OAW106" s="1"/>
      <c r="OAX106" s="1"/>
      <c r="OAY106" s="1"/>
      <c r="OAZ106" s="1"/>
      <c r="OBA106" s="1"/>
      <c r="OBB106" s="1"/>
      <c r="OBC106" s="1"/>
      <c r="OBD106" s="1"/>
      <c r="OBE106" s="1"/>
      <c r="OBF106" s="1"/>
      <c r="OBG106" s="1"/>
      <c r="OBH106" s="1"/>
      <c r="OBI106" s="1"/>
      <c r="OBJ106" s="1"/>
      <c r="OBK106" s="1"/>
      <c r="OBL106" s="1"/>
      <c r="OBM106" s="1"/>
      <c r="OBN106" s="1"/>
      <c r="OBO106" s="1"/>
      <c r="OBP106" s="1"/>
      <c r="OBQ106" s="1"/>
      <c r="OBR106" s="1"/>
      <c r="OBS106" s="1"/>
      <c r="OBT106" s="1"/>
      <c r="OBU106" s="1"/>
      <c r="OBV106" s="1"/>
      <c r="OBW106" s="1"/>
      <c r="OBX106" s="1"/>
      <c r="OBY106" s="1"/>
      <c r="OBZ106" s="1"/>
      <c r="OCA106" s="1"/>
      <c r="OCB106" s="1"/>
      <c r="OCC106" s="1"/>
      <c r="OCD106" s="1"/>
      <c r="OCE106" s="1"/>
      <c r="OCF106" s="1"/>
      <c r="OCG106" s="1"/>
      <c r="OCH106" s="1"/>
      <c r="OCI106" s="1"/>
      <c r="OCJ106" s="1"/>
      <c r="OCK106" s="1"/>
      <c r="OCL106" s="1"/>
      <c r="OCM106" s="1"/>
      <c r="OCN106" s="1"/>
      <c r="OCO106" s="1"/>
      <c r="OCP106" s="1"/>
      <c r="OCQ106" s="1"/>
      <c r="OCR106" s="1"/>
      <c r="OCS106" s="1"/>
      <c r="OCT106" s="1"/>
      <c r="OCU106" s="1"/>
      <c r="OCV106" s="1"/>
      <c r="OCW106" s="1"/>
      <c r="OCX106" s="1"/>
      <c r="OCY106" s="1"/>
      <c r="OCZ106" s="1"/>
      <c r="ODA106" s="1"/>
      <c r="ODB106" s="1"/>
      <c r="ODC106" s="1"/>
      <c r="ODD106" s="1"/>
      <c r="ODE106" s="1"/>
      <c r="ODF106" s="1"/>
      <c r="ODG106" s="1"/>
      <c r="ODH106" s="1"/>
      <c r="ODI106" s="1"/>
      <c r="ODJ106" s="1"/>
      <c r="ODK106" s="1"/>
      <c r="ODL106" s="1"/>
      <c r="ODM106" s="1"/>
      <c r="ODN106" s="1"/>
      <c r="ODO106" s="1"/>
      <c r="ODP106" s="1"/>
      <c r="ODQ106" s="1"/>
      <c r="ODR106" s="1"/>
      <c r="ODS106" s="1"/>
      <c r="ODT106" s="1"/>
      <c r="ODU106" s="1"/>
      <c r="ODV106" s="1"/>
      <c r="ODW106" s="1"/>
      <c r="ODX106" s="1"/>
      <c r="ODY106" s="1"/>
      <c r="ODZ106" s="1"/>
      <c r="OEA106" s="1"/>
      <c r="OEB106" s="1"/>
      <c r="OEC106" s="1"/>
      <c r="OED106" s="1"/>
      <c r="OEE106" s="1"/>
      <c r="OEF106" s="1"/>
      <c r="OEG106" s="1"/>
      <c r="OEH106" s="1"/>
      <c r="OEI106" s="1"/>
      <c r="OEJ106" s="1"/>
      <c r="OEK106" s="1"/>
      <c r="OEL106" s="1"/>
      <c r="OEM106" s="1"/>
      <c r="OEN106" s="1"/>
      <c r="OEO106" s="1"/>
      <c r="OEP106" s="1"/>
      <c r="OEQ106" s="1"/>
      <c r="OER106" s="1"/>
      <c r="OES106" s="1"/>
      <c r="OET106" s="1"/>
      <c r="OEU106" s="1"/>
      <c r="OEV106" s="1"/>
      <c r="OEW106" s="1"/>
      <c r="OEX106" s="1"/>
      <c r="OEY106" s="1"/>
      <c r="OEZ106" s="1"/>
      <c r="OFA106" s="1"/>
      <c r="OFB106" s="1"/>
      <c r="OFC106" s="1"/>
      <c r="OFD106" s="1"/>
      <c r="OFE106" s="1"/>
      <c r="OFF106" s="1"/>
      <c r="OFG106" s="1"/>
      <c r="OFH106" s="1"/>
      <c r="OFI106" s="1"/>
      <c r="OFJ106" s="1"/>
      <c r="OFK106" s="1"/>
      <c r="OFL106" s="1"/>
      <c r="OFM106" s="1"/>
      <c r="OFN106" s="1"/>
      <c r="OFO106" s="1"/>
      <c r="OFP106" s="1"/>
      <c r="OFQ106" s="1"/>
      <c r="OFR106" s="1"/>
      <c r="OFS106" s="1"/>
      <c r="OFT106" s="1"/>
      <c r="OFU106" s="1"/>
      <c r="OFV106" s="1"/>
      <c r="OFW106" s="1"/>
      <c r="OFX106" s="1"/>
      <c r="OFY106" s="1"/>
      <c r="OFZ106" s="1"/>
      <c r="OGA106" s="1"/>
      <c r="OGB106" s="1"/>
      <c r="OGC106" s="1"/>
      <c r="OGD106" s="1"/>
      <c r="OGE106" s="1"/>
      <c r="OGF106" s="1"/>
      <c r="OGG106" s="1"/>
      <c r="OGH106" s="1"/>
      <c r="OGI106" s="1"/>
      <c r="OGJ106" s="1"/>
      <c r="OGK106" s="1"/>
      <c r="OGL106" s="1"/>
      <c r="OGM106" s="1"/>
      <c r="OGN106" s="1"/>
      <c r="OGO106" s="1"/>
      <c r="OGP106" s="1"/>
      <c r="OGQ106" s="1"/>
      <c r="OGR106" s="1"/>
      <c r="OGS106" s="1"/>
      <c r="OGT106" s="1"/>
      <c r="OGU106" s="1"/>
      <c r="OGV106" s="1"/>
      <c r="OGW106" s="1"/>
      <c r="OGX106" s="1"/>
      <c r="OGY106" s="1"/>
      <c r="OGZ106" s="1"/>
      <c r="OHA106" s="1"/>
      <c r="OHB106" s="1"/>
      <c r="OHC106" s="1"/>
      <c r="OHD106" s="1"/>
      <c r="OHE106" s="1"/>
      <c r="OHF106" s="1"/>
      <c r="OHG106" s="1"/>
      <c r="OHH106" s="1"/>
      <c r="OHI106" s="1"/>
      <c r="OHJ106" s="1"/>
      <c r="OHK106" s="1"/>
      <c r="OHL106" s="1"/>
      <c r="OHM106" s="1"/>
      <c r="OHN106" s="1"/>
      <c r="OHO106" s="1"/>
      <c r="OHP106" s="1"/>
      <c r="OHQ106" s="1"/>
      <c r="OHR106" s="1"/>
      <c r="OHS106" s="1"/>
      <c r="OHT106" s="1"/>
      <c r="OHU106" s="1"/>
      <c r="OHV106" s="1"/>
      <c r="OHW106" s="1"/>
      <c r="OHX106" s="1"/>
      <c r="OHY106" s="1"/>
      <c r="OHZ106" s="1"/>
      <c r="OIA106" s="1"/>
      <c r="OIB106" s="1"/>
      <c r="OIC106" s="1"/>
      <c r="OID106" s="1"/>
      <c r="OIE106" s="1"/>
      <c r="OIF106" s="1"/>
      <c r="OIG106" s="1"/>
      <c r="OIH106" s="1"/>
      <c r="OII106" s="1"/>
      <c r="OIJ106" s="1"/>
      <c r="OIK106" s="1"/>
      <c r="OIL106" s="1"/>
      <c r="OIM106" s="1"/>
      <c r="OIN106" s="1"/>
      <c r="OIO106" s="1"/>
      <c r="OIP106" s="1"/>
      <c r="OIQ106" s="1"/>
      <c r="OIR106" s="1"/>
      <c r="OIS106" s="1"/>
      <c r="OIT106" s="1"/>
      <c r="OIU106" s="1"/>
      <c r="OIV106" s="1"/>
      <c r="OIW106" s="1"/>
      <c r="OIX106" s="1"/>
      <c r="OIY106" s="1"/>
      <c r="OIZ106" s="1"/>
      <c r="OJA106" s="1"/>
      <c r="OJB106" s="1"/>
      <c r="OJC106" s="1"/>
      <c r="OJD106" s="1"/>
      <c r="OJE106" s="1"/>
      <c r="OJF106" s="1"/>
      <c r="OJG106" s="1"/>
      <c r="OJH106" s="1"/>
      <c r="OJI106" s="1"/>
      <c r="OJJ106" s="1"/>
      <c r="OJK106" s="1"/>
      <c r="OJL106" s="1"/>
      <c r="OJM106" s="1"/>
      <c r="OJN106" s="1"/>
      <c r="OJO106" s="1"/>
      <c r="OJP106" s="1"/>
      <c r="OJQ106" s="1"/>
      <c r="OJR106" s="1"/>
      <c r="OJS106" s="1"/>
      <c r="OJT106" s="1"/>
      <c r="OJU106" s="1"/>
      <c r="OJV106" s="1"/>
      <c r="OJW106" s="1"/>
      <c r="OJX106" s="1"/>
      <c r="OJY106" s="1"/>
      <c r="OJZ106" s="1"/>
      <c r="OKA106" s="1"/>
      <c r="OKB106" s="1"/>
      <c r="OKC106" s="1"/>
      <c r="OKD106" s="1"/>
      <c r="OKE106" s="1"/>
      <c r="OKF106" s="1"/>
      <c r="OKG106" s="1"/>
      <c r="OKH106" s="1"/>
      <c r="OKI106" s="1"/>
      <c r="OKJ106" s="1"/>
      <c r="OKK106" s="1"/>
      <c r="OKL106" s="1"/>
      <c r="OKM106" s="1"/>
      <c r="OKN106" s="1"/>
      <c r="OKO106" s="1"/>
      <c r="OKP106" s="1"/>
      <c r="OKQ106" s="1"/>
      <c r="OKR106" s="1"/>
      <c r="OKS106" s="1"/>
      <c r="OKT106" s="1"/>
      <c r="OKU106" s="1"/>
      <c r="OKV106" s="1"/>
      <c r="OKW106" s="1"/>
      <c r="OKX106" s="1"/>
      <c r="OKY106" s="1"/>
      <c r="OKZ106" s="1"/>
      <c r="OLA106" s="1"/>
      <c r="OLB106" s="1"/>
      <c r="OLC106" s="1"/>
      <c r="OLD106" s="1"/>
      <c r="OLE106" s="1"/>
      <c r="OLF106" s="1"/>
      <c r="OLG106" s="1"/>
      <c r="OLH106" s="1"/>
      <c r="OLI106" s="1"/>
      <c r="OLJ106" s="1"/>
      <c r="OLK106" s="1"/>
      <c r="OLL106" s="1"/>
      <c r="OLM106" s="1"/>
      <c r="OLN106" s="1"/>
      <c r="OLO106" s="1"/>
      <c r="OLP106" s="1"/>
      <c r="OLQ106" s="1"/>
      <c r="OLR106" s="1"/>
      <c r="OLS106" s="1"/>
      <c r="OLT106" s="1"/>
      <c r="OLU106" s="1"/>
      <c r="OLV106" s="1"/>
      <c r="OLW106" s="1"/>
      <c r="OLX106" s="1"/>
      <c r="OLY106" s="1"/>
      <c r="OLZ106" s="1"/>
      <c r="OMA106" s="1"/>
      <c r="OMB106" s="1"/>
      <c r="OMC106" s="1"/>
      <c r="OMD106" s="1"/>
      <c r="OME106" s="1"/>
      <c r="OMF106" s="1"/>
      <c r="OMG106" s="1"/>
      <c r="OMH106" s="1"/>
      <c r="OMI106" s="1"/>
      <c r="OMJ106" s="1"/>
      <c r="OMK106" s="1"/>
      <c r="OML106" s="1"/>
      <c r="OMM106" s="1"/>
      <c r="OMN106" s="1"/>
      <c r="OMO106" s="1"/>
      <c r="OMP106" s="1"/>
      <c r="OMQ106" s="1"/>
      <c r="OMR106" s="1"/>
      <c r="OMS106" s="1"/>
      <c r="OMT106" s="1"/>
      <c r="OMU106" s="1"/>
      <c r="OMV106" s="1"/>
      <c r="OMW106" s="1"/>
      <c r="OMX106" s="1"/>
      <c r="OMY106" s="1"/>
      <c r="OMZ106" s="1"/>
      <c r="ONA106" s="1"/>
      <c r="ONB106" s="1"/>
      <c r="ONC106" s="1"/>
      <c r="OND106" s="1"/>
      <c r="ONE106" s="1"/>
      <c r="ONF106" s="1"/>
      <c r="ONG106" s="1"/>
      <c r="ONH106" s="1"/>
      <c r="ONI106" s="1"/>
      <c r="ONJ106" s="1"/>
      <c r="ONK106" s="1"/>
      <c r="ONL106" s="1"/>
      <c r="ONM106" s="1"/>
      <c r="ONN106" s="1"/>
      <c r="ONO106" s="1"/>
      <c r="ONP106" s="1"/>
      <c r="ONQ106" s="1"/>
      <c r="ONR106" s="1"/>
      <c r="ONS106" s="1"/>
      <c r="ONT106" s="1"/>
      <c r="ONU106" s="1"/>
      <c r="ONV106" s="1"/>
      <c r="ONW106" s="1"/>
      <c r="ONX106" s="1"/>
      <c r="ONY106" s="1"/>
      <c r="ONZ106" s="1"/>
      <c r="OOA106" s="1"/>
      <c r="OOB106" s="1"/>
      <c r="OOC106" s="1"/>
      <c r="OOD106" s="1"/>
      <c r="OOE106" s="1"/>
      <c r="OOF106" s="1"/>
      <c r="OOG106" s="1"/>
      <c r="OOH106" s="1"/>
      <c r="OOI106" s="1"/>
      <c r="OOJ106" s="1"/>
      <c r="OOK106" s="1"/>
      <c r="OOL106" s="1"/>
      <c r="OOM106" s="1"/>
      <c r="OON106" s="1"/>
      <c r="OOO106" s="1"/>
      <c r="OOP106" s="1"/>
      <c r="OOQ106" s="1"/>
      <c r="OOR106" s="1"/>
      <c r="OOS106" s="1"/>
      <c r="OOT106" s="1"/>
      <c r="OOU106" s="1"/>
      <c r="OOV106" s="1"/>
      <c r="OOW106" s="1"/>
      <c r="OOX106" s="1"/>
      <c r="OOY106" s="1"/>
      <c r="OOZ106" s="1"/>
      <c r="OPA106" s="1"/>
      <c r="OPB106" s="1"/>
      <c r="OPC106" s="1"/>
      <c r="OPD106" s="1"/>
      <c r="OPE106" s="1"/>
      <c r="OPF106" s="1"/>
      <c r="OPG106" s="1"/>
      <c r="OPH106" s="1"/>
      <c r="OPI106" s="1"/>
      <c r="OPJ106" s="1"/>
      <c r="OPK106" s="1"/>
      <c r="OPL106" s="1"/>
      <c r="OPM106" s="1"/>
      <c r="OPN106" s="1"/>
      <c r="OPO106" s="1"/>
      <c r="OPP106" s="1"/>
      <c r="OPQ106" s="1"/>
      <c r="OPR106" s="1"/>
      <c r="OPS106" s="1"/>
      <c r="OPT106" s="1"/>
      <c r="OPU106" s="1"/>
      <c r="OPV106" s="1"/>
      <c r="OPW106" s="1"/>
      <c r="OPX106" s="1"/>
      <c r="OPY106" s="1"/>
      <c r="OPZ106" s="1"/>
      <c r="OQA106" s="1"/>
      <c r="OQB106" s="1"/>
      <c r="OQC106" s="1"/>
      <c r="OQD106" s="1"/>
      <c r="OQE106" s="1"/>
      <c r="OQF106" s="1"/>
      <c r="OQG106" s="1"/>
      <c r="OQH106" s="1"/>
      <c r="OQI106" s="1"/>
      <c r="OQJ106" s="1"/>
      <c r="OQK106" s="1"/>
      <c r="OQL106" s="1"/>
      <c r="OQM106" s="1"/>
      <c r="OQN106" s="1"/>
      <c r="OQO106" s="1"/>
      <c r="OQP106" s="1"/>
      <c r="OQQ106" s="1"/>
      <c r="OQR106" s="1"/>
      <c r="OQS106" s="1"/>
      <c r="OQT106" s="1"/>
      <c r="OQU106" s="1"/>
      <c r="OQV106" s="1"/>
      <c r="OQW106" s="1"/>
      <c r="OQX106" s="1"/>
      <c r="OQY106" s="1"/>
      <c r="OQZ106" s="1"/>
      <c r="ORA106" s="1"/>
      <c r="ORB106" s="1"/>
      <c r="ORC106" s="1"/>
      <c r="ORD106" s="1"/>
      <c r="ORE106" s="1"/>
      <c r="ORF106" s="1"/>
      <c r="ORG106" s="1"/>
      <c r="ORH106" s="1"/>
      <c r="ORI106" s="1"/>
      <c r="ORJ106" s="1"/>
      <c r="ORK106" s="1"/>
      <c r="ORL106" s="1"/>
      <c r="ORM106" s="1"/>
      <c r="ORN106" s="1"/>
      <c r="ORO106" s="1"/>
      <c r="ORP106" s="1"/>
      <c r="ORQ106" s="1"/>
      <c r="ORR106" s="1"/>
      <c r="ORS106" s="1"/>
      <c r="ORT106" s="1"/>
      <c r="ORU106" s="1"/>
      <c r="ORV106" s="1"/>
      <c r="ORW106" s="1"/>
      <c r="ORX106" s="1"/>
      <c r="ORY106" s="1"/>
      <c r="ORZ106" s="1"/>
      <c r="OSA106" s="1"/>
      <c r="OSB106" s="1"/>
      <c r="OSC106" s="1"/>
      <c r="OSD106" s="1"/>
      <c r="OSE106" s="1"/>
      <c r="OSF106" s="1"/>
      <c r="OSG106" s="1"/>
      <c r="OSH106" s="1"/>
      <c r="OSI106" s="1"/>
      <c r="OSJ106" s="1"/>
      <c r="OSK106" s="1"/>
      <c r="OSL106" s="1"/>
      <c r="OSM106" s="1"/>
      <c r="OSN106" s="1"/>
      <c r="OSO106" s="1"/>
      <c r="OSP106" s="1"/>
      <c r="OSQ106" s="1"/>
      <c r="OSR106" s="1"/>
      <c r="OSS106" s="1"/>
      <c r="OST106" s="1"/>
      <c r="OSU106" s="1"/>
      <c r="OSV106" s="1"/>
      <c r="OSW106" s="1"/>
      <c r="OSX106" s="1"/>
      <c r="OSY106" s="1"/>
      <c r="OSZ106" s="1"/>
      <c r="OTA106" s="1"/>
      <c r="OTB106" s="1"/>
      <c r="OTC106" s="1"/>
      <c r="OTD106" s="1"/>
      <c r="OTE106" s="1"/>
      <c r="OTF106" s="1"/>
      <c r="OTG106" s="1"/>
      <c r="OTH106" s="1"/>
      <c r="OTI106" s="1"/>
      <c r="OTJ106" s="1"/>
      <c r="OTK106" s="1"/>
      <c r="OTL106" s="1"/>
      <c r="OTM106" s="1"/>
      <c r="OTN106" s="1"/>
      <c r="OTO106" s="1"/>
      <c r="OTP106" s="1"/>
      <c r="OTQ106" s="1"/>
      <c r="OTR106" s="1"/>
      <c r="OTS106" s="1"/>
      <c r="OTT106" s="1"/>
      <c r="OTU106" s="1"/>
      <c r="OTV106" s="1"/>
      <c r="OTW106" s="1"/>
      <c r="OTX106" s="1"/>
      <c r="OTY106" s="1"/>
      <c r="OTZ106" s="1"/>
      <c r="OUA106" s="1"/>
      <c r="OUB106" s="1"/>
      <c r="OUC106" s="1"/>
      <c r="OUD106" s="1"/>
      <c r="OUE106" s="1"/>
      <c r="OUF106" s="1"/>
      <c r="OUG106" s="1"/>
      <c r="OUH106" s="1"/>
      <c r="OUI106" s="1"/>
      <c r="OUJ106" s="1"/>
      <c r="OUK106" s="1"/>
      <c r="OUL106" s="1"/>
      <c r="OUM106" s="1"/>
      <c r="OUN106" s="1"/>
      <c r="OUO106" s="1"/>
      <c r="OUP106" s="1"/>
      <c r="OUQ106" s="1"/>
      <c r="OUR106" s="1"/>
      <c r="OUS106" s="1"/>
      <c r="OUT106" s="1"/>
      <c r="OUU106" s="1"/>
      <c r="OUV106" s="1"/>
      <c r="OUW106" s="1"/>
      <c r="OUX106" s="1"/>
      <c r="OUY106" s="1"/>
      <c r="OUZ106" s="1"/>
      <c r="OVA106" s="1"/>
      <c r="OVB106" s="1"/>
      <c r="OVC106" s="1"/>
      <c r="OVD106" s="1"/>
      <c r="OVE106" s="1"/>
      <c r="OVF106" s="1"/>
      <c r="OVG106" s="1"/>
      <c r="OVH106" s="1"/>
      <c r="OVI106" s="1"/>
      <c r="OVJ106" s="1"/>
      <c r="OVK106" s="1"/>
      <c r="OVL106" s="1"/>
      <c r="OVM106" s="1"/>
      <c r="OVN106" s="1"/>
      <c r="OVO106" s="1"/>
      <c r="OVP106" s="1"/>
      <c r="OVQ106" s="1"/>
      <c r="OVR106" s="1"/>
      <c r="OVS106" s="1"/>
      <c r="OVT106" s="1"/>
      <c r="OVU106" s="1"/>
      <c r="OVV106" s="1"/>
      <c r="OVW106" s="1"/>
      <c r="OVX106" s="1"/>
      <c r="OVY106" s="1"/>
      <c r="OVZ106" s="1"/>
      <c r="OWA106" s="1"/>
      <c r="OWB106" s="1"/>
      <c r="OWC106" s="1"/>
      <c r="OWD106" s="1"/>
      <c r="OWE106" s="1"/>
      <c r="OWF106" s="1"/>
      <c r="OWG106" s="1"/>
      <c r="OWH106" s="1"/>
      <c r="OWI106" s="1"/>
      <c r="OWJ106" s="1"/>
      <c r="OWK106" s="1"/>
      <c r="OWL106" s="1"/>
      <c r="OWM106" s="1"/>
      <c r="OWN106" s="1"/>
      <c r="OWO106" s="1"/>
      <c r="OWP106" s="1"/>
      <c r="OWQ106" s="1"/>
      <c r="OWR106" s="1"/>
      <c r="OWS106" s="1"/>
      <c r="OWT106" s="1"/>
      <c r="OWU106" s="1"/>
      <c r="OWV106" s="1"/>
      <c r="OWW106" s="1"/>
      <c r="OWX106" s="1"/>
      <c r="OWY106" s="1"/>
      <c r="OWZ106" s="1"/>
      <c r="OXA106" s="1"/>
      <c r="OXB106" s="1"/>
      <c r="OXC106" s="1"/>
      <c r="OXD106" s="1"/>
      <c r="OXE106" s="1"/>
      <c r="OXF106" s="1"/>
      <c r="OXG106" s="1"/>
      <c r="OXH106" s="1"/>
      <c r="OXI106" s="1"/>
      <c r="OXJ106" s="1"/>
      <c r="OXK106" s="1"/>
      <c r="OXL106" s="1"/>
      <c r="OXM106" s="1"/>
      <c r="OXN106" s="1"/>
      <c r="OXO106" s="1"/>
      <c r="OXP106" s="1"/>
      <c r="OXQ106" s="1"/>
      <c r="OXR106" s="1"/>
      <c r="OXS106" s="1"/>
      <c r="OXT106" s="1"/>
      <c r="OXU106" s="1"/>
      <c r="OXV106" s="1"/>
      <c r="OXW106" s="1"/>
      <c r="OXX106" s="1"/>
      <c r="OXY106" s="1"/>
      <c r="OXZ106" s="1"/>
      <c r="OYA106" s="1"/>
      <c r="OYB106" s="1"/>
      <c r="OYC106" s="1"/>
      <c r="OYD106" s="1"/>
      <c r="OYE106" s="1"/>
      <c r="OYF106" s="1"/>
      <c r="OYG106" s="1"/>
      <c r="OYH106" s="1"/>
      <c r="OYI106" s="1"/>
      <c r="OYJ106" s="1"/>
      <c r="OYK106" s="1"/>
      <c r="OYL106" s="1"/>
      <c r="OYM106" s="1"/>
      <c r="OYN106" s="1"/>
      <c r="OYO106" s="1"/>
      <c r="OYP106" s="1"/>
      <c r="OYQ106" s="1"/>
      <c r="OYR106" s="1"/>
      <c r="OYS106" s="1"/>
      <c r="OYT106" s="1"/>
      <c r="OYU106" s="1"/>
      <c r="OYV106" s="1"/>
      <c r="OYW106" s="1"/>
      <c r="OYX106" s="1"/>
      <c r="OYY106" s="1"/>
      <c r="OYZ106" s="1"/>
      <c r="OZA106" s="1"/>
      <c r="OZB106" s="1"/>
      <c r="OZC106" s="1"/>
      <c r="OZD106" s="1"/>
      <c r="OZE106" s="1"/>
      <c r="OZF106" s="1"/>
      <c r="OZG106" s="1"/>
      <c r="OZH106" s="1"/>
      <c r="OZI106" s="1"/>
      <c r="OZJ106" s="1"/>
      <c r="OZK106" s="1"/>
      <c r="OZL106" s="1"/>
      <c r="OZM106" s="1"/>
      <c r="OZN106" s="1"/>
      <c r="OZO106" s="1"/>
      <c r="OZP106" s="1"/>
      <c r="OZQ106" s="1"/>
      <c r="OZR106" s="1"/>
      <c r="OZS106" s="1"/>
      <c r="OZT106" s="1"/>
      <c r="OZU106" s="1"/>
      <c r="OZV106" s="1"/>
      <c r="OZW106" s="1"/>
      <c r="OZX106" s="1"/>
      <c r="OZY106" s="1"/>
      <c r="OZZ106" s="1"/>
      <c r="PAA106" s="1"/>
      <c r="PAB106" s="1"/>
      <c r="PAC106" s="1"/>
      <c r="PAD106" s="1"/>
      <c r="PAE106" s="1"/>
      <c r="PAF106" s="1"/>
      <c r="PAG106" s="1"/>
      <c r="PAH106" s="1"/>
      <c r="PAI106" s="1"/>
      <c r="PAJ106" s="1"/>
      <c r="PAK106" s="1"/>
      <c r="PAL106" s="1"/>
      <c r="PAM106" s="1"/>
      <c r="PAN106" s="1"/>
      <c r="PAO106" s="1"/>
      <c r="PAP106" s="1"/>
      <c r="PAQ106" s="1"/>
      <c r="PAR106" s="1"/>
      <c r="PAS106" s="1"/>
      <c r="PAT106" s="1"/>
      <c r="PAU106" s="1"/>
      <c r="PAV106" s="1"/>
      <c r="PAW106" s="1"/>
      <c r="PAX106" s="1"/>
      <c r="PAY106" s="1"/>
      <c r="PAZ106" s="1"/>
      <c r="PBA106" s="1"/>
      <c r="PBB106" s="1"/>
      <c r="PBC106" s="1"/>
      <c r="PBD106" s="1"/>
      <c r="PBE106" s="1"/>
      <c r="PBF106" s="1"/>
      <c r="PBG106" s="1"/>
      <c r="PBH106" s="1"/>
      <c r="PBI106" s="1"/>
      <c r="PBJ106" s="1"/>
      <c r="PBK106" s="1"/>
      <c r="PBL106" s="1"/>
      <c r="PBM106" s="1"/>
      <c r="PBN106" s="1"/>
      <c r="PBO106" s="1"/>
      <c r="PBP106" s="1"/>
      <c r="PBQ106" s="1"/>
      <c r="PBR106" s="1"/>
      <c r="PBS106" s="1"/>
      <c r="PBT106" s="1"/>
      <c r="PBU106" s="1"/>
      <c r="PBV106" s="1"/>
      <c r="PBW106" s="1"/>
      <c r="PBX106" s="1"/>
      <c r="PBY106" s="1"/>
      <c r="PBZ106" s="1"/>
      <c r="PCA106" s="1"/>
      <c r="PCB106" s="1"/>
      <c r="PCC106" s="1"/>
      <c r="PCD106" s="1"/>
      <c r="PCE106" s="1"/>
      <c r="PCF106" s="1"/>
      <c r="PCG106" s="1"/>
      <c r="PCH106" s="1"/>
      <c r="PCI106" s="1"/>
      <c r="PCJ106" s="1"/>
      <c r="PCK106" s="1"/>
      <c r="PCL106" s="1"/>
      <c r="PCM106" s="1"/>
      <c r="PCN106" s="1"/>
      <c r="PCO106" s="1"/>
      <c r="PCP106" s="1"/>
      <c r="PCQ106" s="1"/>
      <c r="PCR106" s="1"/>
      <c r="PCS106" s="1"/>
      <c r="PCT106" s="1"/>
      <c r="PCU106" s="1"/>
      <c r="PCV106" s="1"/>
      <c r="PCW106" s="1"/>
      <c r="PCX106" s="1"/>
      <c r="PCY106" s="1"/>
      <c r="PCZ106" s="1"/>
      <c r="PDA106" s="1"/>
      <c r="PDB106" s="1"/>
      <c r="PDC106" s="1"/>
      <c r="PDD106" s="1"/>
      <c r="PDE106" s="1"/>
      <c r="PDF106" s="1"/>
      <c r="PDG106" s="1"/>
      <c r="PDH106" s="1"/>
      <c r="PDI106" s="1"/>
      <c r="PDJ106" s="1"/>
      <c r="PDK106" s="1"/>
      <c r="PDL106" s="1"/>
      <c r="PDM106" s="1"/>
      <c r="PDN106" s="1"/>
      <c r="PDO106" s="1"/>
      <c r="PDP106" s="1"/>
      <c r="PDQ106" s="1"/>
      <c r="PDR106" s="1"/>
      <c r="PDS106" s="1"/>
      <c r="PDT106" s="1"/>
      <c r="PDU106" s="1"/>
      <c r="PDV106" s="1"/>
      <c r="PDW106" s="1"/>
      <c r="PDX106" s="1"/>
      <c r="PDY106" s="1"/>
      <c r="PDZ106" s="1"/>
      <c r="PEA106" s="1"/>
      <c r="PEB106" s="1"/>
      <c r="PEC106" s="1"/>
      <c r="PED106" s="1"/>
      <c r="PEE106" s="1"/>
      <c r="PEF106" s="1"/>
      <c r="PEG106" s="1"/>
      <c r="PEH106" s="1"/>
      <c r="PEI106" s="1"/>
      <c r="PEJ106" s="1"/>
      <c r="PEK106" s="1"/>
      <c r="PEL106" s="1"/>
      <c r="PEM106" s="1"/>
      <c r="PEN106" s="1"/>
      <c r="PEO106" s="1"/>
      <c r="PEP106" s="1"/>
      <c r="PEQ106" s="1"/>
      <c r="PER106" s="1"/>
      <c r="PES106" s="1"/>
      <c r="PET106" s="1"/>
      <c r="PEU106" s="1"/>
      <c r="PEV106" s="1"/>
      <c r="PEW106" s="1"/>
      <c r="PEX106" s="1"/>
      <c r="PEY106" s="1"/>
      <c r="PEZ106" s="1"/>
      <c r="PFA106" s="1"/>
      <c r="PFB106" s="1"/>
      <c r="PFC106" s="1"/>
      <c r="PFD106" s="1"/>
      <c r="PFE106" s="1"/>
      <c r="PFF106" s="1"/>
      <c r="PFG106" s="1"/>
      <c r="PFH106" s="1"/>
      <c r="PFI106" s="1"/>
      <c r="PFJ106" s="1"/>
      <c r="PFK106" s="1"/>
      <c r="PFL106" s="1"/>
      <c r="PFM106" s="1"/>
      <c r="PFN106" s="1"/>
      <c r="PFO106" s="1"/>
      <c r="PFP106" s="1"/>
      <c r="PFQ106" s="1"/>
      <c r="PFR106" s="1"/>
      <c r="PFS106" s="1"/>
      <c r="PFT106" s="1"/>
      <c r="PFU106" s="1"/>
      <c r="PFV106" s="1"/>
      <c r="PFW106" s="1"/>
      <c r="PFX106" s="1"/>
      <c r="PFY106" s="1"/>
      <c r="PFZ106" s="1"/>
      <c r="PGA106" s="1"/>
      <c r="PGB106" s="1"/>
      <c r="PGC106" s="1"/>
      <c r="PGD106" s="1"/>
      <c r="PGE106" s="1"/>
      <c r="PGF106" s="1"/>
      <c r="PGG106" s="1"/>
      <c r="PGH106" s="1"/>
      <c r="PGI106" s="1"/>
      <c r="PGJ106" s="1"/>
      <c r="PGK106" s="1"/>
      <c r="PGL106" s="1"/>
      <c r="PGM106" s="1"/>
      <c r="PGN106" s="1"/>
      <c r="PGO106" s="1"/>
      <c r="PGP106" s="1"/>
      <c r="PGQ106" s="1"/>
      <c r="PGR106" s="1"/>
      <c r="PGS106" s="1"/>
      <c r="PGT106" s="1"/>
      <c r="PGU106" s="1"/>
      <c r="PGV106" s="1"/>
      <c r="PGW106" s="1"/>
      <c r="PGX106" s="1"/>
      <c r="PGY106" s="1"/>
      <c r="PGZ106" s="1"/>
      <c r="PHA106" s="1"/>
      <c r="PHB106" s="1"/>
      <c r="PHC106" s="1"/>
      <c r="PHD106" s="1"/>
      <c r="PHE106" s="1"/>
      <c r="PHF106" s="1"/>
      <c r="PHG106" s="1"/>
      <c r="PHH106" s="1"/>
      <c r="PHI106" s="1"/>
      <c r="PHJ106" s="1"/>
      <c r="PHK106" s="1"/>
      <c r="PHL106" s="1"/>
      <c r="PHM106" s="1"/>
      <c r="PHN106" s="1"/>
      <c r="PHO106" s="1"/>
      <c r="PHP106" s="1"/>
      <c r="PHQ106" s="1"/>
      <c r="PHR106" s="1"/>
      <c r="PHS106" s="1"/>
      <c r="PHT106" s="1"/>
      <c r="PHU106" s="1"/>
      <c r="PHV106" s="1"/>
      <c r="PHW106" s="1"/>
      <c r="PHX106" s="1"/>
      <c r="PHY106" s="1"/>
      <c r="PHZ106" s="1"/>
      <c r="PIA106" s="1"/>
      <c r="PIB106" s="1"/>
      <c r="PIC106" s="1"/>
      <c r="PID106" s="1"/>
      <c r="PIE106" s="1"/>
      <c r="PIF106" s="1"/>
      <c r="PIG106" s="1"/>
      <c r="PIH106" s="1"/>
      <c r="PII106" s="1"/>
      <c r="PIJ106" s="1"/>
      <c r="PIK106" s="1"/>
      <c r="PIL106" s="1"/>
      <c r="PIM106" s="1"/>
      <c r="PIN106" s="1"/>
      <c r="PIO106" s="1"/>
      <c r="PIP106" s="1"/>
      <c r="PIQ106" s="1"/>
      <c r="PIR106" s="1"/>
      <c r="PIS106" s="1"/>
      <c r="PIT106" s="1"/>
      <c r="PIU106" s="1"/>
      <c r="PIV106" s="1"/>
      <c r="PIW106" s="1"/>
      <c r="PIX106" s="1"/>
      <c r="PIY106" s="1"/>
      <c r="PIZ106" s="1"/>
      <c r="PJA106" s="1"/>
      <c r="PJB106" s="1"/>
      <c r="PJC106" s="1"/>
      <c r="PJD106" s="1"/>
      <c r="PJE106" s="1"/>
      <c r="PJF106" s="1"/>
      <c r="PJG106" s="1"/>
      <c r="PJH106" s="1"/>
      <c r="PJI106" s="1"/>
      <c r="PJJ106" s="1"/>
      <c r="PJK106" s="1"/>
      <c r="PJL106" s="1"/>
      <c r="PJM106" s="1"/>
      <c r="PJN106" s="1"/>
      <c r="PJO106" s="1"/>
      <c r="PJP106" s="1"/>
      <c r="PJQ106" s="1"/>
      <c r="PJR106" s="1"/>
      <c r="PJS106" s="1"/>
      <c r="PJT106" s="1"/>
      <c r="PJU106" s="1"/>
      <c r="PJV106" s="1"/>
      <c r="PJW106" s="1"/>
      <c r="PJX106" s="1"/>
      <c r="PJY106" s="1"/>
      <c r="PJZ106" s="1"/>
      <c r="PKA106" s="1"/>
      <c r="PKB106" s="1"/>
      <c r="PKC106" s="1"/>
      <c r="PKD106" s="1"/>
      <c r="PKE106" s="1"/>
      <c r="PKF106" s="1"/>
      <c r="PKG106" s="1"/>
      <c r="PKH106" s="1"/>
      <c r="PKI106" s="1"/>
      <c r="PKJ106" s="1"/>
      <c r="PKK106" s="1"/>
      <c r="PKL106" s="1"/>
      <c r="PKM106" s="1"/>
      <c r="PKN106" s="1"/>
      <c r="PKO106" s="1"/>
      <c r="PKP106" s="1"/>
      <c r="PKQ106" s="1"/>
      <c r="PKR106" s="1"/>
      <c r="PKS106" s="1"/>
      <c r="PKT106" s="1"/>
      <c r="PKU106" s="1"/>
      <c r="PKV106" s="1"/>
      <c r="PKW106" s="1"/>
      <c r="PKX106" s="1"/>
      <c r="PKY106" s="1"/>
      <c r="PKZ106" s="1"/>
      <c r="PLA106" s="1"/>
      <c r="PLB106" s="1"/>
      <c r="PLC106" s="1"/>
      <c r="PLD106" s="1"/>
      <c r="PLE106" s="1"/>
      <c r="PLF106" s="1"/>
      <c r="PLG106" s="1"/>
      <c r="PLH106" s="1"/>
      <c r="PLI106" s="1"/>
      <c r="PLJ106" s="1"/>
      <c r="PLK106" s="1"/>
      <c r="PLL106" s="1"/>
      <c r="PLM106" s="1"/>
      <c r="PLN106" s="1"/>
      <c r="PLO106" s="1"/>
      <c r="PLP106" s="1"/>
      <c r="PLQ106" s="1"/>
      <c r="PLR106" s="1"/>
      <c r="PLS106" s="1"/>
      <c r="PLT106" s="1"/>
      <c r="PLU106" s="1"/>
      <c r="PLV106" s="1"/>
      <c r="PLW106" s="1"/>
      <c r="PLX106" s="1"/>
      <c r="PLY106" s="1"/>
      <c r="PLZ106" s="1"/>
      <c r="PMA106" s="1"/>
      <c r="PMB106" s="1"/>
      <c r="PMC106" s="1"/>
      <c r="PMD106" s="1"/>
      <c r="PME106" s="1"/>
      <c r="PMF106" s="1"/>
      <c r="PMG106" s="1"/>
      <c r="PMH106" s="1"/>
      <c r="PMI106" s="1"/>
      <c r="PMJ106" s="1"/>
      <c r="PMK106" s="1"/>
      <c r="PML106" s="1"/>
      <c r="PMM106" s="1"/>
      <c r="PMN106" s="1"/>
      <c r="PMO106" s="1"/>
      <c r="PMP106" s="1"/>
      <c r="PMQ106" s="1"/>
      <c r="PMR106" s="1"/>
      <c r="PMS106" s="1"/>
      <c r="PMT106" s="1"/>
      <c r="PMU106" s="1"/>
      <c r="PMV106" s="1"/>
      <c r="PMW106" s="1"/>
      <c r="PMX106" s="1"/>
      <c r="PMY106" s="1"/>
      <c r="PMZ106" s="1"/>
      <c r="PNA106" s="1"/>
      <c r="PNB106" s="1"/>
      <c r="PNC106" s="1"/>
      <c r="PND106" s="1"/>
      <c r="PNE106" s="1"/>
      <c r="PNF106" s="1"/>
      <c r="PNG106" s="1"/>
      <c r="PNH106" s="1"/>
      <c r="PNI106" s="1"/>
      <c r="PNJ106" s="1"/>
      <c r="PNK106" s="1"/>
      <c r="PNL106" s="1"/>
      <c r="PNM106" s="1"/>
      <c r="PNN106" s="1"/>
      <c r="PNO106" s="1"/>
      <c r="PNP106" s="1"/>
      <c r="PNQ106" s="1"/>
      <c r="PNR106" s="1"/>
      <c r="PNS106" s="1"/>
      <c r="PNT106" s="1"/>
      <c r="PNU106" s="1"/>
      <c r="PNV106" s="1"/>
      <c r="PNW106" s="1"/>
      <c r="PNX106" s="1"/>
      <c r="PNY106" s="1"/>
      <c r="PNZ106" s="1"/>
      <c r="POA106" s="1"/>
      <c r="POB106" s="1"/>
      <c r="POC106" s="1"/>
      <c r="POD106" s="1"/>
      <c r="POE106" s="1"/>
      <c r="POF106" s="1"/>
      <c r="POG106" s="1"/>
      <c r="POH106" s="1"/>
      <c r="POI106" s="1"/>
      <c r="POJ106" s="1"/>
      <c r="POK106" s="1"/>
      <c r="POL106" s="1"/>
      <c r="POM106" s="1"/>
      <c r="PON106" s="1"/>
      <c r="POO106" s="1"/>
      <c r="POP106" s="1"/>
      <c r="POQ106" s="1"/>
      <c r="POR106" s="1"/>
      <c r="POS106" s="1"/>
      <c r="POT106" s="1"/>
      <c r="POU106" s="1"/>
      <c r="POV106" s="1"/>
      <c r="POW106" s="1"/>
      <c r="POX106" s="1"/>
      <c r="POY106" s="1"/>
      <c r="POZ106" s="1"/>
      <c r="PPA106" s="1"/>
      <c r="PPB106" s="1"/>
      <c r="PPC106" s="1"/>
      <c r="PPD106" s="1"/>
      <c r="PPE106" s="1"/>
      <c r="PPF106" s="1"/>
      <c r="PPG106" s="1"/>
      <c r="PPH106" s="1"/>
      <c r="PPI106" s="1"/>
      <c r="PPJ106" s="1"/>
      <c r="PPK106" s="1"/>
      <c r="PPL106" s="1"/>
      <c r="PPM106" s="1"/>
      <c r="PPN106" s="1"/>
      <c r="PPO106" s="1"/>
      <c r="PPP106" s="1"/>
      <c r="PPQ106" s="1"/>
      <c r="PPR106" s="1"/>
      <c r="PPS106" s="1"/>
      <c r="PPT106" s="1"/>
      <c r="PPU106" s="1"/>
      <c r="PPV106" s="1"/>
      <c r="PPW106" s="1"/>
      <c r="PPX106" s="1"/>
      <c r="PPY106" s="1"/>
      <c r="PPZ106" s="1"/>
      <c r="PQA106" s="1"/>
      <c r="PQB106" s="1"/>
      <c r="PQC106" s="1"/>
      <c r="PQD106" s="1"/>
      <c r="PQE106" s="1"/>
      <c r="PQF106" s="1"/>
      <c r="PQG106" s="1"/>
      <c r="PQH106" s="1"/>
      <c r="PQI106" s="1"/>
      <c r="PQJ106" s="1"/>
      <c r="PQK106" s="1"/>
      <c r="PQL106" s="1"/>
      <c r="PQM106" s="1"/>
      <c r="PQN106" s="1"/>
      <c r="PQO106" s="1"/>
      <c r="PQP106" s="1"/>
      <c r="PQQ106" s="1"/>
      <c r="PQR106" s="1"/>
      <c r="PQS106" s="1"/>
      <c r="PQT106" s="1"/>
      <c r="PQU106" s="1"/>
      <c r="PQV106" s="1"/>
      <c r="PQW106" s="1"/>
      <c r="PQX106" s="1"/>
      <c r="PQY106" s="1"/>
      <c r="PQZ106" s="1"/>
      <c r="PRA106" s="1"/>
      <c r="PRB106" s="1"/>
      <c r="PRC106" s="1"/>
      <c r="PRD106" s="1"/>
      <c r="PRE106" s="1"/>
      <c r="PRF106" s="1"/>
      <c r="PRG106" s="1"/>
      <c r="PRH106" s="1"/>
      <c r="PRI106" s="1"/>
      <c r="PRJ106" s="1"/>
      <c r="PRK106" s="1"/>
      <c r="PRL106" s="1"/>
      <c r="PRM106" s="1"/>
      <c r="PRN106" s="1"/>
      <c r="PRO106" s="1"/>
      <c r="PRP106" s="1"/>
      <c r="PRQ106" s="1"/>
      <c r="PRR106" s="1"/>
      <c r="PRS106" s="1"/>
      <c r="PRT106" s="1"/>
      <c r="PRU106" s="1"/>
      <c r="PRV106" s="1"/>
      <c r="PRW106" s="1"/>
      <c r="PRX106" s="1"/>
      <c r="PRY106" s="1"/>
      <c r="PRZ106" s="1"/>
      <c r="PSA106" s="1"/>
      <c r="PSB106" s="1"/>
      <c r="PSC106" s="1"/>
      <c r="PSD106" s="1"/>
      <c r="PSE106" s="1"/>
      <c r="PSF106" s="1"/>
      <c r="PSG106" s="1"/>
      <c r="PSH106" s="1"/>
      <c r="PSI106" s="1"/>
      <c r="PSJ106" s="1"/>
      <c r="PSK106" s="1"/>
      <c r="PSL106" s="1"/>
      <c r="PSM106" s="1"/>
      <c r="PSN106" s="1"/>
      <c r="PSO106" s="1"/>
      <c r="PSP106" s="1"/>
      <c r="PSQ106" s="1"/>
      <c r="PSR106" s="1"/>
      <c r="PSS106" s="1"/>
      <c r="PST106" s="1"/>
      <c r="PSU106" s="1"/>
      <c r="PSV106" s="1"/>
      <c r="PSW106" s="1"/>
      <c r="PSX106" s="1"/>
      <c r="PSY106" s="1"/>
      <c r="PSZ106" s="1"/>
      <c r="PTA106" s="1"/>
      <c r="PTB106" s="1"/>
      <c r="PTC106" s="1"/>
      <c r="PTD106" s="1"/>
      <c r="PTE106" s="1"/>
      <c r="PTF106" s="1"/>
      <c r="PTG106" s="1"/>
      <c r="PTH106" s="1"/>
      <c r="PTI106" s="1"/>
      <c r="PTJ106" s="1"/>
      <c r="PTK106" s="1"/>
      <c r="PTL106" s="1"/>
      <c r="PTM106" s="1"/>
      <c r="PTN106" s="1"/>
      <c r="PTO106" s="1"/>
      <c r="PTP106" s="1"/>
      <c r="PTQ106" s="1"/>
      <c r="PTR106" s="1"/>
      <c r="PTS106" s="1"/>
      <c r="PTT106" s="1"/>
      <c r="PTU106" s="1"/>
      <c r="PTV106" s="1"/>
      <c r="PTW106" s="1"/>
      <c r="PTX106" s="1"/>
      <c r="PTY106" s="1"/>
      <c r="PTZ106" s="1"/>
      <c r="PUA106" s="1"/>
      <c r="PUB106" s="1"/>
      <c r="PUC106" s="1"/>
      <c r="PUD106" s="1"/>
      <c r="PUE106" s="1"/>
      <c r="PUF106" s="1"/>
      <c r="PUG106" s="1"/>
      <c r="PUH106" s="1"/>
      <c r="PUI106" s="1"/>
      <c r="PUJ106" s="1"/>
      <c r="PUK106" s="1"/>
      <c r="PUL106" s="1"/>
      <c r="PUM106" s="1"/>
      <c r="PUN106" s="1"/>
      <c r="PUO106" s="1"/>
      <c r="PUP106" s="1"/>
      <c r="PUQ106" s="1"/>
      <c r="PUR106" s="1"/>
      <c r="PUS106" s="1"/>
      <c r="PUT106" s="1"/>
      <c r="PUU106" s="1"/>
      <c r="PUV106" s="1"/>
      <c r="PUW106" s="1"/>
      <c r="PUX106" s="1"/>
      <c r="PUY106" s="1"/>
      <c r="PUZ106" s="1"/>
      <c r="PVA106" s="1"/>
      <c r="PVB106" s="1"/>
      <c r="PVC106" s="1"/>
      <c r="PVD106" s="1"/>
      <c r="PVE106" s="1"/>
      <c r="PVF106" s="1"/>
      <c r="PVG106" s="1"/>
      <c r="PVH106" s="1"/>
      <c r="PVI106" s="1"/>
      <c r="PVJ106" s="1"/>
      <c r="PVK106" s="1"/>
      <c r="PVL106" s="1"/>
      <c r="PVM106" s="1"/>
      <c r="PVN106" s="1"/>
      <c r="PVO106" s="1"/>
      <c r="PVP106" s="1"/>
      <c r="PVQ106" s="1"/>
      <c r="PVR106" s="1"/>
      <c r="PVS106" s="1"/>
      <c r="PVT106" s="1"/>
      <c r="PVU106" s="1"/>
      <c r="PVV106" s="1"/>
      <c r="PVW106" s="1"/>
      <c r="PVX106" s="1"/>
      <c r="PVY106" s="1"/>
      <c r="PVZ106" s="1"/>
      <c r="PWA106" s="1"/>
      <c r="PWB106" s="1"/>
      <c r="PWC106" s="1"/>
      <c r="PWD106" s="1"/>
      <c r="PWE106" s="1"/>
      <c r="PWF106" s="1"/>
      <c r="PWG106" s="1"/>
      <c r="PWH106" s="1"/>
      <c r="PWI106" s="1"/>
      <c r="PWJ106" s="1"/>
      <c r="PWK106" s="1"/>
      <c r="PWL106" s="1"/>
      <c r="PWM106" s="1"/>
      <c r="PWN106" s="1"/>
      <c r="PWO106" s="1"/>
      <c r="PWP106" s="1"/>
      <c r="PWQ106" s="1"/>
      <c r="PWR106" s="1"/>
      <c r="PWS106" s="1"/>
      <c r="PWT106" s="1"/>
      <c r="PWU106" s="1"/>
      <c r="PWV106" s="1"/>
      <c r="PWW106" s="1"/>
      <c r="PWX106" s="1"/>
      <c r="PWY106" s="1"/>
      <c r="PWZ106" s="1"/>
      <c r="PXA106" s="1"/>
      <c r="PXB106" s="1"/>
      <c r="PXC106" s="1"/>
      <c r="PXD106" s="1"/>
      <c r="PXE106" s="1"/>
      <c r="PXF106" s="1"/>
      <c r="PXG106" s="1"/>
      <c r="PXH106" s="1"/>
      <c r="PXI106" s="1"/>
      <c r="PXJ106" s="1"/>
      <c r="PXK106" s="1"/>
      <c r="PXL106" s="1"/>
      <c r="PXM106" s="1"/>
      <c r="PXN106" s="1"/>
      <c r="PXO106" s="1"/>
      <c r="PXP106" s="1"/>
      <c r="PXQ106" s="1"/>
      <c r="PXR106" s="1"/>
      <c r="PXS106" s="1"/>
      <c r="PXT106" s="1"/>
      <c r="PXU106" s="1"/>
      <c r="PXV106" s="1"/>
      <c r="PXW106" s="1"/>
      <c r="PXX106" s="1"/>
      <c r="PXY106" s="1"/>
      <c r="PXZ106" s="1"/>
      <c r="PYA106" s="1"/>
      <c r="PYB106" s="1"/>
      <c r="PYC106" s="1"/>
      <c r="PYD106" s="1"/>
      <c r="PYE106" s="1"/>
      <c r="PYF106" s="1"/>
      <c r="PYG106" s="1"/>
      <c r="PYH106" s="1"/>
      <c r="PYI106" s="1"/>
      <c r="PYJ106" s="1"/>
      <c r="PYK106" s="1"/>
      <c r="PYL106" s="1"/>
      <c r="PYM106" s="1"/>
      <c r="PYN106" s="1"/>
      <c r="PYO106" s="1"/>
      <c r="PYP106" s="1"/>
      <c r="PYQ106" s="1"/>
      <c r="PYR106" s="1"/>
      <c r="PYS106" s="1"/>
      <c r="PYT106" s="1"/>
      <c r="PYU106" s="1"/>
      <c r="PYV106" s="1"/>
      <c r="PYW106" s="1"/>
      <c r="PYX106" s="1"/>
      <c r="PYY106" s="1"/>
      <c r="PYZ106" s="1"/>
      <c r="PZA106" s="1"/>
      <c r="PZB106" s="1"/>
      <c r="PZC106" s="1"/>
      <c r="PZD106" s="1"/>
      <c r="PZE106" s="1"/>
      <c r="PZF106" s="1"/>
      <c r="PZG106" s="1"/>
      <c r="PZH106" s="1"/>
      <c r="PZI106" s="1"/>
      <c r="PZJ106" s="1"/>
      <c r="PZK106" s="1"/>
      <c r="PZL106" s="1"/>
      <c r="PZM106" s="1"/>
      <c r="PZN106" s="1"/>
      <c r="PZO106" s="1"/>
      <c r="PZP106" s="1"/>
      <c r="PZQ106" s="1"/>
      <c r="PZR106" s="1"/>
      <c r="PZS106" s="1"/>
      <c r="PZT106" s="1"/>
      <c r="PZU106" s="1"/>
      <c r="PZV106" s="1"/>
      <c r="PZW106" s="1"/>
      <c r="PZX106" s="1"/>
      <c r="PZY106" s="1"/>
      <c r="PZZ106" s="1"/>
      <c r="QAA106" s="1"/>
      <c r="QAB106" s="1"/>
      <c r="QAC106" s="1"/>
      <c r="QAD106" s="1"/>
      <c r="QAE106" s="1"/>
      <c r="QAF106" s="1"/>
      <c r="QAG106" s="1"/>
      <c r="QAH106" s="1"/>
      <c r="QAI106" s="1"/>
      <c r="QAJ106" s="1"/>
      <c r="QAK106" s="1"/>
      <c r="QAL106" s="1"/>
      <c r="QAM106" s="1"/>
      <c r="QAN106" s="1"/>
      <c r="QAO106" s="1"/>
      <c r="QAP106" s="1"/>
      <c r="QAQ106" s="1"/>
      <c r="QAR106" s="1"/>
      <c r="QAS106" s="1"/>
      <c r="QAT106" s="1"/>
      <c r="QAU106" s="1"/>
      <c r="QAV106" s="1"/>
      <c r="QAW106" s="1"/>
      <c r="QAX106" s="1"/>
      <c r="QAY106" s="1"/>
      <c r="QAZ106" s="1"/>
      <c r="QBA106" s="1"/>
      <c r="QBB106" s="1"/>
      <c r="QBC106" s="1"/>
      <c r="QBD106" s="1"/>
      <c r="QBE106" s="1"/>
      <c r="QBF106" s="1"/>
      <c r="QBG106" s="1"/>
      <c r="QBH106" s="1"/>
      <c r="QBI106" s="1"/>
      <c r="QBJ106" s="1"/>
      <c r="QBK106" s="1"/>
      <c r="QBL106" s="1"/>
      <c r="QBM106" s="1"/>
      <c r="QBN106" s="1"/>
      <c r="QBO106" s="1"/>
      <c r="QBP106" s="1"/>
      <c r="QBQ106" s="1"/>
      <c r="QBR106" s="1"/>
      <c r="QBS106" s="1"/>
      <c r="QBT106" s="1"/>
      <c r="QBU106" s="1"/>
      <c r="QBV106" s="1"/>
      <c r="QBW106" s="1"/>
      <c r="QBX106" s="1"/>
      <c r="QBY106" s="1"/>
      <c r="QBZ106" s="1"/>
      <c r="QCA106" s="1"/>
      <c r="QCB106" s="1"/>
      <c r="QCC106" s="1"/>
      <c r="QCD106" s="1"/>
      <c r="QCE106" s="1"/>
      <c r="QCF106" s="1"/>
      <c r="QCG106" s="1"/>
      <c r="QCH106" s="1"/>
      <c r="QCI106" s="1"/>
      <c r="QCJ106" s="1"/>
      <c r="QCK106" s="1"/>
      <c r="QCL106" s="1"/>
      <c r="QCM106" s="1"/>
      <c r="QCN106" s="1"/>
      <c r="QCO106" s="1"/>
      <c r="QCP106" s="1"/>
      <c r="QCQ106" s="1"/>
      <c r="QCR106" s="1"/>
      <c r="QCS106" s="1"/>
      <c r="QCT106" s="1"/>
      <c r="QCU106" s="1"/>
      <c r="QCV106" s="1"/>
      <c r="QCW106" s="1"/>
      <c r="QCX106" s="1"/>
      <c r="QCY106" s="1"/>
      <c r="QCZ106" s="1"/>
      <c r="QDA106" s="1"/>
      <c r="QDB106" s="1"/>
      <c r="QDC106" s="1"/>
      <c r="QDD106" s="1"/>
      <c r="QDE106" s="1"/>
      <c r="QDF106" s="1"/>
      <c r="QDG106" s="1"/>
      <c r="QDH106" s="1"/>
      <c r="QDI106" s="1"/>
      <c r="QDJ106" s="1"/>
      <c r="QDK106" s="1"/>
      <c r="QDL106" s="1"/>
      <c r="QDM106" s="1"/>
      <c r="QDN106" s="1"/>
      <c r="QDO106" s="1"/>
      <c r="QDP106" s="1"/>
      <c r="QDQ106" s="1"/>
      <c r="QDR106" s="1"/>
      <c r="QDS106" s="1"/>
      <c r="QDT106" s="1"/>
      <c r="QDU106" s="1"/>
      <c r="QDV106" s="1"/>
      <c r="QDW106" s="1"/>
      <c r="QDX106" s="1"/>
      <c r="QDY106" s="1"/>
      <c r="QDZ106" s="1"/>
      <c r="QEA106" s="1"/>
      <c r="QEB106" s="1"/>
      <c r="QEC106" s="1"/>
      <c r="QED106" s="1"/>
      <c r="QEE106" s="1"/>
      <c r="QEF106" s="1"/>
      <c r="QEG106" s="1"/>
      <c r="QEH106" s="1"/>
      <c r="QEI106" s="1"/>
      <c r="QEJ106" s="1"/>
      <c r="QEK106" s="1"/>
      <c r="QEL106" s="1"/>
      <c r="QEM106" s="1"/>
      <c r="QEN106" s="1"/>
      <c r="QEO106" s="1"/>
      <c r="QEP106" s="1"/>
      <c r="QEQ106" s="1"/>
      <c r="QER106" s="1"/>
      <c r="QES106" s="1"/>
      <c r="QET106" s="1"/>
      <c r="QEU106" s="1"/>
      <c r="QEV106" s="1"/>
      <c r="QEW106" s="1"/>
      <c r="QEX106" s="1"/>
      <c r="QEY106" s="1"/>
      <c r="QEZ106" s="1"/>
      <c r="QFA106" s="1"/>
      <c r="QFB106" s="1"/>
      <c r="QFC106" s="1"/>
      <c r="QFD106" s="1"/>
      <c r="QFE106" s="1"/>
      <c r="QFF106" s="1"/>
      <c r="QFG106" s="1"/>
      <c r="QFH106" s="1"/>
      <c r="QFI106" s="1"/>
      <c r="QFJ106" s="1"/>
      <c r="QFK106" s="1"/>
      <c r="QFL106" s="1"/>
      <c r="QFM106" s="1"/>
      <c r="QFN106" s="1"/>
      <c r="QFO106" s="1"/>
      <c r="QFP106" s="1"/>
      <c r="QFQ106" s="1"/>
      <c r="QFR106" s="1"/>
      <c r="QFS106" s="1"/>
      <c r="QFT106" s="1"/>
      <c r="QFU106" s="1"/>
      <c r="QFV106" s="1"/>
      <c r="QFW106" s="1"/>
      <c r="QFX106" s="1"/>
      <c r="QFY106" s="1"/>
      <c r="QFZ106" s="1"/>
      <c r="QGA106" s="1"/>
      <c r="QGB106" s="1"/>
      <c r="QGC106" s="1"/>
      <c r="QGD106" s="1"/>
      <c r="QGE106" s="1"/>
      <c r="QGF106" s="1"/>
      <c r="QGG106" s="1"/>
      <c r="QGH106" s="1"/>
      <c r="QGI106" s="1"/>
      <c r="QGJ106" s="1"/>
      <c r="QGK106" s="1"/>
      <c r="QGL106" s="1"/>
      <c r="QGM106" s="1"/>
      <c r="QGN106" s="1"/>
      <c r="QGO106" s="1"/>
      <c r="QGP106" s="1"/>
      <c r="QGQ106" s="1"/>
      <c r="QGR106" s="1"/>
      <c r="QGS106" s="1"/>
      <c r="QGT106" s="1"/>
      <c r="QGU106" s="1"/>
      <c r="QGV106" s="1"/>
      <c r="QGW106" s="1"/>
      <c r="QGX106" s="1"/>
      <c r="QGY106" s="1"/>
      <c r="QGZ106" s="1"/>
      <c r="QHA106" s="1"/>
      <c r="QHB106" s="1"/>
      <c r="QHC106" s="1"/>
      <c r="QHD106" s="1"/>
      <c r="QHE106" s="1"/>
      <c r="QHF106" s="1"/>
      <c r="QHG106" s="1"/>
      <c r="QHH106" s="1"/>
      <c r="QHI106" s="1"/>
      <c r="QHJ106" s="1"/>
      <c r="QHK106" s="1"/>
      <c r="QHL106" s="1"/>
      <c r="QHM106" s="1"/>
      <c r="QHN106" s="1"/>
      <c r="QHO106" s="1"/>
      <c r="QHP106" s="1"/>
      <c r="QHQ106" s="1"/>
      <c r="QHR106" s="1"/>
      <c r="QHS106" s="1"/>
      <c r="QHT106" s="1"/>
      <c r="QHU106" s="1"/>
      <c r="QHV106" s="1"/>
      <c r="QHW106" s="1"/>
      <c r="QHX106" s="1"/>
      <c r="QHY106" s="1"/>
      <c r="QHZ106" s="1"/>
      <c r="QIA106" s="1"/>
      <c r="QIB106" s="1"/>
      <c r="QIC106" s="1"/>
      <c r="QID106" s="1"/>
      <c r="QIE106" s="1"/>
      <c r="QIF106" s="1"/>
      <c r="QIG106" s="1"/>
      <c r="QIH106" s="1"/>
      <c r="QII106" s="1"/>
      <c r="QIJ106" s="1"/>
      <c r="QIK106" s="1"/>
      <c r="QIL106" s="1"/>
      <c r="QIM106" s="1"/>
      <c r="QIN106" s="1"/>
      <c r="QIO106" s="1"/>
      <c r="QIP106" s="1"/>
      <c r="QIQ106" s="1"/>
      <c r="QIR106" s="1"/>
      <c r="QIS106" s="1"/>
      <c r="QIT106" s="1"/>
      <c r="QIU106" s="1"/>
      <c r="QIV106" s="1"/>
      <c r="QIW106" s="1"/>
      <c r="QIX106" s="1"/>
      <c r="QIY106" s="1"/>
      <c r="QIZ106" s="1"/>
      <c r="QJA106" s="1"/>
      <c r="QJB106" s="1"/>
      <c r="QJC106" s="1"/>
      <c r="QJD106" s="1"/>
      <c r="QJE106" s="1"/>
      <c r="QJF106" s="1"/>
      <c r="QJG106" s="1"/>
      <c r="QJH106" s="1"/>
      <c r="QJI106" s="1"/>
      <c r="QJJ106" s="1"/>
      <c r="QJK106" s="1"/>
      <c r="QJL106" s="1"/>
      <c r="QJM106" s="1"/>
      <c r="QJN106" s="1"/>
      <c r="QJO106" s="1"/>
      <c r="QJP106" s="1"/>
      <c r="QJQ106" s="1"/>
      <c r="QJR106" s="1"/>
      <c r="QJS106" s="1"/>
      <c r="QJT106" s="1"/>
      <c r="QJU106" s="1"/>
      <c r="QJV106" s="1"/>
      <c r="QJW106" s="1"/>
      <c r="QJX106" s="1"/>
      <c r="QJY106" s="1"/>
      <c r="QJZ106" s="1"/>
      <c r="QKA106" s="1"/>
      <c r="QKB106" s="1"/>
      <c r="QKC106" s="1"/>
      <c r="QKD106" s="1"/>
      <c r="QKE106" s="1"/>
      <c r="QKF106" s="1"/>
      <c r="QKG106" s="1"/>
      <c r="QKH106" s="1"/>
      <c r="QKI106" s="1"/>
      <c r="QKJ106" s="1"/>
      <c r="QKK106" s="1"/>
      <c r="QKL106" s="1"/>
      <c r="QKM106" s="1"/>
      <c r="QKN106" s="1"/>
      <c r="QKO106" s="1"/>
      <c r="QKP106" s="1"/>
      <c r="QKQ106" s="1"/>
      <c r="QKR106" s="1"/>
      <c r="QKS106" s="1"/>
      <c r="QKT106" s="1"/>
      <c r="QKU106" s="1"/>
      <c r="QKV106" s="1"/>
      <c r="QKW106" s="1"/>
      <c r="QKX106" s="1"/>
      <c r="QKY106" s="1"/>
      <c r="QKZ106" s="1"/>
      <c r="QLA106" s="1"/>
      <c r="QLB106" s="1"/>
      <c r="QLC106" s="1"/>
      <c r="QLD106" s="1"/>
      <c r="QLE106" s="1"/>
      <c r="QLF106" s="1"/>
      <c r="QLG106" s="1"/>
      <c r="QLH106" s="1"/>
      <c r="QLI106" s="1"/>
      <c r="QLJ106" s="1"/>
      <c r="QLK106" s="1"/>
      <c r="QLL106" s="1"/>
      <c r="QLM106" s="1"/>
      <c r="QLN106" s="1"/>
      <c r="QLO106" s="1"/>
      <c r="QLP106" s="1"/>
      <c r="QLQ106" s="1"/>
      <c r="QLR106" s="1"/>
      <c r="QLS106" s="1"/>
      <c r="QLT106" s="1"/>
      <c r="QLU106" s="1"/>
      <c r="QLV106" s="1"/>
      <c r="QLW106" s="1"/>
      <c r="QLX106" s="1"/>
      <c r="QLY106" s="1"/>
      <c r="QLZ106" s="1"/>
      <c r="QMA106" s="1"/>
      <c r="QMB106" s="1"/>
      <c r="QMC106" s="1"/>
      <c r="QMD106" s="1"/>
      <c r="QME106" s="1"/>
      <c r="QMF106" s="1"/>
      <c r="QMG106" s="1"/>
      <c r="QMH106" s="1"/>
      <c r="QMI106" s="1"/>
      <c r="QMJ106" s="1"/>
      <c r="QMK106" s="1"/>
      <c r="QML106" s="1"/>
      <c r="QMM106" s="1"/>
      <c r="QMN106" s="1"/>
      <c r="QMO106" s="1"/>
      <c r="QMP106" s="1"/>
      <c r="QMQ106" s="1"/>
      <c r="QMR106" s="1"/>
      <c r="QMS106" s="1"/>
      <c r="QMT106" s="1"/>
      <c r="QMU106" s="1"/>
      <c r="QMV106" s="1"/>
      <c r="QMW106" s="1"/>
      <c r="QMX106" s="1"/>
      <c r="QMY106" s="1"/>
      <c r="QMZ106" s="1"/>
      <c r="QNA106" s="1"/>
      <c r="QNB106" s="1"/>
      <c r="QNC106" s="1"/>
      <c r="QND106" s="1"/>
      <c r="QNE106" s="1"/>
      <c r="QNF106" s="1"/>
      <c r="QNG106" s="1"/>
      <c r="QNH106" s="1"/>
      <c r="QNI106" s="1"/>
      <c r="QNJ106" s="1"/>
      <c r="QNK106" s="1"/>
      <c r="QNL106" s="1"/>
      <c r="QNM106" s="1"/>
      <c r="QNN106" s="1"/>
      <c r="QNO106" s="1"/>
      <c r="QNP106" s="1"/>
      <c r="QNQ106" s="1"/>
      <c r="QNR106" s="1"/>
      <c r="QNS106" s="1"/>
      <c r="QNT106" s="1"/>
      <c r="QNU106" s="1"/>
      <c r="QNV106" s="1"/>
      <c r="QNW106" s="1"/>
      <c r="QNX106" s="1"/>
      <c r="QNY106" s="1"/>
      <c r="QNZ106" s="1"/>
      <c r="QOA106" s="1"/>
      <c r="QOB106" s="1"/>
      <c r="QOC106" s="1"/>
      <c r="QOD106" s="1"/>
      <c r="QOE106" s="1"/>
      <c r="QOF106" s="1"/>
      <c r="QOG106" s="1"/>
      <c r="QOH106" s="1"/>
      <c r="QOI106" s="1"/>
      <c r="QOJ106" s="1"/>
      <c r="QOK106" s="1"/>
      <c r="QOL106" s="1"/>
      <c r="QOM106" s="1"/>
      <c r="QON106" s="1"/>
      <c r="QOO106" s="1"/>
      <c r="QOP106" s="1"/>
      <c r="QOQ106" s="1"/>
      <c r="QOR106" s="1"/>
      <c r="QOS106" s="1"/>
      <c r="QOT106" s="1"/>
      <c r="QOU106" s="1"/>
      <c r="QOV106" s="1"/>
      <c r="QOW106" s="1"/>
      <c r="QOX106" s="1"/>
      <c r="QOY106" s="1"/>
      <c r="QOZ106" s="1"/>
      <c r="QPA106" s="1"/>
      <c r="QPB106" s="1"/>
      <c r="QPC106" s="1"/>
      <c r="QPD106" s="1"/>
      <c r="QPE106" s="1"/>
      <c r="QPF106" s="1"/>
      <c r="QPG106" s="1"/>
      <c r="QPH106" s="1"/>
      <c r="QPI106" s="1"/>
      <c r="QPJ106" s="1"/>
      <c r="QPK106" s="1"/>
      <c r="QPL106" s="1"/>
      <c r="QPM106" s="1"/>
      <c r="QPN106" s="1"/>
      <c r="QPO106" s="1"/>
      <c r="QPP106" s="1"/>
      <c r="QPQ106" s="1"/>
      <c r="QPR106" s="1"/>
      <c r="QPS106" s="1"/>
      <c r="QPT106" s="1"/>
      <c r="QPU106" s="1"/>
      <c r="QPV106" s="1"/>
      <c r="QPW106" s="1"/>
      <c r="QPX106" s="1"/>
      <c r="QPY106" s="1"/>
      <c r="QPZ106" s="1"/>
      <c r="QQA106" s="1"/>
      <c r="QQB106" s="1"/>
      <c r="QQC106" s="1"/>
      <c r="QQD106" s="1"/>
      <c r="QQE106" s="1"/>
      <c r="QQF106" s="1"/>
      <c r="QQG106" s="1"/>
      <c r="QQH106" s="1"/>
      <c r="QQI106" s="1"/>
      <c r="QQJ106" s="1"/>
      <c r="QQK106" s="1"/>
      <c r="QQL106" s="1"/>
      <c r="QQM106" s="1"/>
      <c r="QQN106" s="1"/>
      <c r="QQO106" s="1"/>
      <c r="QQP106" s="1"/>
      <c r="QQQ106" s="1"/>
      <c r="QQR106" s="1"/>
      <c r="QQS106" s="1"/>
      <c r="QQT106" s="1"/>
      <c r="QQU106" s="1"/>
      <c r="QQV106" s="1"/>
      <c r="QQW106" s="1"/>
      <c r="QQX106" s="1"/>
      <c r="QQY106" s="1"/>
      <c r="QQZ106" s="1"/>
      <c r="QRA106" s="1"/>
      <c r="QRB106" s="1"/>
      <c r="QRC106" s="1"/>
      <c r="QRD106" s="1"/>
      <c r="QRE106" s="1"/>
      <c r="QRF106" s="1"/>
      <c r="QRG106" s="1"/>
      <c r="QRH106" s="1"/>
      <c r="QRI106" s="1"/>
      <c r="QRJ106" s="1"/>
      <c r="QRK106" s="1"/>
      <c r="QRL106" s="1"/>
      <c r="QRM106" s="1"/>
      <c r="QRN106" s="1"/>
      <c r="QRO106" s="1"/>
      <c r="QRP106" s="1"/>
      <c r="QRQ106" s="1"/>
      <c r="QRR106" s="1"/>
      <c r="QRS106" s="1"/>
      <c r="QRT106" s="1"/>
      <c r="QRU106" s="1"/>
      <c r="QRV106" s="1"/>
      <c r="QRW106" s="1"/>
      <c r="QRX106" s="1"/>
      <c r="QRY106" s="1"/>
      <c r="QRZ106" s="1"/>
      <c r="QSA106" s="1"/>
      <c r="QSB106" s="1"/>
      <c r="QSC106" s="1"/>
      <c r="QSD106" s="1"/>
      <c r="QSE106" s="1"/>
      <c r="QSF106" s="1"/>
      <c r="QSG106" s="1"/>
      <c r="QSH106" s="1"/>
      <c r="QSI106" s="1"/>
      <c r="QSJ106" s="1"/>
      <c r="QSK106" s="1"/>
      <c r="QSL106" s="1"/>
      <c r="QSM106" s="1"/>
      <c r="QSN106" s="1"/>
      <c r="QSO106" s="1"/>
      <c r="QSP106" s="1"/>
      <c r="QSQ106" s="1"/>
      <c r="QSR106" s="1"/>
      <c r="QSS106" s="1"/>
      <c r="QST106" s="1"/>
      <c r="QSU106" s="1"/>
      <c r="QSV106" s="1"/>
      <c r="QSW106" s="1"/>
      <c r="QSX106" s="1"/>
      <c r="QSY106" s="1"/>
      <c r="QSZ106" s="1"/>
      <c r="QTA106" s="1"/>
      <c r="QTB106" s="1"/>
      <c r="QTC106" s="1"/>
      <c r="QTD106" s="1"/>
      <c r="QTE106" s="1"/>
      <c r="QTF106" s="1"/>
      <c r="QTG106" s="1"/>
      <c r="QTH106" s="1"/>
      <c r="QTI106" s="1"/>
      <c r="QTJ106" s="1"/>
      <c r="QTK106" s="1"/>
      <c r="QTL106" s="1"/>
      <c r="QTM106" s="1"/>
      <c r="QTN106" s="1"/>
      <c r="QTO106" s="1"/>
      <c r="QTP106" s="1"/>
      <c r="QTQ106" s="1"/>
      <c r="QTR106" s="1"/>
      <c r="QTS106" s="1"/>
      <c r="QTT106" s="1"/>
      <c r="QTU106" s="1"/>
      <c r="QTV106" s="1"/>
      <c r="QTW106" s="1"/>
      <c r="QTX106" s="1"/>
      <c r="QTY106" s="1"/>
      <c r="QTZ106" s="1"/>
      <c r="QUA106" s="1"/>
      <c r="QUB106" s="1"/>
      <c r="QUC106" s="1"/>
      <c r="QUD106" s="1"/>
      <c r="QUE106" s="1"/>
      <c r="QUF106" s="1"/>
      <c r="QUG106" s="1"/>
      <c r="QUH106" s="1"/>
      <c r="QUI106" s="1"/>
      <c r="QUJ106" s="1"/>
      <c r="QUK106" s="1"/>
      <c r="QUL106" s="1"/>
      <c r="QUM106" s="1"/>
      <c r="QUN106" s="1"/>
      <c r="QUO106" s="1"/>
      <c r="QUP106" s="1"/>
      <c r="QUQ106" s="1"/>
      <c r="QUR106" s="1"/>
      <c r="QUS106" s="1"/>
      <c r="QUT106" s="1"/>
      <c r="QUU106" s="1"/>
      <c r="QUV106" s="1"/>
      <c r="QUW106" s="1"/>
      <c r="QUX106" s="1"/>
      <c r="QUY106" s="1"/>
      <c r="QUZ106" s="1"/>
      <c r="QVA106" s="1"/>
      <c r="QVB106" s="1"/>
      <c r="QVC106" s="1"/>
      <c r="QVD106" s="1"/>
      <c r="QVE106" s="1"/>
      <c r="QVF106" s="1"/>
      <c r="QVG106" s="1"/>
      <c r="QVH106" s="1"/>
      <c r="QVI106" s="1"/>
      <c r="QVJ106" s="1"/>
      <c r="QVK106" s="1"/>
      <c r="QVL106" s="1"/>
      <c r="QVM106" s="1"/>
      <c r="QVN106" s="1"/>
      <c r="QVO106" s="1"/>
      <c r="QVP106" s="1"/>
      <c r="QVQ106" s="1"/>
      <c r="QVR106" s="1"/>
      <c r="QVS106" s="1"/>
      <c r="QVT106" s="1"/>
      <c r="QVU106" s="1"/>
      <c r="QVV106" s="1"/>
      <c r="QVW106" s="1"/>
      <c r="QVX106" s="1"/>
      <c r="QVY106" s="1"/>
      <c r="QVZ106" s="1"/>
      <c r="QWA106" s="1"/>
      <c r="QWB106" s="1"/>
      <c r="QWC106" s="1"/>
      <c r="QWD106" s="1"/>
      <c r="QWE106" s="1"/>
      <c r="QWF106" s="1"/>
      <c r="QWG106" s="1"/>
      <c r="QWH106" s="1"/>
      <c r="QWI106" s="1"/>
      <c r="QWJ106" s="1"/>
      <c r="QWK106" s="1"/>
      <c r="QWL106" s="1"/>
      <c r="QWM106" s="1"/>
      <c r="QWN106" s="1"/>
      <c r="QWO106" s="1"/>
      <c r="QWP106" s="1"/>
      <c r="QWQ106" s="1"/>
      <c r="QWR106" s="1"/>
      <c r="QWS106" s="1"/>
      <c r="QWT106" s="1"/>
      <c r="QWU106" s="1"/>
      <c r="QWV106" s="1"/>
      <c r="QWW106" s="1"/>
      <c r="QWX106" s="1"/>
      <c r="QWY106" s="1"/>
      <c r="QWZ106" s="1"/>
      <c r="QXA106" s="1"/>
      <c r="QXB106" s="1"/>
      <c r="QXC106" s="1"/>
      <c r="QXD106" s="1"/>
      <c r="QXE106" s="1"/>
      <c r="QXF106" s="1"/>
      <c r="QXG106" s="1"/>
      <c r="QXH106" s="1"/>
      <c r="QXI106" s="1"/>
      <c r="QXJ106" s="1"/>
      <c r="QXK106" s="1"/>
      <c r="QXL106" s="1"/>
      <c r="QXM106" s="1"/>
      <c r="QXN106" s="1"/>
      <c r="QXO106" s="1"/>
      <c r="QXP106" s="1"/>
      <c r="QXQ106" s="1"/>
      <c r="QXR106" s="1"/>
      <c r="QXS106" s="1"/>
      <c r="QXT106" s="1"/>
      <c r="QXU106" s="1"/>
      <c r="QXV106" s="1"/>
      <c r="QXW106" s="1"/>
      <c r="QXX106" s="1"/>
      <c r="QXY106" s="1"/>
      <c r="QXZ106" s="1"/>
      <c r="QYA106" s="1"/>
      <c r="QYB106" s="1"/>
      <c r="QYC106" s="1"/>
      <c r="QYD106" s="1"/>
      <c r="QYE106" s="1"/>
      <c r="QYF106" s="1"/>
      <c r="QYG106" s="1"/>
      <c r="QYH106" s="1"/>
      <c r="QYI106" s="1"/>
      <c r="QYJ106" s="1"/>
      <c r="QYK106" s="1"/>
      <c r="QYL106" s="1"/>
      <c r="QYM106" s="1"/>
      <c r="QYN106" s="1"/>
      <c r="QYO106" s="1"/>
      <c r="QYP106" s="1"/>
      <c r="QYQ106" s="1"/>
      <c r="QYR106" s="1"/>
      <c r="QYS106" s="1"/>
      <c r="QYT106" s="1"/>
      <c r="QYU106" s="1"/>
      <c r="QYV106" s="1"/>
      <c r="QYW106" s="1"/>
      <c r="QYX106" s="1"/>
      <c r="QYY106" s="1"/>
      <c r="QYZ106" s="1"/>
      <c r="QZA106" s="1"/>
      <c r="QZB106" s="1"/>
      <c r="QZC106" s="1"/>
      <c r="QZD106" s="1"/>
      <c r="QZE106" s="1"/>
      <c r="QZF106" s="1"/>
      <c r="QZG106" s="1"/>
      <c r="QZH106" s="1"/>
      <c r="QZI106" s="1"/>
      <c r="QZJ106" s="1"/>
      <c r="QZK106" s="1"/>
      <c r="QZL106" s="1"/>
      <c r="QZM106" s="1"/>
      <c r="QZN106" s="1"/>
      <c r="QZO106" s="1"/>
      <c r="QZP106" s="1"/>
      <c r="QZQ106" s="1"/>
      <c r="QZR106" s="1"/>
      <c r="QZS106" s="1"/>
      <c r="QZT106" s="1"/>
      <c r="QZU106" s="1"/>
      <c r="QZV106" s="1"/>
      <c r="QZW106" s="1"/>
      <c r="QZX106" s="1"/>
      <c r="QZY106" s="1"/>
      <c r="QZZ106" s="1"/>
      <c r="RAA106" s="1"/>
      <c r="RAB106" s="1"/>
      <c r="RAC106" s="1"/>
      <c r="RAD106" s="1"/>
      <c r="RAE106" s="1"/>
      <c r="RAF106" s="1"/>
      <c r="RAG106" s="1"/>
      <c r="RAH106" s="1"/>
      <c r="RAI106" s="1"/>
      <c r="RAJ106" s="1"/>
      <c r="RAK106" s="1"/>
      <c r="RAL106" s="1"/>
      <c r="RAM106" s="1"/>
      <c r="RAN106" s="1"/>
      <c r="RAO106" s="1"/>
      <c r="RAP106" s="1"/>
      <c r="RAQ106" s="1"/>
      <c r="RAR106" s="1"/>
      <c r="RAS106" s="1"/>
      <c r="RAT106" s="1"/>
      <c r="RAU106" s="1"/>
      <c r="RAV106" s="1"/>
      <c r="RAW106" s="1"/>
      <c r="RAX106" s="1"/>
      <c r="RAY106" s="1"/>
      <c r="RAZ106" s="1"/>
      <c r="RBA106" s="1"/>
      <c r="RBB106" s="1"/>
      <c r="RBC106" s="1"/>
      <c r="RBD106" s="1"/>
      <c r="RBE106" s="1"/>
      <c r="RBF106" s="1"/>
      <c r="RBG106" s="1"/>
      <c r="RBH106" s="1"/>
      <c r="RBI106" s="1"/>
      <c r="RBJ106" s="1"/>
      <c r="RBK106" s="1"/>
      <c r="RBL106" s="1"/>
      <c r="RBM106" s="1"/>
      <c r="RBN106" s="1"/>
      <c r="RBO106" s="1"/>
      <c r="RBP106" s="1"/>
      <c r="RBQ106" s="1"/>
      <c r="RBR106" s="1"/>
      <c r="RBS106" s="1"/>
      <c r="RBT106" s="1"/>
      <c r="RBU106" s="1"/>
      <c r="RBV106" s="1"/>
      <c r="RBW106" s="1"/>
      <c r="RBX106" s="1"/>
      <c r="RBY106" s="1"/>
      <c r="RBZ106" s="1"/>
      <c r="RCA106" s="1"/>
      <c r="RCB106" s="1"/>
      <c r="RCC106" s="1"/>
      <c r="RCD106" s="1"/>
      <c r="RCE106" s="1"/>
      <c r="RCF106" s="1"/>
      <c r="RCG106" s="1"/>
      <c r="RCH106" s="1"/>
      <c r="RCI106" s="1"/>
      <c r="RCJ106" s="1"/>
      <c r="RCK106" s="1"/>
      <c r="RCL106" s="1"/>
      <c r="RCM106" s="1"/>
      <c r="RCN106" s="1"/>
      <c r="RCO106" s="1"/>
      <c r="RCP106" s="1"/>
      <c r="RCQ106" s="1"/>
      <c r="RCR106" s="1"/>
      <c r="RCS106" s="1"/>
      <c r="RCT106" s="1"/>
      <c r="RCU106" s="1"/>
      <c r="RCV106" s="1"/>
      <c r="RCW106" s="1"/>
      <c r="RCX106" s="1"/>
      <c r="RCY106" s="1"/>
      <c r="RCZ106" s="1"/>
      <c r="RDA106" s="1"/>
      <c r="RDB106" s="1"/>
      <c r="RDC106" s="1"/>
      <c r="RDD106" s="1"/>
      <c r="RDE106" s="1"/>
      <c r="RDF106" s="1"/>
      <c r="RDG106" s="1"/>
      <c r="RDH106" s="1"/>
      <c r="RDI106" s="1"/>
      <c r="RDJ106" s="1"/>
      <c r="RDK106" s="1"/>
      <c r="RDL106" s="1"/>
      <c r="RDM106" s="1"/>
      <c r="RDN106" s="1"/>
      <c r="RDO106" s="1"/>
      <c r="RDP106" s="1"/>
      <c r="RDQ106" s="1"/>
      <c r="RDR106" s="1"/>
      <c r="RDS106" s="1"/>
      <c r="RDT106" s="1"/>
      <c r="RDU106" s="1"/>
      <c r="RDV106" s="1"/>
      <c r="RDW106" s="1"/>
      <c r="RDX106" s="1"/>
      <c r="RDY106" s="1"/>
      <c r="RDZ106" s="1"/>
      <c r="REA106" s="1"/>
      <c r="REB106" s="1"/>
      <c r="REC106" s="1"/>
      <c r="RED106" s="1"/>
      <c r="REE106" s="1"/>
      <c r="REF106" s="1"/>
      <c r="REG106" s="1"/>
      <c r="REH106" s="1"/>
      <c r="REI106" s="1"/>
      <c r="REJ106" s="1"/>
      <c r="REK106" s="1"/>
      <c r="REL106" s="1"/>
      <c r="REM106" s="1"/>
      <c r="REN106" s="1"/>
      <c r="REO106" s="1"/>
      <c r="REP106" s="1"/>
      <c r="REQ106" s="1"/>
      <c r="RER106" s="1"/>
      <c r="RES106" s="1"/>
      <c r="RET106" s="1"/>
      <c r="REU106" s="1"/>
      <c r="REV106" s="1"/>
      <c r="REW106" s="1"/>
      <c r="REX106" s="1"/>
      <c r="REY106" s="1"/>
      <c r="REZ106" s="1"/>
      <c r="RFA106" s="1"/>
      <c r="RFB106" s="1"/>
      <c r="RFC106" s="1"/>
      <c r="RFD106" s="1"/>
      <c r="RFE106" s="1"/>
      <c r="RFF106" s="1"/>
      <c r="RFG106" s="1"/>
      <c r="RFH106" s="1"/>
      <c r="RFI106" s="1"/>
      <c r="RFJ106" s="1"/>
      <c r="RFK106" s="1"/>
      <c r="RFL106" s="1"/>
      <c r="RFM106" s="1"/>
      <c r="RFN106" s="1"/>
      <c r="RFO106" s="1"/>
      <c r="RFP106" s="1"/>
      <c r="RFQ106" s="1"/>
      <c r="RFR106" s="1"/>
      <c r="RFS106" s="1"/>
      <c r="RFT106" s="1"/>
      <c r="RFU106" s="1"/>
      <c r="RFV106" s="1"/>
      <c r="RFW106" s="1"/>
      <c r="RFX106" s="1"/>
      <c r="RFY106" s="1"/>
      <c r="RFZ106" s="1"/>
      <c r="RGA106" s="1"/>
      <c r="RGB106" s="1"/>
      <c r="RGC106" s="1"/>
      <c r="RGD106" s="1"/>
      <c r="RGE106" s="1"/>
      <c r="RGF106" s="1"/>
      <c r="RGG106" s="1"/>
      <c r="RGH106" s="1"/>
      <c r="RGI106" s="1"/>
      <c r="RGJ106" s="1"/>
      <c r="RGK106" s="1"/>
      <c r="RGL106" s="1"/>
      <c r="RGM106" s="1"/>
      <c r="RGN106" s="1"/>
      <c r="RGO106" s="1"/>
      <c r="RGP106" s="1"/>
      <c r="RGQ106" s="1"/>
      <c r="RGR106" s="1"/>
      <c r="RGS106" s="1"/>
      <c r="RGT106" s="1"/>
      <c r="RGU106" s="1"/>
      <c r="RGV106" s="1"/>
      <c r="RGW106" s="1"/>
      <c r="RGX106" s="1"/>
      <c r="RGY106" s="1"/>
      <c r="RGZ106" s="1"/>
      <c r="RHA106" s="1"/>
      <c r="RHB106" s="1"/>
      <c r="RHC106" s="1"/>
      <c r="RHD106" s="1"/>
      <c r="RHE106" s="1"/>
      <c r="RHF106" s="1"/>
      <c r="RHG106" s="1"/>
      <c r="RHH106" s="1"/>
      <c r="RHI106" s="1"/>
      <c r="RHJ106" s="1"/>
      <c r="RHK106" s="1"/>
      <c r="RHL106" s="1"/>
      <c r="RHM106" s="1"/>
      <c r="RHN106" s="1"/>
      <c r="RHO106" s="1"/>
      <c r="RHP106" s="1"/>
      <c r="RHQ106" s="1"/>
      <c r="RHR106" s="1"/>
      <c r="RHS106" s="1"/>
      <c r="RHT106" s="1"/>
      <c r="RHU106" s="1"/>
      <c r="RHV106" s="1"/>
      <c r="RHW106" s="1"/>
      <c r="RHX106" s="1"/>
      <c r="RHY106" s="1"/>
      <c r="RHZ106" s="1"/>
      <c r="RIA106" s="1"/>
      <c r="RIB106" s="1"/>
      <c r="RIC106" s="1"/>
      <c r="RID106" s="1"/>
      <c r="RIE106" s="1"/>
      <c r="RIF106" s="1"/>
      <c r="RIG106" s="1"/>
      <c r="RIH106" s="1"/>
      <c r="RII106" s="1"/>
      <c r="RIJ106" s="1"/>
      <c r="RIK106" s="1"/>
      <c r="RIL106" s="1"/>
      <c r="RIM106" s="1"/>
      <c r="RIN106" s="1"/>
      <c r="RIO106" s="1"/>
      <c r="RIP106" s="1"/>
      <c r="RIQ106" s="1"/>
      <c r="RIR106" s="1"/>
      <c r="RIS106" s="1"/>
      <c r="RIT106" s="1"/>
      <c r="RIU106" s="1"/>
      <c r="RIV106" s="1"/>
      <c r="RIW106" s="1"/>
      <c r="RIX106" s="1"/>
      <c r="RIY106" s="1"/>
      <c r="RIZ106" s="1"/>
      <c r="RJA106" s="1"/>
      <c r="RJB106" s="1"/>
      <c r="RJC106" s="1"/>
      <c r="RJD106" s="1"/>
      <c r="RJE106" s="1"/>
      <c r="RJF106" s="1"/>
      <c r="RJG106" s="1"/>
      <c r="RJH106" s="1"/>
      <c r="RJI106" s="1"/>
      <c r="RJJ106" s="1"/>
      <c r="RJK106" s="1"/>
      <c r="RJL106" s="1"/>
      <c r="RJM106" s="1"/>
      <c r="RJN106" s="1"/>
      <c r="RJO106" s="1"/>
      <c r="RJP106" s="1"/>
      <c r="RJQ106" s="1"/>
      <c r="RJR106" s="1"/>
      <c r="RJS106" s="1"/>
      <c r="RJT106" s="1"/>
      <c r="RJU106" s="1"/>
      <c r="RJV106" s="1"/>
      <c r="RJW106" s="1"/>
      <c r="RJX106" s="1"/>
      <c r="RJY106" s="1"/>
      <c r="RJZ106" s="1"/>
      <c r="RKA106" s="1"/>
      <c r="RKB106" s="1"/>
      <c r="RKC106" s="1"/>
      <c r="RKD106" s="1"/>
      <c r="RKE106" s="1"/>
      <c r="RKF106" s="1"/>
      <c r="RKG106" s="1"/>
      <c r="RKH106" s="1"/>
      <c r="RKI106" s="1"/>
      <c r="RKJ106" s="1"/>
      <c r="RKK106" s="1"/>
      <c r="RKL106" s="1"/>
      <c r="RKM106" s="1"/>
      <c r="RKN106" s="1"/>
      <c r="RKO106" s="1"/>
      <c r="RKP106" s="1"/>
      <c r="RKQ106" s="1"/>
      <c r="RKR106" s="1"/>
      <c r="RKS106" s="1"/>
      <c r="RKT106" s="1"/>
      <c r="RKU106" s="1"/>
      <c r="RKV106" s="1"/>
      <c r="RKW106" s="1"/>
      <c r="RKX106" s="1"/>
      <c r="RKY106" s="1"/>
      <c r="RKZ106" s="1"/>
      <c r="RLA106" s="1"/>
      <c r="RLB106" s="1"/>
      <c r="RLC106" s="1"/>
      <c r="RLD106" s="1"/>
      <c r="RLE106" s="1"/>
      <c r="RLF106" s="1"/>
      <c r="RLG106" s="1"/>
      <c r="RLH106" s="1"/>
      <c r="RLI106" s="1"/>
      <c r="RLJ106" s="1"/>
      <c r="RLK106" s="1"/>
      <c r="RLL106" s="1"/>
      <c r="RLM106" s="1"/>
      <c r="RLN106" s="1"/>
      <c r="RLO106" s="1"/>
      <c r="RLP106" s="1"/>
      <c r="RLQ106" s="1"/>
      <c r="RLR106" s="1"/>
      <c r="RLS106" s="1"/>
      <c r="RLT106" s="1"/>
      <c r="RLU106" s="1"/>
      <c r="RLV106" s="1"/>
      <c r="RLW106" s="1"/>
      <c r="RLX106" s="1"/>
      <c r="RLY106" s="1"/>
      <c r="RLZ106" s="1"/>
      <c r="RMA106" s="1"/>
      <c r="RMB106" s="1"/>
      <c r="RMC106" s="1"/>
      <c r="RMD106" s="1"/>
      <c r="RME106" s="1"/>
      <c r="RMF106" s="1"/>
      <c r="RMG106" s="1"/>
      <c r="RMH106" s="1"/>
      <c r="RMI106" s="1"/>
      <c r="RMJ106" s="1"/>
      <c r="RMK106" s="1"/>
      <c r="RML106" s="1"/>
      <c r="RMM106" s="1"/>
      <c r="RMN106" s="1"/>
      <c r="RMO106" s="1"/>
      <c r="RMP106" s="1"/>
      <c r="RMQ106" s="1"/>
      <c r="RMR106" s="1"/>
      <c r="RMS106" s="1"/>
      <c r="RMT106" s="1"/>
      <c r="RMU106" s="1"/>
      <c r="RMV106" s="1"/>
      <c r="RMW106" s="1"/>
      <c r="RMX106" s="1"/>
      <c r="RMY106" s="1"/>
      <c r="RMZ106" s="1"/>
      <c r="RNA106" s="1"/>
      <c r="RNB106" s="1"/>
      <c r="RNC106" s="1"/>
      <c r="RND106" s="1"/>
      <c r="RNE106" s="1"/>
      <c r="RNF106" s="1"/>
      <c r="RNG106" s="1"/>
      <c r="RNH106" s="1"/>
      <c r="RNI106" s="1"/>
      <c r="RNJ106" s="1"/>
      <c r="RNK106" s="1"/>
      <c r="RNL106" s="1"/>
      <c r="RNM106" s="1"/>
      <c r="RNN106" s="1"/>
      <c r="RNO106" s="1"/>
      <c r="RNP106" s="1"/>
      <c r="RNQ106" s="1"/>
      <c r="RNR106" s="1"/>
      <c r="RNS106" s="1"/>
      <c r="RNT106" s="1"/>
      <c r="RNU106" s="1"/>
      <c r="RNV106" s="1"/>
      <c r="RNW106" s="1"/>
      <c r="RNX106" s="1"/>
      <c r="RNY106" s="1"/>
      <c r="RNZ106" s="1"/>
      <c r="ROA106" s="1"/>
      <c r="ROB106" s="1"/>
      <c r="ROC106" s="1"/>
      <c r="ROD106" s="1"/>
      <c r="ROE106" s="1"/>
      <c r="ROF106" s="1"/>
      <c r="ROG106" s="1"/>
      <c r="ROH106" s="1"/>
      <c r="ROI106" s="1"/>
      <c r="ROJ106" s="1"/>
      <c r="ROK106" s="1"/>
      <c r="ROL106" s="1"/>
      <c r="ROM106" s="1"/>
      <c r="RON106" s="1"/>
      <c r="ROO106" s="1"/>
      <c r="ROP106" s="1"/>
      <c r="ROQ106" s="1"/>
      <c r="ROR106" s="1"/>
      <c r="ROS106" s="1"/>
      <c r="ROT106" s="1"/>
      <c r="ROU106" s="1"/>
      <c r="ROV106" s="1"/>
      <c r="ROW106" s="1"/>
      <c r="ROX106" s="1"/>
      <c r="ROY106" s="1"/>
      <c r="ROZ106" s="1"/>
      <c r="RPA106" s="1"/>
      <c r="RPB106" s="1"/>
      <c r="RPC106" s="1"/>
      <c r="RPD106" s="1"/>
      <c r="RPE106" s="1"/>
      <c r="RPF106" s="1"/>
      <c r="RPG106" s="1"/>
      <c r="RPH106" s="1"/>
      <c r="RPI106" s="1"/>
      <c r="RPJ106" s="1"/>
      <c r="RPK106" s="1"/>
      <c r="RPL106" s="1"/>
      <c r="RPM106" s="1"/>
      <c r="RPN106" s="1"/>
      <c r="RPO106" s="1"/>
      <c r="RPP106" s="1"/>
      <c r="RPQ106" s="1"/>
      <c r="RPR106" s="1"/>
      <c r="RPS106" s="1"/>
      <c r="RPT106" s="1"/>
      <c r="RPU106" s="1"/>
      <c r="RPV106" s="1"/>
      <c r="RPW106" s="1"/>
      <c r="RPX106" s="1"/>
      <c r="RPY106" s="1"/>
      <c r="RPZ106" s="1"/>
      <c r="RQA106" s="1"/>
      <c r="RQB106" s="1"/>
      <c r="RQC106" s="1"/>
      <c r="RQD106" s="1"/>
      <c r="RQE106" s="1"/>
      <c r="RQF106" s="1"/>
      <c r="RQG106" s="1"/>
      <c r="RQH106" s="1"/>
      <c r="RQI106" s="1"/>
      <c r="RQJ106" s="1"/>
      <c r="RQK106" s="1"/>
      <c r="RQL106" s="1"/>
      <c r="RQM106" s="1"/>
      <c r="RQN106" s="1"/>
      <c r="RQO106" s="1"/>
      <c r="RQP106" s="1"/>
      <c r="RQQ106" s="1"/>
      <c r="RQR106" s="1"/>
      <c r="RQS106" s="1"/>
      <c r="RQT106" s="1"/>
      <c r="RQU106" s="1"/>
      <c r="RQV106" s="1"/>
      <c r="RQW106" s="1"/>
      <c r="RQX106" s="1"/>
      <c r="RQY106" s="1"/>
      <c r="RQZ106" s="1"/>
      <c r="RRA106" s="1"/>
      <c r="RRB106" s="1"/>
      <c r="RRC106" s="1"/>
      <c r="RRD106" s="1"/>
      <c r="RRE106" s="1"/>
      <c r="RRF106" s="1"/>
      <c r="RRG106" s="1"/>
      <c r="RRH106" s="1"/>
      <c r="RRI106" s="1"/>
      <c r="RRJ106" s="1"/>
      <c r="RRK106" s="1"/>
      <c r="RRL106" s="1"/>
      <c r="RRM106" s="1"/>
      <c r="RRN106" s="1"/>
      <c r="RRO106" s="1"/>
      <c r="RRP106" s="1"/>
      <c r="RRQ106" s="1"/>
      <c r="RRR106" s="1"/>
      <c r="RRS106" s="1"/>
      <c r="RRT106" s="1"/>
      <c r="RRU106" s="1"/>
      <c r="RRV106" s="1"/>
      <c r="RRW106" s="1"/>
      <c r="RRX106" s="1"/>
      <c r="RRY106" s="1"/>
      <c r="RRZ106" s="1"/>
      <c r="RSA106" s="1"/>
      <c r="RSB106" s="1"/>
      <c r="RSC106" s="1"/>
      <c r="RSD106" s="1"/>
      <c r="RSE106" s="1"/>
      <c r="RSF106" s="1"/>
      <c r="RSG106" s="1"/>
      <c r="RSH106" s="1"/>
      <c r="RSI106" s="1"/>
      <c r="RSJ106" s="1"/>
      <c r="RSK106" s="1"/>
      <c r="RSL106" s="1"/>
      <c r="RSM106" s="1"/>
      <c r="RSN106" s="1"/>
      <c r="RSO106" s="1"/>
      <c r="RSP106" s="1"/>
      <c r="RSQ106" s="1"/>
      <c r="RSR106" s="1"/>
      <c r="RSS106" s="1"/>
      <c r="RST106" s="1"/>
      <c r="RSU106" s="1"/>
      <c r="RSV106" s="1"/>
      <c r="RSW106" s="1"/>
      <c r="RSX106" s="1"/>
      <c r="RSY106" s="1"/>
      <c r="RSZ106" s="1"/>
      <c r="RTA106" s="1"/>
      <c r="RTB106" s="1"/>
      <c r="RTC106" s="1"/>
      <c r="RTD106" s="1"/>
      <c r="RTE106" s="1"/>
      <c r="RTF106" s="1"/>
      <c r="RTG106" s="1"/>
      <c r="RTH106" s="1"/>
      <c r="RTI106" s="1"/>
      <c r="RTJ106" s="1"/>
      <c r="RTK106" s="1"/>
      <c r="RTL106" s="1"/>
      <c r="RTM106" s="1"/>
      <c r="RTN106" s="1"/>
      <c r="RTO106" s="1"/>
      <c r="RTP106" s="1"/>
      <c r="RTQ106" s="1"/>
      <c r="RTR106" s="1"/>
      <c r="RTS106" s="1"/>
      <c r="RTT106" s="1"/>
      <c r="RTU106" s="1"/>
      <c r="RTV106" s="1"/>
      <c r="RTW106" s="1"/>
      <c r="RTX106" s="1"/>
      <c r="RTY106" s="1"/>
      <c r="RTZ106" s="1"/>
      <c r="RUA106" s="1"/>
      <c r="RUB106" s="1"/>
      <c r="RUC106" s="1"/>
      <c r="RUD106" s="1"/>
      <c r="RUE106" s="1"/>
      <c r="RUF106" s="1"/>
      <c r="RUG106" s="1"/>
      <c r="RUH106" s="1"/>
      <c r="RUI106" s="1"/>
      <c r="RUJ106" s="1"/>
      <c r="RUK106" s="1"/>
      <c r="RUL106" s="1"/>
      <c r="RUM106" s="1"/>
      <c r="RUN106" s="1"/>
      <c r="RUO106" s="1"/>
      <c r="RUP106" s="1"/>
      <c r="RUQ106" s="1"/>
      <c r="RUR106" s="1"/>
      <c r="RUS106" s="1"/>
      <c r="RUT106" s="1"/>
      <c r="RUU106" s="1"/>
      <c r="RUV106" s="1"/>
      <c r="RUW106" s="1"/>
      <c r="RUX106" s="1"/>
      <c r="RUY106" s="1"/>
      <c r="RUZ106" s="1"/>
      <c r="RVA106" s="1"/>
      <c r="RVB106" s="1"/>
      <c r="RVC106" s="1"/>
      <c r="RVD106" s="1"/>
      <c r="RVE106" s="1"/>
      <c r="RVF106" s="1"/>
      <c r="RVG106" s="1"/>
      <c r="RVH106" s="1"/>
      <c r="RVI106" s="1"/>
      <c r="RVJ106" s="1"/>
      <c r="RVK106" s="1"/>
      <c r="RVL106" s="1"/>
      <c r="RVM106" s="1"/>
      <c r="RVN106" s="1"/>
      <c r="RVO106" s="1"/>
      <c r="RVP106" s="1"/>
      <c r="RVQ106" s="1"/>
      <c r="RVR106" s="1"/>
      <c r="RVS106" s="1"/>
      <c r="RVT106" s="1"/>
      <c r="RVU106" s="1"/>
      <c r="RVV106" s="1"/>
      <c r="RVW106" s="1"/>
      <c r="RVX106" s="1"/>
      <c r="RVY106" s="1"/>
      <c r="RVZ106" s="1"/>
      <c r="RWA106" s="1"/>
      <c r="RWB106" s="1"/>
      <c r="RWC106" s="1"/>
      <c r="RWD106" s="1"/>
      <c r="RWE106" s="1"/>
      <c r="RWF106" s="1"/>
      <c r="RWG106" s="1"/>
      <c r="RWH106" s="1"/>
      <c r="RWI106" s="1"/>
      <c r="RWJ106" s="1"/>
      <c r="RWK106" s="1"/>
      <c r="RWL106" s="1"/>
      <c r="RWM106" s="1"/>
      <c r="RWN106" s="1"/>
      <c r="RWO106" s="1"/>
      <c r="RWP106" s="1"/>
      <c r="RWQ106" s="1"/>
      <c r="RWR106" s="1"/>
      <c r="RWS106" s="1"/>
      <c r="RWT106" s="1"/>
      <c r="RWU106" s="1"/>
      <c r="RWV106" s="1"/>
      <c r="RWW106" s="1"/>
      <c r="RWX106" s="1"/>
      <c r="RWY106" s="1"/>
      <c r="RWZ106" s="1"/>
      <c r="RXA106" s="1"/>
      <c r="RXB106" s="1"/>
      <c r="RXC106" s="1"/>
      <c r="RXD106" s="1"/>
      <c r="RXE106" s="1"/>
      <c r="RXF106" s="1"/>
      <c r="RXG106" s="1"/>
      <c r="RXH106" s="1"/>
      <c r="RXI106" s="1"/>
      <c r="RXJ106" s="1"/>
      <c r="RXK106" s="1"/>
      <c r="RXL106" s="1"/>
      <c r="RXM106" s="1"/>
      <c r="RXN106" s="1"/>
      <c r="RXO106" s="1"/>
      <c r="RXP106" s="1"/>
      <c r="RXQ106" s="1"/>
      <c r="RXR106" s="1"/>
      <c r="RXS106" s="1"/>
      <c r="RXT106" s="1"/>
      <c r="RXU106" s="1"/>
      <c r="RXV106" s="1"/>
      <c r="RXW106" s="1"/>
      <c r="RXX106" s="1"/>
      <c r="RXY106" s="1"/>
      <c r="RXZ106" s="1"/>
      <c r="RYA106" s="1"/>
      <c r="RYB106" s="1"/>
      <c r="RYC106" s="1"/>
      <c r="RYD106" s="1"/>
      <c r="RYE106" s="1"/>
      <c r="RYF106" s="1"/>
      <c r="RYG106" s="1"/>
      <c r="RYH106" s="1"/>
      <c r="RYI106" s="1"/>
      <c r="RYJ106" s="1"/>
      <c r="RYK106" s="1"/>
      <c r="RYL106" s="1"/>
      <c r="RYM106" s="1"/>
      <c r="RYN106" s="1"/>
      <c r="RYO106" s="1"/>
      <c r="RYP106" s="1"/>
      <c r="RYQ106" s="1"/>
      <c r="RYR106" s="1"/>
      <c r="RYS106" s="1"/>
      <c r="RYT106" s="1"/>
      <c r="RYU106" s="1"/>
      <c r="RYV106" s="1"/>
      <c r="RYW106" s="1"/>
      <c r="RYX106" s="1"/>
      <c r="RYY106" s="1"/>
      <c r="RYZ106" s="1"/>
      <c r="RZA106" s="1"/>
      <c r="RZB106" s="1"/>
      <c r="RZC106" s="1"/>
      <c r="RZD106" s="1"/>
      <c r="RZE106" s="1"/>
      <c r="RZF106" s="1"/>
      <c r="RZG106" s="1"/>
      <c r="RZH106" s="1"/>
      <c r="RZI106" s="1"/>
      <c r="RZJ106" s="1"/>
      <c r="RZK106" s="1"/>
      <c r="RZL106" s="1"/>
      <c r="RZM106" s="1"/>
      <c r="RZN106" s="1"/>
      <c r="RZO106" s="1"/>
      <c r="RZP106" s="1"/>
      <c r="RZQ106" s="1"/>
      <c r="RZR106" s="1"/>
      <c r="RZS106" s="1"/>
      <c r="RZT106" s="1"/>
      <c r="RZU106" s="1"/>
      <c r="RZV106" s="1"/>
      <c r="RZW106" s="1"/>
      <c r="RZX106" s="1"/>
      <c r="RZY106" s="1"/>
      <c r="RZZ106" s="1"/>
      <c r="SAA106" s="1"/>
      <c r="SAB106" s="1"/>
      <c r="SAC106" s="1"/>
      <c r="SAD106" s="1"/>
      <c r="SAE106" s="1"/>
      <c r="SAF106" s="1"/>
      <c r="SAG106" s="1"/>
      <c r="SAH106" s="1"/>
      <c r="SAI106" s="1"/>
      <c r="SAJ106" s="1"/>
      <c r="SAK106" s="1"/>
      <c r="SAL106" s="1"/>
      <c r="SAM106" s="1"/>
      <c r="SAN106" s="1"/>
      <c r="SAO106" s="1"/>
      <c r="SAP106" s="1"/>
      <c r="SAQ106" s="1"/>
      <c r="SAR106" s="1"/>
      <c r="SAS106" s="1"/>
      <c r="SAT106" s="1"/>
      <c r="SAU106" s="1"/>
      <c r="SAV106" s="1"/>
      <c r="SAW106" s="1"/>
      <c r="SAX106" s="1"/>
      <c r="SAY106" s="1"/>
      <c r="SAZ106" s="1"/>
      <c r="SBA106" s="1"/>
      <c r="SBB106" s="1"/>
      <c r="SBC106" s="1"/>
      <c r="SBD106" s="1"/>
      <c r="SBE106" s="1"/>
      <c r="SBF106" s="1"/>
      <c r="SBG106" s="1"/>
      <c r="SBH106" s="1"/>
      <c r="SBI106" s="1"/>
      <c r="SBJ106" s="1"/>
      <c r="SBK106" s="1"/>
      <c r="SBL106" s="1"/>
      <c r="SBM106" s="1"/>
      <c r="SBN106" s="1"/>
      <c r="SBO106" s="1"/>
      <c r="SBP106" s="1"/>
      <c r="SBQ106" s="1"/>
      <c r="SBR106" s="1"/>
      <c r="SBS106" s="1"/>
      <c r="SBT106" s="1"/>
      <c r="SBU106" s="1"/>
      <c r="SBV106" s="1"/>
      <c r="SBW106" s="1"/>
      <c r="SBX106" s="1"/>
      <c r="SBY106" s="1"/>
      <c r="SBZ106" s="1"/>
      <c r="SCA106" s="1"/>
      <c r="SCB106" s="1"/>
      <c r="SCC106" s="1"/>
      <c r="SCD106" s="1"/>
      <c r="SCE106" s="1"/>
      <c r="SCF106" s="1"/>
      <c r="SCG106" s="1"/>
      <c r="SCH106" s="1"/>
      <c r="SCI106" s="1"/>
      <c r="SCJ106" s="1"/>
      <c r="SCK106" s="1"/>
      <c r="SCL106" s="1"/>
      <c r="SCM106" s="1"/>
      <c r="SCN106" s="1"/>
      <c r="SCO106" s="1"/>
      <c r="SCP106" s="1"/>
      <c r="SCQ106" s="1"/>
      <c r="SCR106" s="1"/>
      <c r="SCS106" s="1"/>
      <c r="SCT106" s="1"/>
      <c r="SCU106" s="1"/>
      <c r="SCV106" s="1"/>
      <c r="SCW106" s="1"/>
      <c r="SCX106" s="1"/>
      <c r="SCY106" s="1"/>
      <c r="SCZ106" s="1"/>
      <c r="SDA106" s="1"/>
      <c r="SDB106" s="1"/>
      <c r="SDC106" s="1"/>
      <c r="SDD106" s="1"/>
      <c r="SDE106" s="1"/>
      <c r="SDF106" s="1"/>
      <c r="SDG106" s="1"/>
      <c r="SDH106" s="1"/>
      <c r="SDI106" s="1"/>
      <c r="SDJ106" s="1"/>
      <c r="SDK106" s="1"/>
      <c r="SDL106" s="1"/>
      <c r="SDM106" s="1"/>
      <c r="SDN106" s="1"/>
      <c r="SDO106" s="1"/>
      <c r="SDP106" s="1"/>
      <c r="SDQ106" s="1"/>
      <c r="SDR106" s="1"/>
      <c r="SDS106" s="1"/>
      <c r="SDT106" s="1"/>
      <c r="SDU106" s="1"/>
      <c r="SDV106" s="1"/>
      <c r="SDW106" s="1"/>
      <c r="SDX106" s="1"/>
      <c r="SDY106" s="1"/>
      <c r="SDZ106" s="1"/>
      <c r="SEA106" s="1"/>
      <c r="SEB106" s="1"/>
      <c r="SEC106" s="1"/>
      <c r="SED106" s="1"/>
      <c r="SEE106" s="1"/>
      <c r="SEF106" s="1"/>
      <c r="SEG106" s="1"/>
      <c r="SEH106" s="1"/>
      <c r="SEI106" s="1"/>
      <c r="SEJ106" s="1"/>
      <c r="SEK106" s="1"/>
      <c r="SEL106" s="1"/>
      <c r="SEM106" s="1"/>
      <c r="SEN106" s="1"/>
      <c r="SEO106" s="1"/>
      <c r="SEP106" s="1"/>
      <c r="SEQ106" s="1"/>
      <c r="SER106" s="1"/>
      <c r="SES106" s="1"/>
      <c r="SET106" s="1"/>
      <c r="SEU106" s="1"/>
      <c r="SEV106" s="1"/>
      <c r="SEW106" s="1"/>
      <c r="SEX106" s="1"/>
      <c r="SEY106" s="1"/>
      <c r="SEZ106" s="1"/>
      <c r="SFA106" s="1"/>
      <c r="SFB106" s="1"/>
      <c r="SFC106" s="1"/>
      <c r="SFD106" s="1"/>
      <c r="SFE106" s="1"/>
      <c r="SFF106" s="1"/>
      <c r="SFG106" s="1"/>
      <c r="SFH106" s="1"/>
      <c r="SFI106" s="1"/>
      <c r="SFJ106" s="1"/>
      <c r="SFK106" s="1"/>
      <c r="SFL106" s="1"/>
      <c r="SFM106" s="1"/>
      <c r="SFN106" s="1"/>
      <c r="SFO106" s="1"/>
      <c r="SFP106" s="1"/>
      <c r="SFQ106" s="1"/>
      <c r="SFR106" s="1"/>
      <c r="SFS106" s="1"/>
      <c r="SFT106" s="1"/>
      <c r="SFU106" s="1"/>
      <c r="SFV106" s="1"/>
      <c r="SFW106" s="1"/>
      <c r="SFX106" s="1"/>
      <c r="SFY106" s="1"/>
      <c r="SFZ106" s="1"/>
      <c r="SGA106" s="1"/>
      <c r="SGB106" s="1"/>
      <c r="SGC106" s="1"/>
      <c r="SGD106" s="1"/>
      <c r="SGE106" s="1"/>
      <c r="SGF106" s="1"/>
      <c r="SGG106" s="1"/>
      <c r="SGH106" s="1"/>
      <c r="SGI106" s="1"/>
      <c r="SGJ106" s="1"/>
      <c r="SGK106" s="1"/>
      <c r="SGL106" s="1"/>
      <c r="SGM106" s="1"/>
      <c r="SGN106" s="1"/>
      <c r="SGO106" s="1"/>
      <c r="SGP106" s="1"/>
      <c r="SGQ106" s="1"/>
      <c r="SGR106" s="1"/>
      <c r="SGS106" s="1"/>
      <c r="SGT106" s="1"/>
      <c r="SGU106" s="1"/>
      <c r="SGV106" s="1"/>
      <c r="SGW106" s="1"/>
      <c r="SGX106" s="1"/>
      <c r="SGY106" s="1"/>
      <c r="SGZ106" s="1"/>
      <c r="SHA106" s="1"/>
      <c r="SHB106" s="1"/>
      <c r="SHC106" s="1"/>
      <c r="SHD106" s="1"/>
      <c r="SHE106" s="1"/>
      <c r="SHF106" s="1"/>
      <c r="SHG106" s="1"/>
      <c r="SHH106" s="1"/>
      <c r="SHI106" s="1"/>
      <c r="SHJ106" s="1"/>
      <c r="SHK106" s="1"/>
      <c r="SHL106" s="1"/>
      <c r="SHM106" s="1"/>
      <c r="SHN106" s="1"/>
      <c r="SHO106" s="1"/>
      <c r="SHP106" s="1"/>
      <c r="SHQ106" s="1"/>
      <c r="SHR106" s="1"/>
      <c r="SHS106" s="1"/>
      <c r="SHT106" s="1"/>
      <c r="SHU106" s="1"/>
      <c r="SHV106" s="1"/>
      <c r="SHW106" s="1"/>
      <c r="SHX106" s="1"/>
      <c r="SHY106" s="1"/>
      <c r="SHZ106" s="1"/>
      <c r="SIA106" s="1"/>
      <c r="SIB106" s="1"/>
      <c r="SIC106" s="1"/>
      <c r="SID106" s="1"/>
      <c r="SIE106" s="1"/>
      <c r="SIF106" s="1"/>
      <c r="SIG106" s="1"/>
      <c r="SIH106" s="1"/>
      <c r="SII106" s="1"/>
      <c r="SIJ106" s="1"/>
      <c r="SIK106" s="1"/>
      <c r="SIL106" s="1"/>
      <c r="SIM106" s="1"/>
      <c r="SIN106" s="1"/>
      <c r="SIO106" s="1"/>
      <c r="SIP106" s="1"/>
      <c r="SIQ106" s="1"/>
      <c r="SIR106" s="1"/>
      <c r="SIS106" s="1"/>
      <c r="SIT106" s="1"/>
      <c r="SIU106" s="1"/>
      <c r="SIV106" s="1"/>
      <c r="SIW106" s="1"/>
      <c r="SIX106" s="1"/>
      <c r="SIY106" s="1"/>
      <c r="SIZ106" s="1"/>
      <c r="SJA106" s="1"/>
      <c r="SJB106" s="1"/>
      <c r="SJC106" s="1"/>
      <c r="SJD106" s="1"/>
      <c r="SJE106" s="1"/>
      <c r="SJF106" s="1"/>
      <c r="SJG106" s="1"/>
      <c r="SJH106" s="1"/>
      <c r="SJI106" s="1"/>
      <c r="SJJ106" s="1"/>
      <c r="SJK106" s="1"/>
      <c r="SJL106" s="1"/>
      <c r="SJM106" s="1"/>
      <c r="SJN106" s="1"/>
      <c r="SJO106" s="1"/>
      <c r="SJP106" s="1"/>
      <c r="SJQ106" s="1"/>
      <c r="SJR106" s="1"/>
      <c r="SJS106" s="1"/>
      <c r="SJT106" s="1"/>
      <c r="SJU106" s="1"/>
      <c r="SJV106" s="1"/>
      <c r="SJW106" s="1"/>
      <c r="SJX106" s="1"/>
      <c r="SJY106" s="1"/>
      <c r="SJZ106" s="1"/>
      <c r="SKA106" s="1"/>
      <c r="SKB106" s="1"/>
      <c r="SKC106" s="1"/>
      <c r="SKD106" s="1"/>
      <c r="SKE106" s="1"/>
      <c r="SKF106" s="1"/>
      <c r="SKG106" s="1"/>
      <c r="SKH106" s="1"/>
      <c r="SKI106" s="1"/>
      <c r="SKJ106" s="1"/>
      <c r="SKK106" s="1"/>
      <c r="SKL106" s="1"/>
      <c r="SKM106" s="1"/>
      <c r="SKN106" s="1"/>
      <c r="SKO106" s="1"/>
      <c r="SKP106" s="1"/>
      <c r="SKQ106" s="1"/>
      <c r="SKR106" s="1"/>
      <c r="SKS106" s="1"/>
      <c r="SKT106" s="1"/>
      <c r="SKU106" s="1"/>
      <c r="SKV106" s="1"/>
      <c r="SKW106" s="1"/>
      <c r="SKX106" s="1"/>
      <c r="SKY106" s="1"/>
      <c r="SKZ106" s="1"/>
      <c r="SLA106" s="1"/>
      <c r="SLB106" s="1"/>
      <c r="SLC106" s="1"/>
      <c r="SLD106" s="1"/>
      <c r="SLE106" s="1"/>
      <c r="SLF106" s="1"/>
      <c r="SLG106" s="1"/>
      <c r="SLH106" s="1"/>
      <c r="SLI106" s="1"/>
      <c r="SLJ106" s="1"/>
      <c r="SLK106" s="1"/>
      <c r="SLL106" s="1"/>
      <c r="SLM106" s="1"/>
      <c r="SLN106" s="1"/>
      <c r="SLO106" s="1"/>
      <c r="SLP106" s="1"/>
      <c r="SLQ106" s="1"/>
      <c r="SLR106" s="1"/>
      <c r="SLS106" s="1"/>
      <c r="SLT106" s="1"/>
      <c r="SLU106" s="1"/>
      <c r="SLV106" s="1"/>
      <c r="SLW106" s="1"/>
      <c r="SLX106" s="1"/>
      <c r="SLY106" s="1"/>
      <c r="SLZ106" s="1"/>
      <c r="SMA106" s="1"/>
      <c r="SMB106" s="1"/>
      <c r="SMC106" s="1"/>
      <c r="SMD106" s="1"/>
      <c r="SME106" s="1"/>
      <c r="SMF106" s="1"/>
      <c r="SMG106" s="1"/>
      <c r="SMH106" s="1"/>
      <c r="SMI106" s="1"/>
      <c r="SMJ106" s="1"/>
      <c r="SMK106" s="1"/>
      <c r="SML106" s="1"/>
      <c r="SMM106" s="1"/>
      <c r="SMN106" s="1"/>
      <c r="SMO106" s="1"/>
      <c r="SMP106" s="1"/>
      <c r="SMQ106" s="1"/>
      <c r="SMR106" s="1"/>
      <c r="SMS106" s="1"/>
      <c r="SMT106" s="1"/>
      <c r="SMU106" s="1"/>
      <c r="SMV106" s="1"/>
      <c r="SMW106" s="1"/>
      <c r="SMX106" s="1"/>
      <c r="SMY106" s="1"/>
      <c r="SMZ106" s="1"/>
      <c r="SNA106" s="1"/>
      <c r="SNB106" s="1"/>
      <c r="SNC106" s="1"/>
      <c r="SND106" s="1"/>
      <c r="SNE106" s="1"/>
      <c r="SNF106" s="1"/>
      <c r="SNG106" s="1"/>
      <c r="SNH106" s="1"/>
      <c r="SNI106" s="1"/>
      <c r="SNJ106" s="1"/>
      <c r="SNK106" s="1"/>
      <c r="SNL106" s="1"/>
      <c r="SNM106" s="1"/>
      <c r="SNN106" s="1"/>
      <c r="SNO106" s="1"/>
      <c r="SNP106" s="1"/>
      <c r="SNQ106" s="1"/>
      <c r="SNR106" s="1"/>
      <c r="SNS106" s="1"/>
      <c r="SNT106" s="1"/>
      <c r="SNU106" s="1"/>
      <c r="SNV106" s="1"/>
      <c r="SNW106" s="1"/>
      <c r="SNX106" s="1"/>
      <c r="SNY106" s="1"/>
      <c r="SNZ106" s="1"/>
      <c r="SOA106" s="1"/>
      <c r="SOB106" s="1"/>
      <c r="SOC106" s="1"/>
      <c r="SOD106" s="1"/>
      <c r="SOE106" s="1"/>
      <c r="SOF106" s="1"/>
      <c r="SOG106" s="1"/>
      <c r="SOH106" s="1"/>
      <c r="SOI106" s="1"/>
      <c r="SOJ106" s="1"/>
      <c r="SOK106" s="1"/>
      <c r="SOL106" s="1"/>
      <c r="SOM106" s="1"/>
      <c r="SON106" s="1"/>
      <c r="SOO106" s="1"/>
      <c r="SOP106" s="1"/>
      <c r="SOQ106" s="1"/>
      <c r="SOR106" s="1"/>
      <c r="SOS106" s="1"/>
      <c r="SOT106" s="1"/>
      <c r="SOU106" s="1"/>
      <c r="SOV106" s="1"/>
      <c r="SOW106" s="1"/>
      <c r="SOX106" s="1"/>
      <c r="SOY106" s="1"/>
      <c r="SOZ106" s="1"/>
      <c r="SPA106" s="1"/>
      <c r="SPB106" s="1"/>
      <c r="SPC106" s="1"/>
      <c r="SPD106" s="1"/>
      <c r="SPE106" s="1"/>
      <c r="SPF106" s="1"/>
      <c r="SPG106" s="1"/>
      <c r="SPH106" s="1"/>
      <c r="SPI106" s="1"/>
      <c r="SPJ106" s="1"/>
      <c r="SPK106" s="1"/>
      <c r="SPL106" s="1"/>
      <c r="SPM106" s="1"/>
      <c r="SPN106" s="1"/>
      <c r="SPO106" s="1"/>
      <c r="SPP106" s="1"/>
      <c r="SPQ106" s="1"/>
      <c r="SPR106" s="1"/>
      <c r="SPS106" s="1"/>
      <c r="SPT106" s="1"/>
      <c r="SPU106" s="1"/>
      <c r="SPV106" s="1"/>
      <c r="SPW106" s="1"/>
      <c r="SPX106" s="1"/>
      <c r="SPY106" s="1"/>
      <c r="SPZ106" s="1"/>
      <c r="SQA106" s="1"/>
      <c r="SQB106" s="1"/>
      <c r="SQC106" s="1"/>
      <c r="SQD106" s="1"/>
      <c r="SQE106" s="1"/>
      <c r="SQF106" s="1"/>
      <c r="SQG106" s="1"/>
      <c r="SQH106" s="1"/>
      <c r="SQI106" s="1"/>
      <c r="SQJ106" s="1"/>
      <c r="SQK106" s="1"/>
      <c r="SQL106" s="1"/>
      <c r="SQM106" s="1"/>
      <c r="SQN106" s="1"/>
      <c r="SQO106" s="1"/>
      <c r="SQP106" s="1"/>
      <c r="SQQ106" s="1"/>
      <c r="SQR106" s="1"/>
      <c r="SQS106" s="1"/>
      <c r="SQT106" s="1"/>
      <c r="SQU106" s="1"/>
      <c r="SQV106" s="1"/>
      <c r="SQW106" s="1"/>
      <c r="SQX106" s="1"/>
      <c r="SQY106" s="1"/>
      <c r="SQZ106" s="1"/>
      <c r="SRA106" s="1"/>
      <c r="SRB106" s="1"/>
      <c r="SRC106" s="1"/>
      <c r="SRD106" s="1"/>
      <c r="SRE106" s="1"/>
      <c r="SRF106" s="1"/>
      <c r="SRG106" s="1"/>
      <c r="SRH106" s="1"/>
      <c r="SRI106" s="1"/>
      <c r="SRJ106" s="1"/>
      <c r="SRK106" s="1"/>
      <c r="SRL106" s="1"/>
      <c r="SRM106" s="1"/>
      <c r="SRN106" s="1"/>
      <c r="SRO106" s="1"/>
      <c r="SRP106" s="1"/>
      <c r="SRQ106" s="1"/>
      <c r="SRR106" s="1"/>
      <c r="SRS106" s="1"/>
      <c r="SRT106" s="1"/>
      <c r="SRU106" s="1"/>
      <c r="SRV106" s="1"/>
      <c r="SRW106" s="1"/>
      <c r="SRX106" s="1"/>
      <c r="SRY106" s="1"/>
      <c r="SRZ106" s="1"/>
      <c r="SSA106" s="1"/>
      <c r="SSB106" s="1"/>
      <c r="SSC106" s="1"/>
      <c r="SSD106" s="1"/>
      <c r="SSE106" s="1"/>
      <c r="SSF106" s="1"/>
      <c r="SSG106" s="1"/>
      <c r="SSH106" s="1"/>
      <c r="SSI106" s="1"/>
      <c r="SSJ106" s="1"/>
      <c r="SSK106" s="1"/>
      <c r="SSL106" s="1"/>
      <c r="SSM106" s="1"/>
      <c r="SSN106" s="1"/>
      <c r="SSO106" s="1"/>
      <c r="SSP106" s="1"/>
      <c r="SSQ106" s="1"/>
      <c r="SSR106" s="1"/>
      <c r="SSS106" s="1"/>
      <c r="SST106" s="1"/>
      <c r="SSU106" s="1"/>
      <c r="SSV106" s="1"/>
      <c r="SSW106" s="1"/>
      <c r="SSX106" s="1"/>
      <c r="SSY106" s="1"/>
      <c r="SSZ106" s="1"/>
      <c r="STA106" s="1"/>
      <c r="STB106" s="1"/>
      <c r="STC106" s="1"/>
      <c r="STD106" s="1"/>
      <c r="STE106" s="1"/>
      <c r="STF106" s="1"/>
      <c r="STG106" s="1"/>
      <c r="STH106" s="1"/>
      <c r="STI106" s="1"/>
      <c r="STJ106" s="1"/>
      <c r="STK106" s="1"/>
      <c r="STL106" s="1"/>
      <c r="STM106" s="1"/>
      <c r="STN106" s="1"/>
      <c r="STO106" s="1"/>
      <c r="STP106" s="1"/>
      <c r="STQ106" s="1"/>
      <c r="STR106" s="1"/>
      <c r="STS106" s="1"/>
      <c r="STT106" s="1"/>
      <c r="STU106" s="1"/>
      <c r="STV106" s="1"/>
      <c r="STW106" s="1"/>
      <c r="STX106" s="1"/>
      <c r="STY106" s="1"/>
      <c r="STZ106" s="1"/>
      <c r="SUA106" s="1"/>
      <c r="SUB106" s="1"/>
      <c r="SUC106" s="1"/>
      <c r="SUD106" s="1"/>
      <c r="SUE106" s="1"/>
      <c r="SUF106" s="1"/>
      <c r="SUG106" s="1"/>
      <c r="SUH106" s="1"/>
      <c r="SUI106" s="1"/>
      <c r="SUJ106" s="1"/>
      <c r="SUK106" s="1"/>
      <c r="SUL106" s="1"/>
      <c r="SUM106" s="1"/>
      <c r="SUN106" s="1"/>
      <c r="SUO106" s="1"/>
      <c r="SUP106" s="1"/>
      <c r="SUQ106" s="1"/>
      <c r="SUR106" s="1"/>
      <c r="SUS106" s="1"/>
      <c r="SUT106" s="1"/>
      <c r="SUU106" s="1"/>
      <c r="SUV106" s="1"/>
      <c r="SUW106" s="1"/>
      <c r="SUX106" s="1"/>
      <c r="SUY106" s="1"/>
      <c r="SUZ106" s="1"/>
      <c r="SVA106" s="1"/>
      <c r="SVB106" s="1"/>
      <c r="SVC106" s="1"/>
      <c r="SVD106" s="1"/>
      <c r="SVE106" s="1"/>
      <c r="SVF106" s="1"/>
      <c r="SVG106" s="1"/>
      <c r="SVH106" s="1"/>
      <c r="SVI106" s="1"/>
      <c r="SVJ106" s="1"/>
      <c r="SVK106" s="1"/>
      <c r="SVL106" s="1"/>
      <c r="SVM106" s="1"/>
      <c r="SVN106" s="1"/>
      <c r="SVO106" s="1"/>
      <c r="SVP106" s="1"/>
      <c r="SVQ106" s="1"/>
      <c r="SVR106" s="1"/>
      <c r="SVS106" s="1"/>
      <c r="SVT106" s="1"/>
      <c r="SVU106" s="1"/>
      <c r="SVV106" s="1"/>
      <c r="SVW106" s="1"/>
      <c r="SVX106" s="1"/>
      <c r="SVY106" s="1"/>
      <c r="SVZ106" s="1"/>
      <c r="SWA106" s="1"/>
      <c r="SWB106" s="1"/>
      <c r="SWC106" s="1"/>
      <c r="SWD106" s="1"/>
      <c r="SWE106" s="1"/>
      <c r="SWF106" s="1"/>
      <c r="SWG106" s="1"/>
      <c r="SWH106" s="1"/>
      <c r="SWI106" s="1"/>
      <c r="SWJ106" s="1"/>
      <c r="SWK106" s="1"/>
      <c r="SWL106" s="1"/>
      <c r="SWM106" s="1"/>
      <c r="SWN106" s="1"/>
      <c r="SWO106" s="1"/>
      <c r="SWP106" s="1"/>
      <c r="SWQ106" s="1"/>
      <c r="SWR106" s="1"/>
      <c r="SWS106" s="1"/>
      <c r="SWT106" s="1"/>
      <c r="SWU106" s="1"/>
      <c r="SWV106" s="1"/>
      <c r="SWW106" s="1"/>
      <c r="SWX106" s="1"/>
      <c r="SWY106" s="1"/>
      <c r="SWZ106" s="1"/>
      <c r="SXA106" s="1"/>
      <c r="SXB106" s="1"/>
      <c r="SXC106" s="1"/>
      <c r="SXD106" s="1"/>
      <c r="SXE106" s="1"/>
      <c r="SXF106" s="1"/>
      <c r="SXG106" s="1"/>
      <c r="SXH106" s="1"/>
      <c r="SXI106" s="1"/>
      <c r="SXJ106" s="1"/>
      <c r="SXK106" s="1"/>
      <c r="SXL106" s="1"/>
      <c r="SXM106" s="1"/>
      <c r="SXN106" s="1"/>
      <c r="SXO106" s="1"/>
      <c r="SXP106" s="1"/>
      <c r="SXQ106" s="1"/>
      <c r="SXR106" s="1"/>
      <c r="SXS106" s="1"/>
      <c r="SXT106" s="1"/>
      <c r="SXU106" s="1"/>
      <c r="SXV106" s="1"/>
      <c r="SXW106" s="1"/>
      <c r="SXX106" s="1"/>
      <c r="SXY106" s="1"/>
      <c r="SXZ106" s="1"/>
      <c r="SYA106" s="1"/>
      <c r="SYB106" s="1"/>
      <c r="SYC106" s="1"/>
      <c r="SYD106" s="1"/>
      <c r="SYE106" s="1"/>
      <c r="SYF106" s="1"/>
      <c r="SYG106" s="1"/>
      <c r="SYH106" s="1"/>
      <c r="SYI106" s="1"/>
      <c r="SYJ106" s="1"/>
      <c r="SYK106" s="1"/>
      <c r="SYL106" s="1"/>
      <c r="SYM106" s="1"/>
      <c r="SYN106" s="1"/>
      <c r="SYO106" s="1"/>
      <c r="SYP106" s="1"/>
      <c r="SYQ106" s="1"/>
      <c r="SYR106" s="1"/>
      <c r="SYS106" s="1"/>
      <c r="SYT106" s="1"/>
      <c r="SYU106" s="1"/>
      <c r="SYV106" s="1"/>
      <c r="SYW106" s="1"/>
      <c r="SYX106" s="1"/>
      <c r="SYY106" s="1"/>
      <c r="SYZ106" s="1"/>
      <c r="SZA106" s="1"/>
      <c r="SZB106" s="1"/>
      <c r="SZC106" s="1"/>
      <c r="SZD106" s="1"/>
      <c r="SZE106" s="1"/>
      <c r="SZF106" s="1"/>
      <c r="SZG106" s="1"/>
      <c r="SZH106" s="1"/>
      <c r="SZI106" s="1"/>
      <c r="SZJ106" s="1"/>
      <c r="SZK106" s="1"/>
      <c r="SZL106" s="1"/>
      <c r="SZM106" s="1"/>
      <c r="SZN106" s="1"/>
      <c r="SZO106" s="1"/>
      <c r="SZP106" s="1"/>
      <c r="SZQ106" s="1"/>
      <c r="SZR106" s="1"/>
      <c r="SZS106" s="1"/>
      <c r="SZT106" s="1"/>
      <c r="SZU106" s="1"/>
      <c r="SZV106" s="1"/>
      <c r="SZW106" s="1"/>
      <c r="SZX106" s="1"/>
      <c r="SZY106" s="1"/>
      <c r="SZZ106" s="1"/>
      <c r="TAA106" s="1"/>
      <c r="TAB106" s="1"/>
      <c r="TAC106" s="1"/>
      <c r="TAD106" s="1"/>
      <c r="TAE106" s="1"/>
      <c r="TAF106" s="1"/>
      <c r="TAG106" s="1"/>
      <c r="TAH106" s="1"/>
      <c r="TAI106" s="1"/>
      <c r="TAJ106" s="1"/>
      <c r="TAK106" s="1"/>
      <c r="TAL106" s="1"/>
      <c r="TAM106" s="1"/>
      <c r="TAN106" s="1"/>
      <c r="TAO106" s="1"/>
      <c r="TAP106" s="1"/>
      <c r="TAQ106" s="1"/>
      <c r="TAR106" s="1"/>
      <c r="TAS106" s="1"/>
      <c r="TAT106" s="1"/>
      <c r="TAU106" s="1"/>
      <c r="TAV106" s="1"/>
      <c r="TAW106" s="1"/>
      <c r="TAX106" s="1"/>
      <c r="TAY106" s="1"/>
      <c r="TAZ106" s="1"/>
      <c r="TBA106" s="1"/>
      <c r="TBB106" s="1"/>
      <c r="TBC106" s="1"/>
      <c r="TBD106" s="1"/>
      <c r="TBE106" s="1"/>
      <c r="TBF106" s="1"/>
      <c r="TBG106" s="1"/>
      <c r="TBH106" s="1"/>
      <c r="TBI106" s="1"/>
      <c r="TBJ106" s="1"/>
      <c r="TBK106" s="1"/>
      <c r="TBL106" s="1"/>
      <c r="TBM106" s="1"/>
      <c r="TBN106" s="1"/>
      <c r="TBO106" s="1"/>
      <c r="TBP106" s="1"/>
      <c r="TBQ106" s="1"/>
      <c r="TBR106" s="1"/>
      <c r="TBS106" s="1"/>
      <c r="TBT106" s="1"/>
      <c r="TBU106" s="1"/>
      <c r="TBV106" s="1"/>
      <c r="TBW106" s="1"/>
      <c r="TBX106" s="1"/>
      <c r="TBY106" s="1"/>
      <c r="TBZ106" s="1"/>
      <c r="TCA106" s="1"/>
      <c r="TCB106" s="1"/>
      <c r="TCC106" s="1"/>
      <c r="TCD106" s="1"/>
      <c r="TCE106" s="1"/>
      <c r="TCF106" s="1"/>
      <c r="TCG106" s="1"/>
      <c r="TCH106" s="1"/>
      <c r="TCI106" s="1"/>
      <c r="TCJ106" s="1"/>
      <c r="TCK106" s="1"/>
      <c r="TCL106" s="1"/>
      <c r="TCM106" s="1"/>
      <c r="TCN106" s="1"/>
      <c r="TCO106" s="1"/>
      <c r="TCP106" s="1"/>
      <c r="TCQ106" s="1"/>
      <c r="TCR106" s="1"/>
      <c r="TCS106" s="1"/>
      <c r="TCT106" s="1"/>
      <c r="TCU106" s="1"/>
      <c r="TCV106" s="1"/>
      <c r="TCW106" s="1"/>
      <c r="TCX106" s="1"/>
      <c r="TCY106" s="1"/>
      <c r="TCZ106" s="1"/>
      <c r="TDA106" s="1"/>
      <c r="TDB106" s="1"/>
      <c r="TDC106" s="1"/>
      <c r="TDD106" s="1"/>
      <c r="TDE106" s="1"/>
      <c r="TDF106" s="1"/>
      <c r="TDG106" s="1"/>
      <c r="TDH106" s="1"/>
      <c r="TDI106" s="1"/>
      <c r="TDJ106" s="1"/>
      <c r="TDK106" s="1"/>
      <c r="TDL106" s="1"/>
      <c r="TDM106" s="1"/>
      <c r="TDN106" s="1"/>
      <c r="TDO106" s="1"/>
      <c r="TDP106" s="1"/>
      <c r="TDQ106" s="1"/>
      <c r="TDR106" s="1"/>
      <c r="TDS106" s="1"/>
      <c r="TDT106" s="1"/>
      <c r="TDU106" s="1"/>
      <c r="TDV106" s="1"/>
      <c r="TDW106" s="1"/>
      <c r="TDX106" s="1"/>
      <c r="TDY106" s="1"/>
      <c r="TDZ106" s="1"/>
      <c r="TEA106" s="1"/>
      <c r="TEB106" s="1"/>
      <c r="TEC106" s="1"/>
      <c r="TED106" s="1"/>
      <c r="TEE106" s="1"/>
      <c r="TEF106" s="1"/>
      <c r="TEG106" s="1"/>
      <c r="TEH106" s="1"/>
      <c r="TEI106" s="1"/>
      <c r="TEJ106" s="1"/>
      <c r="TEK106" s="1"/>
      <c r="TEL106" s="1"/>
      <c r="TEM106" s="1"/>
      <c r="TEN106" s="1"/>
      <c r="TEO106" s="1"/>
      <c r="TEP106" s="1"/>
      <c r="TEQ106" s="1"/>
      <c r="TER106" s="1"/>
      <c r="TES106" s="1"/>
      <c r="TET106" s="1"/>
      <c r="TEU106" s="1"/>
      <c r="TEV106" s="1"/>
      <c r="TEW106" s="1"/>
      <c r="TEX106" s="1"/>
      <c r="TEY106" s="1"/>
      <c r="TEZ106" s="1"/>
      <c r="TFA106" s="1"/>
      <c r="TFB106" s="1"/>
      <c r="TFC106" s="1"/>
      <c r="TFD106" s="1"/>
      <c r="TFE106" s="1"/>
      <c r="TFF106" s="1"/>
      <c r="TFG106" s="1"/>
      <c r="TFH106" s="1"/>
      <c r="TFI106" s="1"/>
      <c r="TFJ106" s="1"/>
      <c r="TFK106" s="1"/>
      <c r="TFL106" s="1"/>
      <c r="TFM106" s="1"/>
      <c r="TFN106" s="1"/>
      <c r="TFO106" s="1"/>
      <c r="TFP106" s="1"/>
      <c r="TFQ106" s="1"/>
      <c r="TFR106" s="1"/>
      <c r="TFS106" s="1"/>
      <c r="TFT106" s="1"/>
      <c r="TFU106" s="1"/>
      <c r="TFV106" s="1"/>
      <c r="TFW106" s="1"/>
      <c r="TFX106" s="1"/>
      <c r="TFY106" s="1"/>
      <c r="TFZ106" s="1"/>
      <c r="TGA106" s="1"/>
      <c r="TGB106" s="1"/>
      <c r="TGC106" s="1"/>
      <c r="TGD106" s="1"/>
      <c r="TGE106" s="1"/>
      <c r="TGF106" s="1"/>
      <c r="TGG106" s="1"/>
      <c r="TGH106" s="1"/>
      <c r="TGI106" s="1"/>
      <c r="TGJ106" s="1"/>
      <c r="TGK106" s="1"/>
      <c r="TGL106" s="1"/>
      <c r="TGM106" s="1"/>
      <c r="TGN106" s="1"/>
      <c r="TGO106" s="1"/>
      <c r="TGP106" s="1"/>
      <c r="TGQ106" s="1"/>
      <c r="TGR106" s="1"/>
      <c r="TGS106" s="1"/>
      <c r="TGT106" s="1"/>
      <c r="TGU106" s="1"/>
      <c r="TGV106" s="1"/>
      <c r="TGW106" s="1"/>
      <c r="TGX106" s="1"/>
      <c r="TGY106" s="1"/>
      <c r="TGZ106" s="1"/>
      <c r="THA106" s="1"/>
      <c r="THB106" s="1"/>
      <c r="THC106" s="1"/>
      <c r="THD106" s="1"/>
      <c r="THE106" s="1"/>
      <c r="THF106" s="1"/>
      <c r="THG106" s="1"/>
      <c r="THH106" s="1"/>
      <c r="THI106" s="1"/>
      <c r="THJ106" s="1"/>
      <c r="THK106" s="1"/>
      <c r="THL106" s="1"/>
      <c r="THM106" s="1"/>
      <c r="THN106" s="1"/>
      <c r="THO106" s="1"/>
      <c r="THP106" s="1"/>
      <c r="THQ106" s="1"/>
      <c r="THR106" s="1"/>
      <c r="THS106" s="1"/>
      <c r="THT106" s="1"/>
      <c r="THU106" s="1"/>
      <c r="THV106" s="1"/>
      <c r="THW106" s="1"/>
      <c r="THX106" s="1"/>
      <c r="THY106" s="1"/>
      <c r="THZ106" s="1"/>
      <c r="TIA106" s="1"/>
      <c r="TIB106" s="1"/>
      <c r="TIC106" s="1"/>
      <c r="TID106" s="1"/>
      <c r="TIE106" s="1"/>
      <c r="TIF106" s="1"/>
      <c r="TIG106" s="1"/>
      <c r="TIH106" s="1"/>
      <c r="TII106" s="1"/>
      <c r="TIJ106" s="1"/>
      <c r="TIK106" s="1"/>
      <c r="TIL106" s="1"/>
      <c r="TIM106" s="1"/>
      <c r="TIN106" s="1"/>
      <c r="TIO106" s="1"/>
      <c r="TIP106" s="1"/>
      <c r="TIQ106" s="1"/>
      <c r="TIR106" s="1"/>
      <c r="TIS106" s="1"/>
      <c r="TIT106" s="1"/>
      <c r="TIU106" s="1"/>
      <c r="TIV106" s="1"/>
      <c r="TIW106" s="1"/>
      <c r="TIX106" s="1"/>
      <c r="TIY106" s="1"/>
      <c r="TIZ106" s="1"/>
      <c r="TJA106" s="1"/>
      <c r="TJB106" s="1"/>
      <c r="TJC106" s="1"/>
      <c r="TJD106" s="1"/>
      <c r="TJE106" s="1"/>
      <c r="TJF106" s="1"/>
      <c r="TJG106" s="1"/>
      <c r="TJH106" s="1"/>
      <c r="TJI106" s="1"/>
      <c r="TJJ106" s="1"/>
      <c r="TJK106" s="1"/>
      <c r="TJL106" s="1"/>
      <c r="TJM106" s="1"/>
      <c r="TJN106" s="1"/>
      <c r="TJO106" s="1"/>
      <c r="TJP106" s="1"/>
      <c r="TJQ106" s="1"/>
      <c r="TJR106" s="1"/>
      <c r="TJS106" s="1"/>
      <c r="TJT106" s="1"/>
      <c r="TJU106" s="1"/>
      <c r="TJV106" s="1"/>
      <c r="TJW106" s="1"/>
      <c r="TJX106" s="1"/>
      <c r="TJY106" s="1"/>
      <c r="TJZ106" s="1"/>
      <c r="TKA106" s="1"/>
      <c r="TKB106" s="1"/>
      <c r="TKC106" s="1"/>
      <c r="TKD106" s="1"/>
      <c r="TKE106" s="1"/>
      <c r="TKF106" s="1"/>
      <c r="TKG106" s="1"/>
      <c r="TKH106" s="1"/>
      <c r="TKI106" s="1"/>
      <c r="TKJ106" s="1"/>
      <c r="TKK106" s="1"/>
      <c r="TKL106" s="1"/>
      <c r="TKM106" s="1"/>
      <c r="TKN106" s="1"/>
      <c r="TKO106" s="1"/>
      <c r="TKP106" s="1"/>
      <c r="TKQ106" s="1"/>
      <c r="TKR106" s="1"/>
      <c r="TKS106" s="1"/>
      <c r="TKT106" s="1"/>
      <c r="TKU106" s="1"/>
      <c r="TKV106" s="1"/>
      <c r="TKW106" s="1"/>
      <c r="TKX106" s="1"/>
      <c r="TKY106" s="1"/>
      <c r="TKZ106" s="1"/>
      <c r="TLA106" s="1"/>
      <c r="TLB106" s="1"/>
      <c r="TLC106" s="1"/>
      <c r="TLD106" s="1"/>
      <c r="TLE106" s="1"/>
      <c r="TLF106" s="1"/>
      <c r="TLG106" s="1"/>
      <c r="TLH106" s="1"/>
      <c r="TLI106" s="1"/>
      <c r="TLJ106" s="1"/>
      <c r="TLK106" s="1"/>
      <c r="TLL106" s="1"/>
      <c r="TLM106" s="1"/>
      <c r="TLN106" s="1"/>
      <c r="TLO106" s="1"/>
      <c r="TLP106" s="1"/>
      <c r="TLQ106" s="1"/>
      <c r="TLR106" s="1"/>
      <c r="TLS106" s="1"/>
      <c r="TLT106" s="1"/>
      <c r="TLU106" s="1"/>
      <c r="TLV106" s="1"/>
      <c r="TLW106" s="1"/>
      <c r="TLX106" s="1"/>
      <c r="TLY106" s="1"/>
      <c r="TLZ106" s="1"/>
      <c r="TMA106" s="1"/>
      <c r="TMB106" s="1"/>
      <c r="TMC106" s="1"/>
      <c r="TMD106" s="1"/>
      <c r="TME106" s="1"/>
      <c r="TMF106" s="1"/>
      <c r="TMG106" s="1"/>
      <c r="TMH106" s="1"/>
      <c r="TMI106" s="1"/>
      <c r="TMJ106" s="1"/>
      <c r="TMK106" s="1"/>
      <c r="TML106" s="1"/>
      <c r="TMM106" s="1"/>
      <c r="TMN106" s="1"/>
      <c r="TMO106" s="1"/>
      <c r="TMP106" s="1"/>
      <c r="TMQ106" s="1"/>
      <c r="TMR106" s="1"/>
      <c r="TMS106" s="1"/>
      <c r="TMT106" s="1"/>
      <c r="TMU106" s="1"/>
      <c r="TMV106" s="1"/>
      <c r="TMW106" s="1"/>
      <c r="TMX106" s="1"/>
      <c r="TMY106" s="1"/>
      <c r="TMZ106" s="1"/>
      <c r="TNA106" s="1"/>
      <c r="TNB106" s="1"/>
      <c r="TNC106" s="1"/>
      <c r="TND106" s="1"/>
      <c r="TNE106" s="1"/>
      <c r="TNF106" s="1"/>
      <c r="TNG106" s="1"/>
      <c r="TNH106" s="1"/>
      <c r="TNI106" s="1"/>
      <c r="TNJ106" s="1"/>
      <c r="TNK106" s="1"/>
      <c r="TNL106" s="1"/>
      <c r="TNM106" s="1"/>
      <c r="TNN106" s="1"/>
      <c r="TNO106" s="1"/>
      <c r="TNP106" s="1"/>
      <c r="TNQ106" s="1"/>
      <c r="TNR106" s="1"/>
      <c r="TNS106" s="1"/>
      <c r="TNT106" s="1"/>
      <c r="TNU106" s="1"/>
      <c r="TNV106" s="1"/>
      <c r="TNW106" s="1"/>
      <c r="TNX106" s="1"/>
      <c r="TNY106" s="1"/>
      <c r="TNZ106" s="1"/>
      <c r="TOA106" s="1"/>
      <c r="TOB106" s="1"/>
      <c r="TOC106" s="1"/>
      <c r="TOD106" s="1"/>
      <c r="TOE106" s="1"/>
      <c r="TOF106" s="1"/>
      <c r="TOG106" s="1"/>
      <c r="TOH106" s="1"/>
      <c r="TOI106" s="1"/>
      <c r="TOJ106" s="1"/>
      <c r="TOK106" s="1"/>
      <c r="TOL106" s="1"/>
      <c r="TOM106" s="1"/>
      <c r="TON106" s="1"/>
      <c r="TOO106" s="1"/>
      <c r="TOP106" s="1"/>
      <c r="TOQ106" s="1"/>
      <c r="TOR106" s="1"/>
      <c r="TOS106" s="1"/>
      <c r="TOT106" s="1"/>
      <c r="TOU106" s="1"/>
      <c r="TOV106" s="1"/>
      <c r="TOW106" s="1"/>
      <c r="TOX106" s="1"/>
      <c r="TOY106" s="1"/>
      <c r="TOZ106" s="1"/>
      <c r="TPA106" s="1"/>
      <c r="TPB106" s="1"/>
      <c r="TPC106" s="1"/>
      <c r="TPD106" s="1"/>
      <c r="TPE106" s="1"/>
      <c r="TPF106" s="1"/>
      <c r="TPG106" s="1"/>
      <c r="TPH106" s="1"/>
      <c r="TPI106" s="1"/>
      <c r="TPJ106" s="1"/>
      <c r="TPK106" s="1"/>
      <c r="TPL106" s="1"/>
      <c r="TPM106" s="1"/>
      <c r="TPN106" s="1"/>
      <c r="TPO106" s="1"/>
      <c r="TPP106" s="1"/>
      <c r="TPQ106" s="1"/>
      <c r="TPR106" s="1"/>
      <c r="TPS106" s="1"/>
      <c r="TPT106" s="1"/>
      <c r="TPU106" s="1"/>
      <c r="TPV106" s="1"/>
      <c r="TPW106" s="1"/>
      <c r="TPX106" s="1"/>
      <c r="TPY106" s="1"/>
      <c r="TPZ106" s="1"/>
      <c r="TQA106" s="1"/>
      <c r="TQB106" s="1"/>
      <c r="TQC106" s="1"/>
      <c r="TQD106" s="1"/>
      <c r="TQE106" s="1"/>
      <c r="TQF106" s="1"/>
      <c r="TQG106" s="1"/>
      <c r="TQH106" s="1"/>
      <c r="TQI106" s="1"/>
      <c r="TQJ106" s="1"/>
      <c r="TQK106" s="1"/>
      <c r="TQL106" s="1"/>
      <c r="TQM106" s="1"/>
      <c r="TQN106" s="1"/>
      <c r="TQO106" s="1"/>
      <c r="TQP106" s="1"/>
      <c r="TQQ106" s="1"/>
      <c r="TQR106" s="1"/>
      <c r="TQS106" s="1"/>
      <c r="TQT106" s="1"/>
      <c r="TQU106" s="1"/>
      <c r="TQV106" s="1"/>
      <c r="TQW106" s="1"/>
      <c r="TQX106" s="1"/>
      <c r="TQY106" s="1"/>
      <c r="TQZ106" s="1"/>
      <c r="TRA106" s="1"/>
      <c r="TRB106" s="1"/>
      <c r="TRC106" s="1"/>
      <c r="TRD106" s="1"/>
      <c r="TRE106" s="1"/>
      <c r="TRF106" s="1"/>
      <c r="TRG106" s="1"/>
      <c r="TRH106" s="1"/>
      <c r="TRI106" s="1"/>
      <c r="TRJ106" s="1"/>
      <c r="TRK106" s="1"/>
      <c r="TRL106" s="1"/>
      <c r="TRM106" s="1"/>
      <c r="TRN106" s="1"/>
      <c r="TRO106" s="1"/>
      <c r="TRP106" s="1"/>
      <c r="TRQ106" s="1"/>
      <c r="TRR106" s="1"/>
      <c r="TRS106" s="1"/>
      <c r="TRT106" s="1"/>
      <c r="TRU106" s="1"/>
      <c r="TRV106" s="1"/>
      <c r="TRW106" s="1"/>
      <c r="TRX106" s="1"/>
      <c r="TRY106" s="1"/>
      <c r="TRZ106" s="1"/>
      <c r="TSA106" s="1"/>
      <c r="TSB106" s="1"/>
      <c r="TSC106" s="1"/>
      <c r="TSD106" s="1"/>
      <c r="TSE106" s="1"/>
      <c r="TSF106" s="1"/>
      <c r="TSG106" s="1"/>
      <c r="TSH106" s="1"/>
      <c r="TSI106" s="1"/>
      <c r="TSJ106" s="1"/>
      <c r="TSK106" s="1"/>
      <c r="TSL106" s="1"/>
      <c r="TSM106" s="1"/>
      <c r="TSN106" s="1"/>
      <c r="TSO106" s="1"/>
      <c r="TSP106" s="1"/>
      <c r="TSQ106" s="1"/>
      <c r="TSR106" s="1"/>
      <c r="TSS106" s="1"/>
      <c r="TST106" s="1"/>
      <c r="TSU106" s="1"/>
      <c r="TSV106" s="1"/>
      <c r="TSW106" s="1"/>
      <c r="TSX106" s="1"/>
      <c r="TSY106" s="1"/>
      <c r="TSZ106" s="1"/>
      <c r="TTA106" s="1"/>
      <c r="TTB106" s="1"/>
      <c r="TTC106" s="1"/>
      <c r="TTD106" s="1"/>
      <c r="TTE106" s="1"/>
      <c r="TTF106" s="1"/>
      <c r="TTG106" s="1"/>
      <c r="TTH106" s="1"/>
      <c r="TTI106" s="1"/>
      <c r="TTJ106" s="1"/>
      <c r="TTK106" s="1"/>
      <c r="TTL106" s="1"/>
      <c r="TTM106" s="1"/>
      <c r="TTN106" s="1"/>
      <c r="TTO106" s="1"/>
      <c r="TTP106" s="1"/>
      <c r="TTQ106" s="1"/>
      <c r="TTR106" s="1"/>
      <c r="TTS106" s="1"/>
      <c r="TTT106" s="1"/>
      <c r="TTU106" s="1"/>
      <c r="TTV106" s="1"/>
      <c r="TTW106" s="1"/>
      <c r="TTX106" s="1"/>
      <c r="TTY106" s="1"/>
      <c r="TTZ106" s="1"/>
      <c r="TUA106" s="1"/>
      <c r="TUB106" s="1"/>
      <c r="TUC106" s="1"/>
      <c r="TUD106" s="1"/>
      <c r="TUE106" s="1"/>
      <c r="TUF106" s="1"/>
      <c r="TUG106" s="1"/>
      <c r="TUH106" s="1"/>
      <c r="TUI106" s="1"/>
      <c r="TUJ106" s="1"/>
      <c r="TUK106" s="1"/>
      <c r="TUL106" s="1"/>
      <c r="TUM106" s="1"/>
      <c r="TUN106" s="1"/>
      <c r="TUO106" s="1"/>
      <c r="TUP106" s="1"/>
      <c r="TUQ106" s="1"/>
      <c r="TUR106" s="1"/>
      <c r="TUS106" s="1"/>
      <c r="TUT106" s="1"/>
      <c r="TUU106" s="1"/>
      <c r="TUV106" s="1"/>
      <c r="TUW106" s="1"/>
      <c r="TUX106" s="1"/>
      <c r="TUY106" s="1"/>
      <c r="TUZ106" s="1"/>
      <c r="TVA106" s="1"/>
      <c r="TVB106" s="1"/>
      <c r="TVC106" s="1"/>
      <c r="TVD106" s="1"/>
      <c r="TVE106" s="1"/>
      <c r="TVF106" s="1"/>
      <c r="TVG106" s="1"/>
      <c r="TVH106" s="1"/>
      <c r="TVI106" s="1"/>
      <c r="TVJ106" s="1"/>
      <c r="TVK106" s="1"/>
      <c r="TVL106" s="1"/>
      <c r="TVM106" s="1"/>
      <c r="TVN106" s="1"/>
      <c r="TVO106" s="1"/>
      <c r="TVP106" s="1"/>
      <c r="TVQ106" s="1"/>
      <c r="TVR106" s="1"/>
      <c r="TVS106" s="1"/>
      <c r="TVT106" s="1"/>
      <c r="TVU106" s="1"/>
      <c r="TVV106" s="1"/>
      <c r="TVW106" s="1"/>
      <c r="TVX106" s="1"/>
      <c r="TVY106" s="1"/>
      <c r="TVZ106" s="1"/>
      <c r="TWA106" s="1"/>
      <c r="TWB106" s="1"/>
      <c r="TWC106" s="1"/>
      <c r="TWD106" s="1"/>
      <c r="TWE106" s="1"/>
      <c r="TWF106" s="1"/>
      <c r="TWG106" s="1"/>
      <c r="TWH106" s="1"/>
      <c r="TWI106" s="1"/>
      <c r="TWJ106" s="1"/>
      <c r="TWK106" s="1"/>
      <c r="TWL106" s="1"/>
      <c r="TWM106" s="1"/>
      <c r="TWN106" s="1"/>
      <c r="TWO106" s="1"/>
      <c r="TWP106" s="1"/>
      <c r="TWQ106" s="1"/>
      <c r="TWR106" s="1"/>
      <c r="TWS106" s="1"/>
      <c r="TWT106" s="1"/>
      <c r="TWU106" s="1"/>
      <c r="TWV106" s="1"/>
      <c r="TWW106" s="1"/>
      <c r="TWX106" s="1"/>
      <c r="TWY106" s="1"/>
      <c r="TWZ106" s="1"/>
      <c r="TXA106" s="1"/>
      <c r="TXB106" s="1"/>
      <c r="TXC106" s="1"/>
      <c r="TXD106" s="1"/>
      <c r="TXE106" s="1"/>
      <c r="TXF106" s="1"/>
      <c r="TXG106" s="1"/>
      <c r="TXH106" s="1"/>
      <c r="TXI106" s="1"/>
      <c r="TXJ106" s="1"/>
      <c r="TXK106" s="1"/>
      <c r="TXL106" s="1"/>
      <c r="TXM106" s="1"/>
      <c r="TXN106" s="1"/>
      <c r="TXO106" s="1"/>
      <c r="TXP106" s="1"/>
      <c r="TXQ106" s="1"/>
      <c r="TXR106" s="1"/>
      <c r="TXS106" s="1"/>
      <c r="TXT106" s="1"/>
      <c r="TXU106" s="1"/>
      <c r="TXV106" s="1"/>
      <c r="TXW106" s="1"/>
      <c r="TXX106" s="1"/>
      <c r="TXY106" s="1"/>
      <c r="TXZ106" s="1"/>
      <c r="TYA106" s="1"/>
      <c r="TYB106" s="1"/>
      <c r="TYC106" s="1"/>
      <c r="TYD106" s="1"/>
      <c r="TYE106" s="1"/>
      <c r="TYF106" s="1"/>
      <c r="TYG106" s="1"/>
      <c r="TYH106" s="1"/>
      <c r="TYI106" s="1"/>
      <c r="TYJ106" s="1"/>
      <c r="TYK106" s="1"/>
      <c r="TYL106" s="1"/>
      <c r="TYM106" s="1"/>
      <c r="TYN106" s="1"/>
      <c r="TYO106" s="1"/>
      <c r="TYP106" s="1"/>
      <c r="TYQ106" s="1"/>
      <c r="TYR106" s="1"/>
      <c r="TYS106" s="1"/>
      <c r="TYT106" s="1"/>
      <c r="TYU106" s="1"/>
      <c r="TYV106" s="1"/>
      <c r="TYW106" s="1"/>
      <c r="TYX106" s="1"/>
      <c r="TYY106" s="1"/>
      <c r="TYZ106" s="1"/>
      <c r="TZA106" s="1"/>
      <c r="TZB106" s="1"/>
      <c r="TZC106" s="1"/>
      <c r="TZD106" s="1"/>
      <c r="TZE106" s="1"/>
      <c r="TZF106" s="1"/>
      <c r="TZG106" s="1"/>
      <c r="TZH106" s="1"/>
      <c r="TZI106" s="1"/>
      <c r="TZJ106" s="1"/>
      <c r="TZK106" s="1"/>
      <c r="TZL106" s="1"/>
      <c r="TZM106" s="1"/>
      <c r="TZN106" s="1"/>
      <c r="TZO106" s="1"/>
      <c r="TZP106" s="1"/>
      <c r="TZQ106" s="1"/>
      <c r="TZR106" s="1"/>
      <c r="TZS106" s="1"/>
      <c r="TZT106" s="1"/>
      <c r="TZU106" s="1"/>
      <c r="TZV106" s="1"/>
      <c r="TZW106" s="1"/>
      <c r="TZX106" s="1"/>
      <c r="TZY106" s="1"/>
      <c r="TZZ106" s="1"/>
      <c r="UAA106" s="1"/>
      <c r="UAB106" s="1"/>
      <c r="UAC106" s="1"/>
      <c r="UAD106" s="1"/>
      <c r="UAE106" s="1"/>
      <c r="UAF106" s="1"/>
      <c r="UAG106" s="1"/>
      <c r="UAH106" s="1"/>
      <c r="UAI106" s="1"/>
      <c r="UAJ106" s="1"/>
      <c r="UAK106" s="1"/>
      <c r="UAL106" s="1"/>
      <c r="UAM106" s="1"/>
      <c r="UAN106" s="1"/>
      <c r="UAO106" s="1"/>
      <c r="UAP106" s="1"/>
      <c r="UAQ106" s="1"/>
      <c r="UAR106" s="1"/>
      <c r="UAS106" s="1"/>
      <c r="UAT106" s="1"/>
      <c r="UAU106" s="1"/>
      <c r="UAV106" s="1"/>
      <c r="UAW106" s="1"/>
      <c r="UAX106" s="1"/>
      <c r="UAY106" s="1"/>
      <c r="UAZ106" s="1"/>
      <c r="UBA106" s="1"/>
      <c r="UBB106" s="1"/>
      <c r="UBC106" s="1"/>
      <c r="UBD106" s="1"/>
      <c r="UBE106" s="1"/>
      <c r="UBF106" s="1"/>
      <c r="UBG106" s="1"/>
      <c r="UBH106" s="1"/>
      <c r="UBI106" s="1"/>
      <c r="UBJ106" s="1"/>
      <c r="UBK106" s="1"/>
      <c r="UBL106" s="1"/>
      <c r="UBM106" s="1"/>
      <c r="UBN106" s="1"/>
      <c r="UBO106" s="1"/>
      <c r="UBP106" s="1"/>
      <c r="UBQ106" s="1"/>
      <c r="UBR106" s="1"/>
      <c r="UBS106" s="1"/>
      <c r="UBT106" s="1"/>
      <c r="UBU106" s="1"/>
      <c r="UBV106" s="1"/>
      <c r="UBW106" s="1"/>
      <c r="UBX106" s="1"/>
      <c r="UBY106" s="1"/>
      <c r="UBZ106" s="1"/>
      <c r="UCA106" s="1"/>
      <c r="UCB106" s="1"/>
      <c r="UCC106" s="1"/>
      <c r="UCD106" s="1"/>
      <c r="UCE106" s="1"/>
      <c r="UCF106" s="1"/>
      <c r="UCG106" s="1"/>
      <c r="UCH106" s="1"/>
      <c r="UCI106" s="1"/>
      <c r="UCJ106" s="1"/>
      <c r="UCK106" s="1"/>
      <c r="UCL106" s="1"/>
      <c r="UCM106" s="1"/>
      <c r="UCN106" s="1"/>
      <c r="UCO106" s="1"/>
      <c r="UCP106" s="1"/>
      <c r="UCQ106" s="1"/>
      <c r="UCR106" s="1"/>
      <c r="UCS106" s="1"/>
      <c r="UCT106" s="1"/>
      <c r="UCU106" s="1"/>
      <c r="UCV106" s="1"/>
      <c r="UCW106" s="1"/>
      <c r="UCX106" s="1"/>
      <c r="UCY106" s="1"/>
      <c r="UCZ106" s="1"/>
      <c r="UDA106" s="1"/>
      <c r="UDB106" s="1"/>
      <c r="UDC106" s="1"/>
      <c r="UDD106" s="1"/>
      <c r="UDE106" s="1"/>
      <c r="UDF106" s="1"/>
      <c r="UDG106" s="1"/>
      <c r="UDH106" s="1"/>
      <c r="UDI106" s="1"/>
      <c r="UDJ106" s="1"/>
      <c r="UDK106" s="1"/>
      <c r="UDL106" s="1"/>
      <c r="UDM106" s="1"/>
      <c r="UDN106" s="1"/>
      <c r="UDO106" s="1"/>
      <c r="UDP106" s="1"/>
      <c r="UDQ106" s="1"/>
      <c r="UDR106" s="1"/>
      <c r="UDS106" s="1"/>
      <c r="UDT106" s="1"/>
      <c r="UDU106" s="1"/>
      <c r="UDV106" s="1"/>
      <c r="UDW106" s="1"/>
      <c r="UDX106" s="1"/>
      <c r="UDY106" s="1"/>
      <c r="UDZ106" s="1"/>
      <c r="UEA106" s="1"/>
      <c r="UEB106" s="1"/>
      <c r="UEC106" s="1"/>
      <c r="UED106" s="1"/>
      <c r="UEE106" s="1"/>
      <c r="UEF106" s="1"/>
      <c r="UEG106" s="1"/>
      <c r="UEH106" s="1"/>
      <c r="UEI106" s="1"/>
      <c r="UEJ106" s="1"/>
      <c r="UEK106" s="1"/>
      <c r="UEL106" s="1"/>
      <c r="UEM106" s="1"/>
      <c r="UEN106" s="1"/>
      <c r="UEO106" s="1"/>
      <c r="UEP106" s="1"/>
      <c r="UEQ106" s="1"/>
      <c r="UER106" s="1"/>
      <c r="UES106" s="1"/>
      <c r="UET106" s="1"/>
      <c r="UEU106" s="1"/>
      <c r="UEV106" s="1"/>
      <c r="UEW106" s="1"/>
      <c r="UEX106" s="1"/>
      <c r="UEY106" s="1"/>
      <c r="UEZ106" s="1"/>
      <c r="UFA106" s="1"/>
      <c r="UFB106" s="1"/>
      <c r="UFC106" s="1"/>
      <c r="UFD106" s="1"/>
      <c r="UFE106" s="1"/>
      <c r="UFF106" s="1"/>
      <c r="UFG106" s="1"/>
      <c r="UFH106" s="1"/>
      <c r="UFI106" s="1"/>
      <c r="UFJ106" s="1"/>
      <c r="UFK106" s="1"/>
      <c r="UFL106" s="1"/>
      <c r="UFM106" s="1"/>
      <c r="UFN106" s="1"/>
      <c r="UFO106" s="1"/>
      <c r="UFP106" s="1"/>
      <c r="UFQ106" s="1"/>
      <c r="UFR106" s="1"/>
      <c r="UFS106" s="1"/>
      <c r="UFT106" s="1"/>
      <c r="UFU106" s="1"/>
      <c r="UFV106" s="1"/>
      <c r="UFW106" s="1"/>
      <c r="UFX106" s="1"/>
      <c r="UFY106" s="1"/>
      <c r="UFZ106" s="1"/>
      <c r="UGA106" s="1"/>
      <c r="UGB106" s="1"/>
      <c r="UGC106" s="1"/>
      <c r="UGD106" s="1"/>
      <c r="UGE106" s="1"/>
      <c r="UGF106" s="1"/>
      <c r="UGG106" s="1"/>
      <c r="UGH106" s="1"/>
      <c r="UGI106" s="1"/>
      <c r="UGJ106" s="1"/>
      <c r="UGK106" s="1"/>
      <c r="UGL106" s="1"/>
      <c r="UGM106" s="1"/>
      <c r="UGN106" s="1"/>
      <c r="UGO106" s="1"/>
      <c r="UGP106" s="1"/>
      <c r="UGQ106" s="1"/>
      <c r="UGR106" s="1"/>
      <c r="UGS106" s="1"/>
      <c r="UGT106" s="1"/>
      <c r="UGU106" s="1"/>
      <c r="UGV106" s="1"/>
      <c r="UGW106" s="1"/>
      <c r="UGX106" s="1"/>
      <c r="UGY106" s="1"/>
      <c r="UGZ106" s="1"/>
      <c r="UHA106" s="1"/>
      <c r="UHB106" s="1"/>
      <c r="UHC106" s="1"/>
      <c r="UHD106" s="1"/>
      <c r="UHE106" s="1"/>
      <c r="UHF106" s="1"/>
      <c r="UHG106" s="1"/>
      <c r="UHH106" s="1"/>
      <c r="UHI106" s="1"/>
      <c r="UHJ106" s="1"/>
      <c r="UHK106" s="1"/>
      <c r="UHL106" s="1"/>
      <c r="UHM106" s="1"/>
      <c r="UHN106" s="1"/>
      <c r="UHO106" s="1"/>
      <c r="UHP106" s="1"/>
      <c r="UHQ106" s="1"/>
      <c r="UHR106" s="1"/>
      <c r="UHS106" s="1"/>
      <c r="UHT106" s="1"/>
      <c r="UHU106" s="1"/>
      <c r="UHV106" s="1"/>
      <c r="UHW106" s="1"/>
      <c r="UHX106" s="1"/>
      <c r="UHY106" s="1"/>
      <c r="UHZ106" s="1"/>
      <c r="UIA106" s="1"/>
      <c r="UIB106" s="1"/>
      <c r="UIC106" s="1"/>
      <c r="UID106" s="1"/>
      <c r="UIE106" s="1"/>
      <c r="UIF106" s="1"/>
      <c r="UIG106" s="1"/>
      <c r="UIH106" s="1"/>
      <c r="UII106" s="1"/>
      <c r="UIJ106" s="1"/>
      <c r="UIK106" s="1"/>
      <c r="UIL106" s="1"/>
      <c r="UIM106" s="1"/>
      <c r="UIN106" s="1"/>
      <c r="UIO106" s="1"/>
      <c r="UIP106" s="1"/>
      <c r="UIQ106" s="1"/>
      <c r="UIR106" s="1"/>
      <c r="UIS106" s="1"/>
      <c r="UIT106" s="1"/>
      <c r="UIU106" s="1"/>
      <c r="UIV106" s="1"/>
      <c r="UIW106" s="1"/>
      <c r="UIX106" s="1"/>
      <c r="UIY106" s="1"/>
      <c r="UIZ106" s="1"/>
      <c r="UJA106" s="1"/>
      <c r="UJB106" s="1"/>
      <c r="UJC106" s="1"/>
      <c r="UJD106" s="1"/>
      <c r="UJE106" s="1"/>
      <c r="UJF106" s="1"/>
      <c r="UJG106" s="1"/>
      <c r="UJH106" s="1"/>
      <c r="UJI106" s="1"/>
      <c r="UJJ106" s="1"/>
      <c r="UJK106" s="1"/>
      <c r="UJL106" s="1"/>
      <c r="UJM106" s="1"/>
      <c r="UJN106" s="1"/>
      <c r="UJO106" s="1"/>
      <c r="UJP106" s="1"/>
      <c r="UJQ106" s="1"/>
      <c r="UJR106" s="1"/>
      <c r="UJS106" s="1"/>
      <c r="UJT106" s="1"/>
      <c r="UJU106" s="1"/>
      <c r="UJV106" s="1"/>
      <c r="UJW106" s="1"/>
      <c r="UJX106" s="1"/>
      <c r="UJY106" s="1"/>
      <c r="UJZ106" s="1"/>
      <c r="UKA106" s="1"/>
      <c r="UKB106" s="1"/>
      <c r="UKC106" s="1"/>
      <c r="UKD106" s="1"/>
      <c r="UKE106" s="1"/>
      <c r="UKF106" s="1"/>
      <c r="UKG106" s="1"/>
      <c r="UKH106" s="1"/>
      <c r="UKI106" s="1"/>
      <c r="UKJ106" s="1"/>
      <c r="UKK106" s="1"/>
      <c r="UKL106" s="1"/>
      <c r="UKM106" s="1"/>
      <c r="UKN106" s="1"/>
      <c r="UKO106" s="1"/>
      <c r="UKP106" s="1"/>
      <c r="UKQ106" s="1"/>
      <c r="UKR106" s="1"/>
      <c r="UKS106" s="1"/>
      <c r="UKT106" s="1"/>
      <c r="UKU106" s="1"/>
      <c r="UKV106" s="1"/>
      <c r="UKW106" s="1"/>
      <c r="UKX106" s="1"/>
      <c r="UKY106" s="1"/>
      <c r="UKZ106" s="1"/>
      <c r="ULA106" s="1"/>
      <c r="ULB106" s="1"/>
      <c r="ULC106" s="1"/>
      <c r="ULD106" s="1"/>
      <c r="ULE106" s="1"/>
      <c r="ULF106" s="1"/>
      <c r="ULG106" s="1"/>
      <c r="ULH106" s="1"/>
      <c r="ULI106" s="1"/>
      <c r="ULJ106" s="1"/>
      <c r="ULK106" s="1"/>
      <c r="ULL106" s="1"/>
      <c r="ULM106" s="1"/>
      <c r="ULN106" s="1"/>
      <c r="ULO106" s="1"/>
      <c r="ULP106" s="1"/>
      <c r="ULQ106" s="1"/>
      <c r="ULR106" s="1"/>
      <c r="ULS106" s="1"/>
      <c r="ULT106" s="1"/>
      <c r="ULU106" s="1"/>
      <c r="ULV106" s="1"/>
      <c r="ULW106" s="1"/>
      <c r="ULX106" s="1"/>
      <c r="ULY106" s="1"/>
      <c r="ULZ106" s="1"/>
      <c r="UMA106" s="1"/>
      <c r="UMB106" s="1"/>
      <c r="UMC106" s="1"/>
      <c r="UMD106" s="1"/>
      <c r="UME106" s="1"/>
      <c r="UMF106" s="1"/>
      <c r="UMG106" s="1"/>
      <c r="UMH106" s="1"/>
      <c r="UMI106" s="1"/>
      <c r="UMJ106" s="1"/>
      <c r="UMK106" s="1"/>
      <c r="UML106" s="1"/>
      <c r="UMM106" s="1"/>
      <c r="UMN106" s="1"/>
      <c r="UMO106" s="1"/>
      <c r="UMP106" s="1"/>
      <c r="UMQ106" s="1"/>
      <c r="UMR106" s="1"/>
      <c r="UMS106" s="1"/>
      <c r="UMT106" s="1"/>
      <c r="UMU106" s="1"/>
      <c r="UMV106" s="1"/>
      <c r="UMW106" s="1"/>
      <c r="UMX106" s="1"/>
      <c r="UMY106" s="1"/>
      <c r="UMZ106" s="1"/>
      <c r="UNA106" s="1"/>
      <c r="UNB106" s="1"/>
      <c r="UNC106" s="1"/>
      <c r="UND106" s="1"/>
      <c r="UNE106" s="1"/>
      <c r="UNF106" s="1"/>
      <c r="UNG106" s="1"/>
      <c r="UNH106" s="1"/>
      <c r="UNI106" s="1"/>
      <c r="UNJ106" s="1"/>
      <c r="UNK106" s="1"/>
      <c r="UNL106" s="1"/>
      <c r="UNM106" s="1"/>
      <c r="UNN106" s="1"/>
      <c r="UNO106" s="1"/>
      <c r="UNP106" s="1"/>
      <c r="UNQ106" s="1"/>
      <c r="UNR106" s="1"/>
      <c r="UNS106" s="1"/>
      <c r="UNT106" s="1"/>
      <c r="UNU106" s="1"/>
      <c r="UNV106" s="1"/>
      <c r="UNW106" s="1"/>
      <c r="UNX106" s="1"/>
      <c r="UNY106" s="1"/>
      <c r="UNZ106" s="1"/>
      <c r="UOA106" s="1"/>
      <c r="UOB106" s="1"/>
      <c r="UOC106" s="1"/>
      <c r="UOD106" s="1"/>
      <c r="UOE106" s="1"/>
      <c r="UOF106" s="1"/>
      <c r="UOG106" s="1"/>
      <c r="UOH106" s="1"/>
      <c r="UOI106" s="1"/>
      <c r="UOJ106" s="1"/>
      <c r="UOK106" s="1"/>
      <c r="UOL106" s="1"/>
      <c r="UOM106" s="1"/>
      <c r="UON106" s="1"/>
      <c r="UOO106" s="1"/>
      <c r="UOP106" s="1"/>
      <c r="UOQ106" s="1"/>
      <c r="UOR106" s="1"/>
      <c r="UOS106" s="1"/>
      <c r="UOT106" s="1"/>
      <c r="UOU106" s="1"/>
      <c r="UOV106" s="1"/>
      <c r="UOW106" s="1"/>
      <c r="UOX106" s="1"/>
      <c r="UOY106" s="1"/>
      <c r="UOZ106" s="1"/>
      <c r="UPA106" s="1"/>
      <c r="UPB106" s="1"/>
      <c r="UPC106" s="1"/>
      <c r="UPD106" s="1"/>
      <c r="UPE106" s="1"/>
      <c r="UPF106" s="1"/>
      <c r="UPG106" s="1"/>
      <c r="UPH106" s="1"/>
      <c r="UPI106" s="1"/>
      <c r="UPJ106" s="1"/>
      <c r="UPK106" s="1"/>
      <c r="UPL106" s="1"/>
      <c r="UPM106" s="1"/>
      <c r="UPN106" s="1"/>
      <c r="UPO106" s="1"/>
      <c r="UPP106" s="1"/>
      <c r="UPQ106" s="1"/>
      <c r="UPR106" s="1"/>
      <c r="UPS106" s="1"/>
      <c r="UPT106" s="1"/>
      <c r="UPU106" s="1"/>
      <c r="UPV106" s="1"/>
      <c r="UPW106" s="1"/>
      <c r="UPX106" s="1"/>
      <c r="UPY106" s="1"/>
      <c r="UPZ106" s="1"/>
      <c r="UQA106" s="1"/>
      <c r="UQB106" s="1"/>
      <c r="UQC106" s="1"/>
      <c r="UQD106" s="1"/>
      <c r="UQE106" s="1"/>
      <c r="UQF106" s="1"/>
      <c r="UQG106" s="1"/>
      <c r="UQH106" s="1"/>
      <c r="UQI106" s="1"/>
      <c r="UQJ106" s="1"/>
      <c r="UQK106" s="1"/>
      <c r="UQL106" s="1"/>
      <c r="UQM106" s="1"/>
      <c r="UQN106" s="1"/>
      <c r="UQO106" s="1"/>
      <c r="UQP106" s="1"/>
      <c r="UQQ106" s="1"/>
      <c r="UQR106" s="1"/>
      <c r="UQS106" s="1"/>
      <c r="UQT106" s="1"/>
      <c r="UQU106" s="1"/>
      <c r="UQV106" s="1"/>
      <c r="UQW106" s="1"/>
      <c r="UQX106" s="1"/>
      <c r="UQY106" s="1"/>
      <c r="UQZ106" s="1"/>
      <c r="URA106" s="1"/>
      <c r="URB106" s="1"/>
      <c r="URC106" s="1"/>
      <c r="URD106" s="1"/>
      <c r="URE106" s="1"/>
      <c r="URF106" s="1"/>
      <c r="URG106" s="1"/>
      <c r="URH106" s="1"/>
      <c r="URI106" s="1"/>
      <c r="URJ106" s="1"/>
      <c r="URK106" s="1"/>
      <c r="URL106" s="1"/>
      <c r="URM106" s="1"/>
      <c r="URN106" s="1"/>
      <c r="URO106" s="1"/>
      <c r="URP106" s="1"/>
      <c r="URQ106" s="1"/>
      <c r="URR106" s="1"/>
      <c r="URS106" s="1"/>
      <c r="URT106" s="1"/>
      <c r="URU106" s="1"/>
      <c r="URV106" s="1"/>
      <c r="URW106" s="1"/>
      <c r="URX106" s="1"/>
      <c r="URY106" s="1"/>
      <c r="URZ106" s="1"/>
      <c r="USA106" s="1"/>
      <c r="USB106" s="1"/>
      <c r="USC106" s="1"/>
      <c r="USD106" s="1"/>
      <c r="USE106" s="1"/>
      <c r="USF106" s="1"/>
      <c r="USG106" s="1"/>
      <c r="USH106" s="1"/>
      <c r="USI106" s="1"/>
      <c r="USJ106" s="1"/>
      <c r="USK106" s="1"/>
      <c r="USL106" s="1"/>
      <c r="USM106" s="1"/>
      <c r="USN106" s="1"/>
      <c r="USO106" s="1"/>
      <c r="USP106" s="1"/>
      <c r="USQ106" s="1"/>
      <c r="USR106" s="1"/>
      <c r="USS106" s="1"/>
      <c r="UST106" s="1"/>
      <c r="USU106" s="1"/>
      <c r="USV106" s="1"/>
      <c r="USW106" s="1"/>
      <c r="USX106" s="1"/>
      <c r="USY106" s="1"/>
      <c r="USZ106" s="1"/>
      <c r="UTA106" s="1"/>
      <c r="UTB106" s="1"/>
      <c r="UTC106" s="1"/>
      <c r="UTD106" s="1"/>
      <c r="UTE106" s="1"/>
      <c r="UTF106" s="1"/>
      <c r="UTG106" s="1"/>
      <c r="UTH106" s="1"/>
      <c r="UTI106" s="1"/>
      <c r="UTJ106" s="1"/>
      <c r="UTK106" s="1"/>
      <c r="UTL106" s="1"/>
      <c r="UTM106" s="1"/>
      <c r="UTN106" s="1"/>
      <c r="UTO106" s="1"/>
      <c r="UTP106" s="1"/>
      <c r="UTQ106" s="1"/>
      <c r="UTR106" s="1"/>
      <c r="UTS106" s="1"/>
      <c r="UTT106" s="1"/>
      <c r="UTU106" s="1"/>
      <c r="UTV106" s="1"/>
      <c r="UTW106" s="1"/>
      <c r="UTX106" s="1"/>
      <c r="UTY106" s="1"/>
      <c r="UTZ106" s="1"/>
      <c r="UUA106" s="1"/>
      <c r="UUB106" s="1"/>
      <c r="UUC106" s="1"/>
      <c r="UUD106" s="1"/>
      <c r="UUE106" s="1"/>
      <c r="UUF106" s="1"/>
      <c r="UUG106" s="1"/>
      <c r="UUH106" s="1"/>
      <c r="UUI106" s="1"/>
      <c r="UUJ106" s="1"/>
      <c r="UUK106" s="1"/>
      <c r="UUL106" s="1"/>
      <c r="UUM106" s="1"/>
      <c r="UUN106" s="1"/>
      <c r="UUO106" s="1"/>
      <c r="UUP106" s="1"/>
      <c r="UUQ106" s="1"/>
      <c r="UUR106" s="1"/>
      <c r="UUS106" s="1"/>
      <c r="UUT106" s="1"/>
      <c r="UUU106" s="1"/>
      <c r="UUV106" s="1"/>
      <c r="UUW106" s="1"/>
      <c r="UUX106" s="1"/>
      <c r="UUY106" s="1"/>
      <c r="UUZ106" s="1"/>
      <c r="UVA106" s="1"/>
      <c r="UVB106" s="1"/>
      <c r="UVC106" s="1"/>
      <c r="UVD106" s="1"/>
      <c r="UVE106" s="1"/>
      <c r="UVF106" s="1"/>
      <c r="UVG106" s="1"/>
      <c r="UVH106" s="1"/>
      <c r="UVI106" s="1"/>
      <c r="UVJ106" s="1"/>
      <c r="UVK106" s="1"/>
      <c r="UVL106" s="1"/>
      <c r="UVM106" s="1"/>
      <c r="UVN106" s="1"/>
      <c r="UVO106" s="1"/>
      <c r="UVP106" s="1"/>
      <c r="UVQ106" s="1"/>
      <c r="UVR106" s="1"/>
      <c r="UVS106" s="1"/>
      <c r="UVT106" s="1"/>
      <c r="UVU106" s="1"/>
      <c r="UVV106" s="1"/>
      <c r="UVW106" s="1"/>
      <c r="UVX106" s="1"/>
      <c r="UVY106" s="1"/>
      <c r="UVZ106" s="1"/>
      <c r="UWA106" s="1"/>
      <c r="UWB106" s="1"/>
      <c r="UWC106" s="1"/>
      <c r="UWD106" s="1"/>
      <c r="UWE106" s="1"/>
      <c r="UWF106" s="1"/>
      <c r="UWG106" s="1"/>
      <c r="UWH106" s="1"/>
      <c r="UWI106" s="1"/>
      <c r="UWJ106" s="1"/>
      <c r="UWK106" s="1"/>
      <c r="UWL106" s="1"/>
      <c r="UWM106" s="1"/>
      <c r="UWN106" s="1"/>
      <c r="UWO106" s="1"/>
      <c r="UWP106" s="1"/>
      <c r="UWQ106" s="1"/>
      <c r="UWR106" s="1"/>
      <c r="UWS106" s="1"/>
      <c r="UWT106" s="1"/>
      <c r="UWU106" s="1"/>
      <c r="UWV106" s="1"/>
      <c r="UWW106" s="1"/>
      <c r="UWX106" s="1"/>
      <c r="UWY106" s="1"/>
      <c r="UWZ106" s="1"/>
      <c r="UXA106" s="1"/>
      <c r="UXB106" s="1"/>
      <c r="UXC106" s="1"/>
      <c r="UXD106" s="1"/>
      <c r="UXE106" s="1"/>
      <c r="UXF106" s="1"/>
      <c r="UXG106" s="1"/>
      <c r="UXH106" s="1"/>
      <c r="UXI106" s="1"/>
      <c r="UXJ106" s="1"/>
      <c r="UXK106" s="1"/>
      <c r="UXL106" s="1"/>
      <c r="UXM106" s="1"/>
      <c r="UXN106" s="1"/>
      <c r="UXO106" s="1"/>
      <c r="UXP106" s="1"/>
      <c r="UXQ106" s="1"/>
      <c r="UXR106" s="1"/>
      <c r="UXS106" s="1"/>
      <c r="UXT106" s="1"/>
      <c r="UXU106" s="1"/>
      <c r="UXV106" s="1"/>
      <c r="UXW106" s="1"/>
      <c r="UXX106" s="1"/>
      <c r="UXY106" s="1"/>
      <c r="UXZ106" s="1"/>
      <c r="UYA106" s="1"/>
      <c r="UYB106" s="1"/>
      <c r="UYC106" s="1"/>
      <c r="UYD106" s="1"/>
      <c r="UYE106" s="1"/>
      <c r="UYF106" s="1"/>
      <c r="UYG106" s="1"/>
      <c r="UYH106" s="1"/>
      <c r="UYI106" s="1"/>
      <c r="UYJ106" s="1"/>
      <c r="UYK106" s="1"/>
      <c r="UYL106" s="1"/>
      <c r="UYM106" s="1"/>
      <c r="UYN106" s="1"/>
      <c r="UYO106" s="1"/>
      <c r="UYP106" s="1"/>
      <c r="UYQ106" s="1"/>
      <c r="UYR106" s="1"/>
      <c r="UYS106" s="1"/>
      <c r="UYT106" s="1"/>
      <c r="UYU106" s="1"/>
      <c r="UYV106" s="1"/>
      <c r="UYW106" s="1"/>
      <c r="UYX106" s="1"/>
      <c r="UYY106" s="1"/>
      <c r="UYZ106" s="1"/>
      <c r="UZA106" s="1"/>
      <c r="UZB106" s="1"/>
      <c r="UZC106" s="1"/>
      <c r="UZD106" s="1"/>
      <c r="UZE106" s="1"/>
      <c r="UZF106" s="1"/>
      <c r="UZG106" s="1"/>
      <c r="UZH106" s="1"/>
      <c r="UZI106" s="1"/>
      <c r="UZJ106" s="1"/>
      <c r="UZK106" s="1"/>
      <c r="UZL106" s="1"/>
      <c r="UZM106" s="1"/>
      <c r="UZN106" s="1"/>
      <c r="UZO106" s="1"/>
      <c r="UZP106" s="1"/>
      <c r="UZQ106" s="1"/>
      <c r="UZR106" s="1"/>
      <c r="UZS106" s="1"/>
      <c r="UZT106" s="1"/>
      <c r="UZU106" s="1"/>
      <c r="UZV106" s="1"/>
      <c r="UZW106" s="1"/>
      <c r="UZX106" s="1"/>
      <c r="UZY106" s="1"/>
      <c r="UZZ106" s="1"/>
      <c r="VAA106" s="1"/>
      <c r="VAB106" s="1"/>
      <c r="VAC106" s="1"/>
      <c r="VAD106" s="1"/>
      <c r="VAE106" s="1"/>
      <c r="VAF106" s="1"/>
      <c r="VAG106" s="1"/>
      <c r="VAH106" s="1"/>
      <c r="VAI106" s="1"/>
      <c r="VAJ106" s="1"/>
      <c r="VAK106" s="1"/>
      <c r="VAL106" s="1"/>
      <c r="VAM106" s="1"/>
      <c r="VAN106" s="1"/>
      <c r="VAO106" s="1"/>
      <c r="VAP106" s="1"/>
      <c r="VAQ106" s="1"/>
      <c r="VAR106" s="1"/>
      <c r="VAS106" s="1"/>
      <c r="VAT106" s="1"/>
      <c r="VAU106" s="1"/>
      <c r="VAV106" s="1"/>
      <c r="VAW106" s="1"/>
      <c r="VAX106" s="1"/>
      <c r="VAY106" s="1"/>
      <c r="VAZ106" s="1"/>
      <c r="VBA106" s="1"/>
      <c r="VBB106" s="1"/>
      <c r="VBC106" s="1"/>
      <c r="VBD106" s="1"/>
      <c r="VBE106" s="1"/>
      <c r="VBF106" s="1"/>
      <c r="VBG106" s="1"/>
      <c r="VBH106" s="1"/>
      <c r="VBI106" s="1"/>
      <c r="VBJ106" s="1"/>
      <c r="VBK106" s="1"/>
      <c r="VBL106" s="1"/>
      <c r="VBM106" s="1"/>
      <c r="VBN106" s="1"/>
      <c r="VBO106" s="1"/>
      <c r="VBP106" s="1"/>
      <c r="VBQ106" s="1"/>
      <c r="VBR106" s="1"/>
      <c r="VBS106" s="1"/>
      <c r="VBT106" s="1"/>
      <c r="VBU106" s="1"/>
      <c r="VBV106" s="1"/>
      <c r="VBW106" s="1"/>
      <c r="VBX106" s="1"/>
      <c r="VBY106" s="1"/>
      <c r="VBZ106" s="1"/>
      <c r="VCA106" s="1"/>
      <c r="VCB106" s="1"/>
      <c r="VCC106" s="1"/>
      <c r="VCD106" s="1"/>
      <c r="VCE106" s="1"/>
      <c r="VCF106" s="1"/>
      <c r="VCG106" s="1"/>
      <c r="VCH106" s="1"/>
      <c r="VCI106" s="1"/>
      <c r="VCJ106" s="1"/>
      <c r="VCK106" s="1"/>
      <c r="VCL106" s="1"/>
      <c r="VCM106" s="1"/>
      <c r="VCN106" s="1"/>
      <c r="VCO106" s="1"/>
      <c r="VCP106" s="1"/>
      <c r="VCQ106" s="1"/>
      <c r="VCR106" s="1"/>
      <c r="VCS106" s="1"/>
      <c r="VCT106" s="1"/>
      <c r="VCU106" s="1"/>
      <c r="VCV106" s="1"/>
      <c r="VCW106" s="1"/>
      <c r="VCX106" s="1"/>
      <c r="VCY106" s="1"/>
      <c r="VCZ106" s="1"/>
      <c r="VDA106" s="1"/>
      <c r="VDB106" s="1"/>
      <c r="VDC106" s="1"/>
      <c r="VDD106" s="1"/>
      <c r="VDE106" s="1"/>
      <c r="VDF106" s="1"/>
      <c r="VDG106" s="1"/>
      <c r="VDH106" s="1"/>
      <c r="VDI106" s="1"/>
      <c r="VDJ106" s="1"/>
      <c r="VDK106" s="1"/>
      <c r="VDL106" s="1"/>
      <c r="VDM106" s="1"/>
      <c r="VDN106" s="1"/>
      <c r="VDO106" s="1"/>
      <c r="VDP106" s="1"/>
      <c r="VDQ106" s="1"/>
      <c r="VDR106" s="1"/>
      <c r="VDS106" s="1"/>
      <c r="VDT106" s="1"/>
      <c r="VDU106" s="1"/>
      <c r="VDV106" s="1"/>
      <c r="VDW106" s="1"/>
      <c r="VDX106" s="1"/>
      <c r="VDY106" s="1"/>
      <c r="VDZ106" s="1"/>
      <c r="VEA106" s="1"/>
      <c r="VEB106" s="1"/>
      <c r="VEC106" s="1"/>
      <c r="VED106" s="1"/>
      <c r="VEE106" s="1"/>
      <c r="VEF106" s="1"/>
      <c r="VEG106" s="1"/>
      <c r="VEH106" s="1"/>
      <c r="VEI106" s="1"/>
      <c r="VEJ106" s="1"/>
      <c r="VEK106" s="1"/>
      <c r="VEL106" s="1"/>
      <c r="VEM106" s="1"/>
      <c r="VEN106" s="1"/>
      <c r="VEO106" s="1"/>
      <c r="VEP106" s="1"/>
      <c r="VEQ106" s="1"/>
      <c r="VER106" s="1"/>
      <c r="VES106" s="1"/>
      <c r="VET106" s="1"/>
      <c r="VEU106" s="1"/>
      <c r="VEV106" s="1"/>
      <c r="VEW106" s="1"/>
      <c r="VEX106" s="1"/>
      <c r="VEY106" s="1"/>
      <c r="VEZ106" s="1"/>
      <c r="VFA106" s="1"/>
      <c r="VFB106" s="1"/>
      <c r="VFC106" s="1"/>
      <c r="VFD106" s="1"/>
      <c r="VFE106" s="1"/>
      <c r="VFF106" s="1"/>
      <c r="VFG106" s="1"/>
      <c r="VFH106" s="1"/>
      <c r="VFI106" s="1"/>
      <c r="VFJ106" s="1"/>
      <c r="VFK106" s="1"/>
      <c r="VFL106" s="1"/>
      <c r="VFM106" s="1"/>
      <c r="VFN106" s="1"/>
      <c r="VFO106" s="1"/>
      <c r="VFP106" s="1"/>
      <c r="VFQ106" s="1"/>
      <c r="VFR106" s="1"/>
      <c r="VFS106" s="1"/>
      <c r="VFT106" s="1"/>
      <c r="VFU106" s="1"/>
      <c r="VFV106" s="1"/>
      <c r="VFW106" s="1"/>
      <c r="VFX106" s="1"/>
      <c r="VFY106" s="1"/>
      <c r="VFZ106" s="1"/>
      <c r="VGA106" s="1"/>
      <c r="VGB106" s="1"/>
      <c r="VGC106" s="1"/>
      <c r="VGD106" s="1"/>
      <c r="VGE106" s="1"/>
      <c r="VGF106" s="1"/>
      <c r="VGG106" s="1"/>
      <c r="VGH106" s="1"/>
      <c r="VGI106" s="1"/>
      <c r="VGJ106" s="1"/>
      <c r="VGK106" s="1"/>
      <c r="VGL106" s="1"/>
      <c r="VGM106" s="1"/>
      <c r="VGN106" s="1"/>
      <c r="VGO106" s="1"/>
      <c r="VGP106" s="1"/>
      <c r="VGQ106" s="1"/>
      <c r="VGR106" s="1"/>
      <c r="VGS106" s="1"/>
      <c r="VGT106" s="1"/>
      <c r="VGU106" s="1"/>
      <c r="VGV106" s="1"/>
      <c r="VGW106" s="1"/>
      <c r="VGX106" s="1"/>
      <c r="VGY106" s="1"/>
      <c r="VGZ106" s="1"/>
      <c r="VHA106" s="1"/>
      <c r="VHB106" s="1"/>
      <c r="VHC106" s="1"/>
      <c r="VHD106" s="1"/>
      <c r="VHE106" s="1"/>
      <c r="VHF106" s="1"/>
      <c r="VHG106" s="1"/>
      <c r="VHH106" s="1"/>
      <c r="VHI106" s="1"/>
      <c r="VHJ106" s="1"/>
      <c r="VHK106" s="1"/>
      <c r="VHL106" s="1"/>
      <c r="VHM106" s="1"/>
      <c r="VHN106" s="1"/>
      <c r="VHO106" s="1"/>
      <c r="VHP106" s="1"/>
      <c r="VHQ106" s="1"/>
      <c r="VHR106" s="1"/>
      <c r="VHS106" s="1"/>
      <c r="VHT106" s="1"/>
      <c r="VHU106" s="1"/>
      <c r="VHV106" s="1"/>
      <c r="VHW106" s="1"/>
      <c r="VHX106" s="1"/>
      <c r="VHY106" s="1"/>
      <c r="VHZ106" s="1"/>
      <c r="VIA106" s="1"/>
      <c r="VIB106" s="1"/>
      <c r="VIC106" s="1"/>
      <c r="VID106" s="1"/>
      <c r="VIE106" s="1"/>
      <c r="VIF106" s="1"/>
      <c r="VIG106" s="1"/>
      <c r="VIH106" s="1"/>
      <c r="VII106" s="1"/>
      <c r="VIJ106" s="1"/>
      <c r="VIK106" s="1"/>
      <c r="VIL106" s="1"/>
      <c r="VIM106" s="1"/>
      <c r="VIN106" s="1"/>
      <c r="VIO106" s="1"/>
      <c r="VIP106" s="1"/>
      <c r="VIQ106" s="1"/>
      <c r="VIR106" s="1"/>
      <c r="VIS106" s="1"/>
      <c r="VIT106" s="1"/>
      <c r="VIU106" s="1"/>
      <c r="VIV106" s="1"/>
      <c r="VIW106" s="1"/>
      <c r="VIX106" s="1"/>
      <c r="VIY106" s="1"/>
      <c r="VIZ106" s="1"/>
      <c r="VJA106" s="1"/>
      <c r="VJB106" s="1"/>
      <c r="VJC106" s="1"/>
      <c r="VJD106" s="1"/>
      <c r="VJE106" s="1"/>
      <c r="VJF106" s="1"/>
      <c r="VJG106" s="1"/>
      <c r="VJH106" s="1"/>
      <c r="VJI106" s="1"/>
      <c r="VJJ106" s="1"/>
      <c r="VJK106" s="1"/>
      <c r="VJL106" s="1"/>
      <c r="VJM106" s="1"/>
      <c r="VJN106" s="1"/>
      <c r="VJO106" s="1"/>
      <c r="VJP106" s="1"/>
      <c r="VJQ106" s="1"/>
      <c r="VJR106" s="1"/>
      <c r="VJS106" s="1"/>
      <c r="VJT106" s="1"/>
      <c r="VJU106" s="1"/>
      <c r="VJV106" s="1"/>
      <c r="VJW106" s="1"/>
      <c r="VJX106" s="1"/>
      <c r="VJY106" s="1"/>
      <c r="VJZ106" s="1"/>
      <c r="VKA106" s="1"/>
      <c r="VKB106" s="1"/>
      <c r="VKC106" s="1"/>
      <c r="VKD106" s="1"/>
      <c r="VKE106" s="1"/>
      <c r="VKF106" s="1"/>
      <c r="VKG106" s="1"/>
      <c r="VKH106" s="1"/>
      <c r="VKI106" s="1"/>
      <c r="VKJ106" s="1"/>
      <c r="VKK106" s="1"/>
      <c r="VKL106" s="1"/>
      <c r="VKM106" s="1"/>
      <c r="VKN106" s="1"/>
      <c r="VKO106" s="1"/>
      <c r="VKP106" s="1"/>
      <c r="VKQ106" s="1"/>
      <c r="VKR106" s="1"/>
      <c r="VKS106" s="1"/>
      <c r="VKT106" s="1"/>
      <c r="VKU106" s="1"/>
      <c r="VKV106" s="1"/>
      <c r="VKW106" s="1"/>
      <c r="VKX106" s="1"/>
      <c r="VKY106" s="1"/>
      <c r="VKZ106" s="1"/>
      <c r="VLA106" s="1"/>
      <c r="VLB106" s="1"/>
      <c r="VLC106" s="1"/>
      <c r="VLD106" s="1"/>
      <c r="VLE106" s="1"/>
      <c r="VLF106" s="1"/>
      <c r="VLG106" s="1"/>
      <c r="VLH106" s="1"/>
      <c r="VLI106" s="1"/>
      <c r="VLJ106" s="1"/>
      <c r="VLK106" s="1"/>
      <c r="VLL106" s="1"/>
      <c r="VLM106" s="1"/>
      <c r="VLN106" s="1"/>
      <c r="VLO106" s="1"/>
      <c r="VLP106" s="1"/>
      <c r="VLQ106" s="1"/>
      <c r="VLR106" s="1"/>
      <c r="VLS106" s="1"/>
      <c r="VLT106" s="1"/>
      <c r="VLU106" s="1"/>
      <c r="VLV106" s="1"/>
      <c r="VLW106" s="1"/>
      <c r="VLX106" s="1"/>
      <c r="VLY106" s="1"/>
      <c r="VLZ106" s="1"/>
      <c r="VMA106" s="1"/>
      <c r="VMB106" s="1"/>
      <c r="VMC106" s="1"/>
      <c r="VMD106" s="1"/>
      <c r="VME106" s="1"/>
      <c r="VMF106" s="1"/>
      <c r="VMG106" s="1"/>
      <c r="VMH106" s="1"/>
      <c r="VMI106" s="1"/>
      <c r="VMJ106" s="1"/>
      <c r="VMK106" s="1"/>
      <c r="VML106" s="1"/>
      <c r="VMM106" s="1"/>
      <c r="VMN106" s="1"/>
      <c r="VMO106" s="1"/>
      <c r="VMP106" s="1"/>
      <c r="VMQ106" s="1"/>
      <c r="VMR106" s="1"/>
      <c r="VMS106" s="1"/>
      <c r="VMT106" s="1"/>
      <c r="VMU106" s="1"/>
      <c r="VMV106" s="1"/>
      <c r="VMW106" s="1"/>
      <c r="VMX106" s="1"/>
      <c r="VMY106" s="1"/>
      <c r="VMZ106" s="1"/>
      <c r="VNA106" s="1"/>
      <c r="VNB106" s="1"/>
      <c r="VNC106" s="1"/>
      <c r="VND106" s="1"/>
      <c r="VNE106" s="1"/>
      <c r="VNF106" s="1"/>
      <c r="VNG106" s="1"/>
      <c r="VNH106" s="1"/>
      <c r="VNI106" s="1"/>
      <c r="VNJ106" s="1"/>
      <c r="VNK106" s="1"/>
      <c r="VNL106" s="1"/>
      <c r="VNM106" s="1"/>
      <c r="VNN106" s="1"/>
      <c r="VNO106" s="1"/>
      <c r="VNP106" s="1"/>
      <c r="VNQ106" s="1"/>
      <c r="VNR106" s="1"/>
      <c r="VNS106" s="1"/>
      <c r="VNT106" s="1"/>
      <c r="VNU106" s="1"/>
      <c r="VNV106" s="1"/>
      <c r="VNW106" s="1"/>
      <c r="VNX106" s="1"/>
      <c r="VNY106" s="1"/>
      <c r="VNZ106" s="1"/>
      <c r="VOA106" s="1"/>
      <c r="VOB106" s="1"/>
      <c r="VOC106" s="1"/>
      <c r="VOD106" s="1"/>
      <c r="VOE106" s="1"/>
      <c r="VOF106" s="1"/>
      <c r="VOG106" s="1"/>
      <c r="VOH106" s="1"/>
      <c r="VOI106" s="1"/>
      <c r="VOJ106" s="1"/>
      <c r="VOK106" s="1"/>
      <c r="VOL106" s="1"/>
      <c r="VOM106" s="1"/>
      <c r="VON106" s="1"/>
      <c r="VOO106" s="1"/>
      <c r="VOP106" s="1"/>
      <c r="VOQ106" s="1"/>
      <c r="VOR106" s="1"/>
      <c r="VOS106" s="1"/>
      <c r="VOT106" s="1"/>
      <c r="VOU106" s="1"/>
      <c r="VOV106" s="1"/>
      <c r="VOW106" s="1"/>
      <c r="VOX106" s="1"/>
      <c r="VOY106" s="1"/>
      <c r="VOZ106" s="1"/>
      <c r="VPA106" s="1"/>
      <c r="VPB106" s="1"/>
      <c r="VPC106" s="1"/>
      <c r="VPD106" s="1"/>
      <c r="VPE106" s="1"/>
      <c r="VPF106" s="1"/>
      <c r="VPG106" s="1"/>
      <c r="VPH106" s="1"/>
      <c r="VPI106" s="1"/>
      <c r="VPJ106" s="1"/>
      <c r="VPK106" s="1"/>
      <c r="VPL106" s="1"/>
      <c r="VPM106" s="1"/>
      <c r="VPN106" s="1"/>
      <c r="VPO106" s="1"/>
      <c r="VPP106" s="1"/>
      <c r="VPQ106" s="1"/>
      <c r="VPR106" s="1"/>
      <c r="VPS106" s="1"/>
      <c r="VPT106" s="1"/>
      <c r="VPU106" s="1"/>
      <c r="VPV106" s="1"/>
      <c r="VPW106" s="1"/>
      <c r="VPX106" s="1"/>
      <c r="VPY106" s="1"/>
      <c r="VPZ106" s="1"/>
      <c r="VQA106" s="1"/>
      <c r="VQB106" s="1"/>
      <c r="VQC106" s="1"/>
      <c r="VQD106" s="1"/>
      <c r="VQE106" s="1"/>
      <c r="VQF106" s="1"/>
      <c r="VQG106" s="1"/>
      <c r="VQH106" s="1"/>
      <c r="VQI106" s="1"/>
      <c r="VQJ106" s="1"/>
      <c r="VQK106" s="1"/>
      <c r="VQL106" s="1"/>
      <c r="VQM106" s="1"/>
      <c r="VQN106" s="1"/>
      <c r="VQO106" s="1"/>
      <c r="VQP106" s="1"/>
      <c r="VQQ106" s="1"/>
      <c r="VQR106" s="1"/>
      <c r="VQS106" s="1"/>
      <c r="VQT106" s="1"/>
      <c r="VQU106" s="1"/>
      <c r="VQV106" s="1"/>
      <c r="VQW106" s="1"/>
      <c r="VQX106" s="1"/>
      <c r="VQY106" s="1"/>
      <c r="VQZ106" s="1"/>
      <c r="VRA106" s="1"/>
      <c r="VRB106" s="1"/>
      <c r="VRC106" s="1"/>
      <c r="VRD106" s="1"/>
      <c r="VRE106" s="1"/>
      <c r="VRF106" s="1"/>
      <c r="VRG106" s="1"/>
      <c r="VRH106" s="1"/>
      <c r="VRI106" s="1"/>
      <c r="VRJ106" s="1"/>
      <c r="VRK106" s="1"/>
      <c r="VRL106" s="1"/>
      <c r="VRM106" s="1"/>
      <c r="VRN106" s="1"/>
      <c r="VRO106" s="1"/>
      <c r="VRP106" s="1"/>
      <c r="VRQ106" s="1"/>
      <c r="VRR106" s="1"/>
      <c r="VRS106" s="1"/>
      <c r="VRT106" s="1"/>
      <c r="VRU106" s="1"/>
      <c r="VRV106" s="1"/>
      <c r="VRW106" s="1"/>
      <c r="VRX106" s="1"/>
      <c r="VRY106" s="1"/>
      <c r="VRZ106" s="1"/>
      <c r="VSA106" s="1"/>
      <c r="VSB106" s="1"/>
      <c r="VSC106" s="1"/>
      <c r="VSD106" s="1"/>
      <c r="VSE106" s="1"/>
      <c r="VSF106" s="1"/>
      <c r="VSG106" s="1"/>
      <c r="VSH106" s="1"/>
      <c r="VSI106" s="1"/>
      <c r="VSJ106" s="1"/>
      <c r="VSK106" s="1"/>
      <c r="VSL106" s="1"/>
      <c r="VSM106" s="1"/>
      <c r="VSN106" s="1"/>
      <c r="VSO106" s="1"/>
      <c r="VSP106" s="1"/>
      <c r="VSQ106" s="1"/>
      <c r="VSR106" s="1"/>
      <c r="VSS106" s="1"/>
      <c r="VST106" s="1"/>
      <c r="VSU106" s="1"/>
      <c r="VSV106" s="1"/>
      <c r="VSW106" s="1"/>
      <c r="VSX106" s="1"/>
      <c r="VSY106" s="1"/>
      <c r="VSZ106" s="1"/>
      <c r="VTA106" s="1"/>
      <c r="VTB106" s="1"/>
      <c r="VTC106" s="1"/>
      <c r="VTD106" s="1"/>
      <c r="VTE106" s="1"/>
      <c r="VTF106" s="1"/>
      <c r="VTG106" s="1"/>
      <c r="VTH106" s="1"/>
      <c r="VTI106" s="1"/>
      <c r="VTJ106" s="1"/>
      <c r="VTK106" s="1"/>
      <c r="VTL106" s="1"/>
      <c r="VTM106" s="1"/>
      <c r="VTN106" s="1"/>
      <c r="VTO106" s="1"/>
      <c r="VTP106" s="1"/>
      <c r="VTQ106" s="1"/>
      <c r="VTR106" s="1"/>
      <c r="VTS106" s="1"/>
      <c r="VTT106" s="1"/>
      <c r="VTU106" s="1"/>
      <c r="VTV106" s="1"/>
      <c r="VTW106" s="1"/>
      <c r="VTX106" s="1"/>
      <c r="VTY106" s="1"/>
      <c r="VTZ106" s="1"/>
      <c r="VUA106" s="1"/>
      <c r="VUB106" s="1"/>
      <c r="VUC106" s="1"/>
      <c r="VUD106" s="1"/>
      <c r="VUE106" s="1"/>
      <c r="VUF106" s="1"/>
      <c r="VUG106" s="1"/>
      <c r="VUH106" s="1"/>
      <c r="VUI106" s="1"/>
      <c r="VUJ106" s="1"/>
      <c r="VUK106" s="1"/>
      <c r="VUL106" s="1"/>
      <c r="VUM106" s="1"/>
      <c r="VUN106" s="1"/>
      <c r="VUO106" s="1"/>
      <c r="VUP106" s="1"/>
      <c r="VUQ106" s="1"/>
      <c r="VUR106" s="1"/>
      <c r="VUS106" s="1"/>
      <c r="VUT106" s="1"/>
      <c r="VUU106" s="1"/>
      <c r="VUV106" s="1"/>
      <c r="VUW106" s="1"/>
      <c r="VUX106" s="1"/>
      <c r="VUY106" s="1"/>
      <c r="VUZ106" s="1"/>
      <c r="VVA106" s="1"/>
      <c r="VVB106" s="1"/>
      <c r="VVC106" s="1"/>
      <c r="VVD106" s="1"/>
      <c r="VVE106" s="1"/>
      <c r="VVF106" s="1"/>
      <c r="VVG106" s="1"/>
      <c r="VVH106" s="1"/>
      <c r="VVI106" s="1"/>
      <c r="VVJ106" s="1"/>
      <c r="VVK106" s="1"/>
      <c r="VVL106" s="1"/>
      <c r="VVM106" s="1"/>
      <c r="VVN106" s="1"/>
      <c r="VVO106" s="1"/>
      <c r="VVP106" s="1"/>
      <c r="VVQ106" s="1"/>
      <c r="VVR106" s="1"/>
      <c r="VVS106" s="1"/>
      <c r="VVT106" s="1"/>
      <c r="VVU106" s="1"/>
      <c r="VVV106" s="1"/>
      <c r="VVW106" s="1"/>
      <c r="VVX106" s="1"/>
      <c r="VVY106" s="1"/>
      <c r="VVZ106" s="1"/>
      <c r="VWA106" s="1"/>
      <c r="VWB106" s="1"/>
      <c r="VWC106" s="1"/>
      <c r="VWD106" s="1"/>
      <c r="VWE106" s="1"/>
      <c r="VWF106" s="1"/>
      <c r="VWG106" s="1"/>
      <c r="VWH106" s="1"/>
      <c r="VWI106" s="1"/>
      <c r="VWJ106" s="1"/>
      <c r="VWK106" s="1"/>
      <c r="VWL106" s="1"/>
      <c r="VWM106" s="1"/>
      <c r="VWN106" s="1"/>
      <c r="VWO106" s="1"/>
      <c r="VWP106" s="1"/>
      <c r="VWQ106" s="1"/>
      <c r="VWR106" s="1"/>
      <c r="VWS106" s="1"/>
      <c r="VWT106" s="1"/>
      <c r="VWU106" s="1"/>
      <c r="VWV106" s="1"/>
      <c r="VWW106" s="1"/>
      <c r="VWX106" s="1"/>
      <c r="VWY106" s="1"/>
      <c r="VWZ106" s="1"/>
      <c r="VXA106" s="1"/>
      <c r="VXB106" s="1"/>
      <c r="VXC106" s="1"/>
      <c r="VXD106" s="1"/>
      <c r="VXE106" s="1"/>
      <c r="VXF106" s="1"/>
      <c r="VXG106" s="1"/>
      <c r="VXH106" s="1"/>
      <c r="VXI106" s="1"/>
      <c r="VXJ106" s="1"/>
      <c r="VXK106" s="1"/>
      <c r="VXL106" s="1"/>
      <c r="VXM106" s="1"/>
      <c r="VXN106" s="1"/>
      <c r="VXO106" s="1"/>
      <c r="VXP106" s="1"/>
      <c r="VXQ106" s="1"/>
      <c r="VXR106" s="1"/>
      <c r="VXS106" s="1"/>
      <c r="VXT106" s="1"/>
      <c r="VXU106" s="1"/>
      <c r="VXV106" s="1"/>
      <c r="VXW106" s="1"/>
      <c r="VXX106" s="1"/>
      <c r="VXY106" s="1"/>
      <c r="VXZ106" s="1"/>
      <c r="VYA106" s="1"/>
      <c r="VYB106" s="1"/>
      <c r="VYC106" s="1"/>
      <c r="VYD106" s="1"/>
      <c r="VYE106" s="1"/>
      <c r="VYF106" s="1"/>
      <c r="VYG106" s="1"/>
      <c r="VYH106" s="1"/>
      <c r="VYI106" s="1"/>
      <c r="VYJ106" s="1"/>
      <c r="VYK106" s="1"/>
      <c r="VYL106" s="1"/>
      <c r="VYM106" s="1"/>
      <c r="VYN106" s="1"/>
      <c r="VYO106" s="1"/>
      <c r="VYP106" s="1"/>
      <c r="VYQ106" s="1"/>
      <c r="VYR106" s="1"/>
      <c r="VYS106" s="1"/>
      <c r="VYT106" s="1"/>
      <c r="VYU106" s="1"/>
      <c r="VYV106" s="1"/>
      <c r="VYW106" s="1"/>
      <c r="VYX106" s="1"/>
      <c r="VYY106" s="1"/>
      <c r="VYZ106" s="1"/>
      <c r="VZA106" s="1"/>
      <c r="VZB106" s="1"/>
      <c r="VZC106" s="1"/>
      <c r="VZD106" s="1"/>
      <c r="VZE106" s="1"/>
      <c r="VZF106" s="1"/>
      <c r="VZG106" s="1"/>
      <c r="VZH106" s="1"/>
      <c r="VZI106" s="1"/>
      <c r="VZJ106" s="1"/>
      <c r="VZK106" s="1"/>
      <c r="VZL106" s="1"/>
      <c r="VZM106" s="1"/>
      <c r="VZN106" s="1"/>
      <c r="VZO106" s="1"/>
      <c r="VZP106" s="1"/>
      <c r="VZQ106" s="1"/>
      <c r="VZR106" s="1"/>
      <c r="VZS106" s="1"/>
      <c r="VZT106" s="1"/>
      <c r="VZU106" s="1"/>
      <c r="VZV106" s="1"/>
      <c r="VZW106" s="1"/>
      <c r="VZX106" s="1"/>
      <c r="VZY106" s="1"/>
      <c r="VZZ106" s="1"/>
      <c r="WAA106" s="1"/>
      <c r="WAB106" s="1"/>
      <c r="WAC106" s="1"/>
      <c r="WAD106" s="1"/>
      <c r="WAE106" s="1"/>
      <c r="WAF106" s="1"/>
      <c r="WAG106" s="1"/>
      <c r="WAH106" s="1"/>
      <c r="WAI106" s="1"/>
      <c r="WAJ106" s="1"/>
      <c r="WAK106" s="1"/>
      <c r="WAL106" s="1"/>
      <c r="WAM106" s="1"/>
      <c r="WAN106" s="1"/>
      <c r="WAO106" s="1"/>
      <c r="WAP106" s="1"/>
      <c r="WAQ106" s="1"/>
      <c r="WAR106" s="1"/>
      <c r="WAS106" s="1"/>
      <c r="WAT106" s="1"/>
      <c r="WAU106" s="1"/>
      <c r="WAV106" s="1"/>
      <c r="WAW106" s="1"/>
      <c r="WAX106" s="1"/>
      <c r="WAY106" s="1"/>
      <c r="WAZ106" s="1"/>
      <c r="WBA106" s="1"/>
      <c r="WBB106" s="1"/>
      <c r="WBC106" s="1"/>
      <c r="WBD106" s="1"/>
      <c r="WBE106" s="1"/>
      <c r="WBF106" s="1"/>
      <c r="WBG106" s="1"/>
      <c r="WBH106" s="1"/>
      <c r="WBI106" s="1"/>
      <c r="WBJ106" s="1"/>
      <c r="WBK106" s="1"/>
      <c r="WBL106" s="1"/>
      <c r="WBM106" s="1"/>
      <c r="WBN106" s="1"/>
      <c r="WBO106" s="1"/>
      <c r="WBP106" s="1"/>
      <c r="WBQ106" s="1"/>
      <c r="WBR106" s="1"/>
      <c r="WBS106" s="1"/>
      <c r="WBT106" s="1"/>
      <c r="WBU106" s="1"/>
      <c r="WBV106" s="1"/>
      <c r="WBW106" s="1"/>
      <c r="WBX106" s="1"/>
      <c r="WBY106" s="1"/>
      <c r="WBZ106" s="1"/>
      <c r="WCA106" s="1"/>
      <c r="WCB106" s="1"/>
      <c r="WCC106" s="1"/>
      <c r="WCD106" s="1"/>
      <c r="WCE106" s="1"/>
      <c r="WCF106" s="1"/>
      <c r="WCG106" s="1"/>
      <c r="WCH106" s="1"/>
      <c r="WCI106" s="1"/>
      <c r="WCJ106" s="1"/>
      <c r="WCK106" s="1"/>
      <c r="WCL106" s="1"/>
      <c r="WCM106" s="1"/>
      <c r="WCN106" s="1"/>
      <c r="WCO106" s="1"/>
      <c r="WCP106" s="1"/>
      <c r="WCQ106" s="1"/>
      <c r="WCR106" s="1"/>
      <c r="WCS106" s="1"/>
      <c r="WCT106" s="1"/>
      <c r="WCU106" s="1"/>
      <c r="WCV106" s="1"/>
      <c r="WCW106" s="1"/>
      <c r="WCX106" s="1"/>
      <c r="WCY106" s="1"/>
      <c r="WCZ106" s="1"/>
      <c r="WDA106" s="1"/>
      <c r="WDB106" s="1"/>
      <c r="WDC106" s="1"/>
      <c r="WDD106" s="1"/>
      <c r="WDE106" s="1"/>
      <c r="WDF106" s="1"/>
      <c r="WDG106" s="1"/>
      <c r="WDH106" s="1"/>
      <c r="WDI106" s="1"/>
      <c r="WDJ106" s="1"/>
      <c r="WDK106" s="1"/>
      <c r="WDL106" s="1"/>
      <c r="WDM106" s="1"/>
      <c r="WDN106" s="1"/>
      <c r="WDO106" s="1"/>
      <c r="WDP106" s="1"/>
      <c r="WDQ106" s="1"/>
      <c r="WDR106" s="1"/>
      <c r="WDS106" s="1"/>
      <c r="WDT106" s="1"/>
      <c r="WDU106" s="1"/>
      <c r="WDV106" s="1"/>
      <c r="WDW106" s="1"/>
      <c r="WDX106" s="1"/>
      <c r="WDY106" s="1"/>
      <c r="WDZ106" s="1"/>
      <c r="WEA106" s="1"/>
      <c r="WEB106" s="1"/>
      <c r="WEC106" s="1"/>
      <c r="WED106" s="1"/>
      <c r="WEE106" s="1"/>
      <c r="WEF106" s="1"/>
      <c r="WEG106" s="1"/>
      <c r="WEH106" s="1"/>
      <c r="WEI106" s="1"/>
      <c r="WEJ106" s="1"/>
      <c r="WEK106" s="1"/>
      <c r="WEL106" s="1"/>
      <c r="WEM106" s="1"/>
      <c r="WEN106" s="1"/>
      <c r="WEO106" s="1"/>
      <c r="WEP106" s="1"/>
      <c r="WEQ106" s="1"/>
      <c r="WER106" s="1"/>
      <c r="WES106" s="1"/>
      <c r="WET106" s="1"/>
      <c r="WEU106" s="1"/>
      <c r="WEV106" s="1"/>
      <c r="WEW106" s="1"/>
      <c r="WEX106" s="1"/>
      <c r="WEY106" s="1"/>
      <c r="WEZ106" s="1"/>
      <c r="WFA106" s="1"/>
      <c r="WFB106" s="1"/>
      <c r="WFC106" s="1"/>
      <c r="WFD106" s="1"/>
      <c r="WFE106" s="1"/>
      <c r="WFF106" s="1"/>
      <c r="WFG106" s="1"/>
      <c r="WFH106" s="1"/>
      <c r="WFI106" s="1"/>
      <c r="WFJ106" s="1"/>
      <c r="WFK106" s="1"/>
      <c r="WFL106" s="1"/>
      <c r="WFM106" s="1"/>
      <c r="WFN106" s="1"/>
      <c r="WFO106" s="1"/>
      <c r="WFP106" s="1"/>
      <c r="WFQ106" s="1"/>
      <c r="WFR106" s="1"/>
      <c r="WFS106" s="1"/>
      <c r="WFT106" s="1"/>
      <c r="WFU106" s="1"/>
      <c r="WFV106" s="1"/>
      <c r="WFW106" s="1"/>
      <c r="WFX106" s="1"/>
      <c r="WFY106" s="1"/>
      <c r="WFZ106" s="1"/>
      <c r="WGA106" s="1"/>
      <c r="WGB106" s="1"/>
      <c r="WGC106" s="1"/>
      <c r="WGD106" s="1"/>
      <c r="WGE106" s="1"/>
      <c r="WGF106" s="1"/>
      <c r="WGG106" s="1"/>
      <c r="WGH106" s="1"/>
      <c r="WGI106" s="1"/>
      <c r="WGJ106" s="1"/>
      <c r="WGK106" s="1"/>
      <c r="WGL106" s="1"/>
      <c r="WGM106" s="1"/>
      <c r="WGN106" s="1"/>
      <c r="WGO106" s="1"/>
      <c r="WGP106" s="1"/>
      <c r="WGQ106" s="1"/>
      <c r="WGR106" s="1"/>
      <c r="WGS106" s="1"/>
      <c r="WGT106" s="1"/>
      <c r="WGU106" s="1"/>
      <c r="WGV106" s="1"/>
      <c r="WGW106" s="1"/>
      <c r="WGX106" s="1"/>
      <c r="WGY106" s="1"/>
      <c r="WGZ106" s="1"/>
      <c r="WHA106" s="1"/>
      <c r="WHB106" s="1"/>
      <c r="WHC106" s="1"/>
      <c r="WHD106" s="1"/>
      <c r="WHE106" s="1"/>
      <c r="WHF106" s="1"/>
      <c r="WHG106" s="1"/>
      <c r="WHH106" s="1"/>
      <c r="WHI106" s="1"/>
      <c r="WHJ106" s="1"/>
      <c r="WHK106" s="1"/>
      <c r="WHL106" s="1"/>
      <c r="WHM106" s="1"/>
      <c r="WHN106" s="1"/>
      <c r="WHO106" s="1"/>
      <c r="WHP106" s="1"/>
      <c r="WHQ106" s="1"/>
      <c r="WHR106" s="1"/>
      <c r="WHS106" s="1"/>
      <c r="WHT106" s="1"/>
      <c r="WHU106" s="1"/>
      <c r="WHV106" s="1"/>
      <c r="WHW106" s="1"/>
      <c r="WHX106" s="1"/>
      <c r="WHY106" s="1"/>
      <c r="WHZ106" s="1"/>
      <c r="WIA106" s="1"/>
      <c r="WIB106" s="1"/>
      <c r="WIC106" s="1"/>
      <c r="WID106" s="1"/>
      <c r="WIE106" s="1"/>
      <c r="WIF106" s="1"/>
      <c r="WIG106" s="1"/>
      <c r="WIH106" s="1"/>
      <c r="WII106" s="1"/>
      <c r="WIJ106" s="1"/>
      <c r="WIK106" s="1"/>
      <c r="WIL106" s="1"/>
      <c r="WIM106" s="1"/>
      <c r="WIN106" s="1"/>
      <c r="WIO106" s="1"/>
      <c r="WIP106" s="1"/>
      <c r="WIQ106" s="1"/>
      <c r="WIR106" s="1"/>
      <c r="WIS106" s="1"/>
      <c r="WIT106" s="1"/>
      <c r="WIU106" s="1"/>
      <c r="WIV106" s="1"/>
      <c r="WIW106" s="1"/>
      <c r="WIX106" s="1"/>
      <c r="WIY106" s="1"/>
      <c r="WIZ106" s="1"/>
      <c r="WJA106" s="1"/>
      <c r="WJB106" s="1"/>
      <c r="WJC106" s="1"/>
      <c r="WJD106" s="1"/>
      <c r="WJE106" s="1"/>
      <c r="WJF106" s="1"/>
      <c r="WJG106" s="1"/>
      <c r="WJH106" s="1"/>
      <c r="WJI106" s="1"/>
      <c r="WJJ106" s="1"/>
      <c r="WJK106" s="1"/>
      <c r="WJL106" s="1"/>
      <c r="WJM106" s="1"/>
      <c r="WJN106" s="1"/>
      <c r="WJO106" s="1"/>
      <c r="WJP106" s="1"/>
      <c r="WJQ106" s="1"/>
      <c r="WJR106" s="1"/>
      <c r="WJS106" s="1"/>
      <c r="WJT106" s="1"/>
      <c r="WJU106" s="1"/>
      <c r="WJV106" s="1"/>
      <c r="WJW106" s="1"/>
      <c r="WJX106" s="1"/>
      <c r="WJY106" s="1"/>
      <c r="WJZ106" s="1"/>
      <c r="WKA106" s="1"/>
      <c r="WKB106" s="1"/>
      <c r="WKC106" s="1"/>
      <c r="WKD106" s="1"/>
      <c r="WKE106" s="1"/>
      <c r="WKF106" s="1"/>
      <c r="WKG106" s="1"/>
      <c r="WKH106" s="1"/>
      <c r="WKI106" s="1"/>
      <c r="WKJ106" s="1"/>
      <c r="WKK106" s="1"/>
      <c r="WKL106" s="1"/>
      <c r="WKM106" s="1"/>
      <c r="WKN106" s="1"/>
      <c r="WKO106" s="1"/>
      <c r="WKP106" s="1"/>
      <c r="WKQ106" s="1"/>
      <c r="WKR106" s="1"/>
      <c r="WKS106" s="1"/>
      <c r="WKT106" s="1"/>
      <c r="WKU106" s="1"/>
      <c r="WKV106" s="1"/>
      <c r="WKW106" s="1"/>
      <c r="WKX106" s="1"/>
      <c r="WKY106" s="1"/>
      <c r="WKZ106" s="1"/>
      <c r="WLA106" s="1"/>
      <c r="WLB106" s="1"/>
      <c r="WLC106" s="1"/>
      <c r="WLD106" s="1"/>
      <c r="WLE106" s="1"/>
      <c r="WLF106" s="1"/>
      <c r="WLG106" s="1"/>
      <c r="WLH106" s="1"/>
      <c r="WLI106" s="1"/>
      <c r="WLJ106" s="1"/>
      <c r="WLK106" s="1"/>
      <c r="WLL106" s="1"/>
      <c r="WLM106" s="1"/>
      <c r="WLN106" s="1"/>
      <c r="WLO106" s="1"/>
      <c r="WLP106" s="1"/>
      <c r="WLQ106" s="1"/>
      <c r="WLR106" s="1"/>
      <c r="WLS106" s="1"/>
      <c r="WLT106" s="1"/>
      <c r="WLU106" s="1"/>
      <c r="WLV106" s="1"/>
      <c r="WLW106" s="1"/>
      <c r="WLX106" s="1"/>
      <c r="WLY106" s="1"/>
      <c r="WLZ106" s="1"/>
      <c r="WMA106" s="1"/>
      <c r="WMB106" s="1"/>
      <c r="WMC106" s="1"/>
      <c r="WMD106" s="1"/>
      <c r="WME106" s="1"/>
      <c r="WMF106" s="1"/>
      <c r="WMG106" s="1"/>
      <c r="WMH106" s="1"/>
      <c r="WMI106" s="1"/>
      <c r="WMJ106" s="1"/>
      <c r="WMK106" s="1"/>
      <c r="WML106" s="1"/>
      <c r="WMM106" s="1"/>
      <c r="WMN106" s="1"/>
      <c r="WMO106" s="1"/>
      <c r="WMP106" s="1"/>
      <c r="WMQ106" s="1"/>
      <c r="WMR106" s="1"/>
      <c r="WMS106" s="1"/>
      <c r="WMT106" s="1"/>
      <c r="WMU106" s="1"/>
      <c r="WMV106" s="1"/>
      <c r="WMW106" s="1"/>
      <c r="WMX106" s="1"/>
      <c r="WMY106" s="1"/>
      <c r="WMZ106" s="1"/>
      <c r="WNA106" s="1"/>
      <c r="WNB106" s="1"/>
      <c r="WNC106" s="1"/>
      <c r="WND106" s="1"/>
      <c r="WNE106" s="1"/>
      <c r="WNF106" s="1"/>
      <c r="WNG106" s="1"/>
      <c r="WNH106" s="1"/>
      <c r="WNI106" s="1"/>
      <c r="WNJ106" s="1"/>
      <c r="WNK106" s="1"/>
      <c r="WNL106" s="1"/>
      <c r="WNM106" s="1"/>
      <c r="WNN106" s="1"/>
      <c r="WNO106" s="1"/>
      <c r="WNP106" s="1"/>
      <c r="WNQ106" s="1"/>
      <c r="WNR106" s="1"/>
      <c r="WNS106" s="1"/>
      <c r="WNT106" s="1"/>
      <c r="WNU106" s="1"/>
      <c r="WNV106" s="1"/>
      <c r="WNW106" s="1"/>
      <c r="WNX106" s="1"/>
      <c r="WNY106" s="1"/>
      <c r="WNZ106" s="1"/>
      <c r="WOA106" s="1"/>
      <c r="WOB106" s="1"/>
      <c r="WOC106" s="1"/>
      <c r="WOD106" s="1"/>
      <c r="WOE106" s="1"/>
      <c r="WOF106" s="1"/>
      <c r="WOG106" s="1"/>
      <c r="WOH106" s="1"/>
      <c r="WOI106" s="1"/>
      <c r="WOJ106" s="1"/>
      <c r="WOK106" s="1"/>
      <c r="WOL106" s="1"/>
      <c r="WOM106" s="1"/>
      <c r="WON106" s="1"/>
      <c r="WOO106" s="1"/>
      <c r="WOP106" s="1"/>
      <c r="WOQ106" s="1"/>
      <c r="WOR106" s="1"/>
      <c r="WOS106" s="1"/>
      <c r="WOT106" s="1"/>
      <c r="WOU106" s="1"/>
      <c r="WOV106" s="1"/>
      <c r="WOW106" s="1"/>
      <c r="WOX106" s="1"/>
      <c r="WOY106" s="1"/>
      <c r="WOZ106" s="1"/>
      <c r="WPA106" s="1"/>
      <c r="WPB106" s="1"/>
      <c r="WPC106" s="1"/>
      <c r="WPD106" s="1"/>
      <c r="WPE106" s="1"/>
      <c r="WPF106" s="1"/>
      <c r="WPG106" s="1"/>
      <c r="WPH106" s="1"/>
      <c r="WPI106" s="1"/>
      <c r="WPJ106" s="1"/>
      <c r="WPK106" s="1"/>
      <c r="WPL106" s="1"/>
      <c r="WPM106" s="1"/>
      <c r="WPN106" s="1"/>
      <c r="WPO106" s="1"/>
      <c r="WPP106" s="1"/>
      <c r="WPQ106" s="1"/>
      <c r="WPR106" s="1"/>
      <c r="WPS106" s="1"/>
      <c r="WPT106" s="1"/>
      <c r="WPU106" s="1"/>
      <c r="WPV106" s="1"/>
      <c r="WPW106" s="1"/>
      <c r="WPX106" s="1"/>
      <c r="WPY106" s="1"/>
      <c r="WPZ106" s="1"/>
      <c r="WQA106" s="1"/>
      <c r="WQB106" s="1"/>
      <c r="WQC106" s="1"/>
      <c r="WQD106" s="1"/>
      <c r="WQE106" s="1"/>
      <c r="WQF106" s="1"/>
      <c r="WQG106" s="1"/>
      <c r="WQH106" s="1"/>
      <c r="WQI106" s="1"/>
      <c r="WQJ106" s="1"/>
      <c r="WQK106" s="1"/>
      <c r="WQL106" s="1"/>
      <c r="WQM106" s="1"/>
      <c r="WQN106" s="1"/>
      <c r="WQO106" s="1"/>
      <c r="WQP106" s="1"/>
      <c r="WQQ106" s="1"/>
      <c r="WQR106" s="1"/>
      <c r="WQS106" s="1"/>
      <c r="WQT106" s="1"/>
      <c r="WQU106" s="1"/>
      <c r="WQV106" s="1"/>
      <c r="WQW106" s="1"/>
      <c r="WQX106" s="1"/>
      <c r="WQY106" s="1"/>
      <c r="WQZ106" s="1"/>
      <c r="WRA106" s="1"/>
      <c r="WRB106" s="1"/>
      <c r="WRC106" s="1"/>
      <c r="WRD106" s="1"/>
      <c r="WRE106" s="1"/>
      <c r="WRF106" s="1"/>
      <c r="WRG106" s="1"/>
      <c r="WRH106" s="1"/>
      <c r="WRI106" s="1"/>
      <c r="WRJ106" s="1"/>
      <c r="WRK106" s="1"/>
      <c r="WRL106" s="1"/>
      <c r="WRM106" s="1"/>
      <c r="WRN106" s="1"/>
      <c r="WRO106" s="1"/>
      <c r="WRP106" s="1"/>
      <c r="WRQ106" s="1"/>
      <c r="WRR106" s="1"/>
      <c r="WRS106" s="1"/>
      <c r="WRT106" s="1"/>
      <c r="WRU106" s="1"/>
      <c r="WRV106" s="1"/>
      <c r="WRW106" s="1"/>
      <c r="WRX106" s="1"/>
      <c r="WRY106" s="1"/>
      <c r="WRZ106" s="1"/>
      <c r="WSA106" s="1"/>
      <c r="WSB106" s="1"/>
      <c r="WSC106" s="1"/>
      <c r="WSD106" s="1"/>
      <c r="WSE106" s="1"/>
      <c r="WSF106" s="1"/>
      <c r="WSG106" s="1"/>
      <c r="WSH106" s="1"/>
      <c r="WSI106" s="1"/>
      <c r="WSJ106" s="1"/>
      <c r="WSK106" s="1"/>
      <c r="WSL106" s="1"/>
      <c r="WSM106" s="1"/>
      <c r="WSN106" s="1"/>
      <c r="WSO106" s="1"/>
      <c r="WSP106" s="1"/>
      <c r="WSQ106" s="1"/>
      <c r="WSR106" s="1"/>
      <c r="WSS106" s="1"/>
      <c r="WST106" s="1"/>
      <c r="WSU106" s="1"/>
      <c r="WSV106" s="1"/>
      <c r="WSW106" s="1"/>
      <c r="WSX106" s="1"/>
      <c r="WSY106" s="1"/>
      <c r="WSZ106" s="1"/>
      <c r="WTA106" s="1"/>
      <c r="WTB106" s="1"/>
      <c r="WTC106" s="1"/>
      <c r="WTD106" s="1"/>
      <c r="WTE106" s="1"/>
      <c r="WTF106" s="1"/>
      <c r="WTG106" s="1"/>
      <c r="WTH106" s="1"/>
      <c r="WTI106" s="1"/>
      <c r="WTJ106" s="1"/>
      <c r="WTK106" s="1"/>
      <c r="WTL106" s="1"/>
      <c r="WTM106" s="1"/>
      <c r="WTN106" s="1"/>
      <c r="WTO106" s="1"/>
      <c r="WTP106" s="1"/>
      <c r="WTQ106" s="1"/>
      <c r="WTR106" s="1"/>
      <c r="WTS106" s="1"/>
      <c r="WTT106" s="1"/>
      <c r="WTU106" s="1"/>
      <c r="WTV106" s="1"/>
      <c r="WTW106" s="1"/>
      <c r="WTX106" s="1"/>
      <c r="WTY106" s="1"/>
      <c r="WTZ106" s="1"/>
      <c r="WUA106" s="1"/>
      <c r="WUB106" s="1"/>
      <c r="WUC106" s="1"/>
      <c r="WUD106" s="1"/>
      <c r="WUE106" s="1"/>
      <c r="WUF106" s="1"/>
      <c r="WUG106" s="1"/>
      <c r="WUH106" s="1"/>
      <c r="WUI106" s="1"/>
      <c r="WUJ106" s="1"/>
      <c r="WUK106" s="1"/>
      <c r="WUL106" s="1"/>
      <c r="WUM106" s="1"/>
      <c r="WUN106" s="1"/>
      <c r="WUO106" s="1"/>
      <c r="WUP106" s="1"/>
      <c r="WUQ106" s="1"/>
      <c r="WUR106" s="1"/>
      <c r="WUS106" s="1"/>
      <c r="WUT106" s="1"/>
      <c r="WUU106" s="1"/>
      <c r="WUV106" s="1"/>
      <c r="WUW106" s="1"/>
      <c r="WUX106" s="1"/>
      <c r="WUY106" s="1"/>
      <c r="WUZ106" s="1"/>
      <c r="WVA106" s="1"/>
      <c r="WVB106" s="1"/>
      <c r="WVC106" s="1"/>
      <c r="WVD106" s="1"/>
      <c r="WVE106" s="1"/>
      <c r="WVF106" s="1"/>
      <c r="WVG106" s="1"/>
      <c r="WVH106" s="1"/>
      <c r="WVI106" s="1"/>
      <c r="WVJ106" s="1"/>
      <c r="WVK106" s="1"/>
      <c r="WVL106" s="1"/>
      <c r="WVM106" s="1"/>
      <c r="WVN106" s="1"/>
      <c r="WVO106" s="1"/>
      <c r="WVP106" s="1"/>
      <c r="WVQ106" s="1"/>
      <c r="WVR106" s="1"/>
      <c r="WVS106" s="1"/>
      <c r="WVT106" s="1"/>
      <c r="WVU106" s="1"/>
      <c r="WVV106" s="1"/>
      <c r="WVW106" s="1"/>
      <c r="WVX106" s="1"/>
      <c r="WVY106" s="1"/>
      <c r="WVZ106" s="1"/>
      <c r="WWA106" s="1"/>
      <c r="WWB106" s="1"/>
      <c r="WWC106" s="1"/>
      <c r="WWD106" s="1"/>
      <c r="WWE106" s="1"/>
      <c r="WWF106" s="1"/>
      <c r="WWG106" s="1"/>
      <c r="WWH106" s="1"/>
      <c r="WWI106" s="1"/>
      <c r="WWJ106" s="1"/>
      <c r="WWK106" s="1"/>
      <c r="WWL106" s="1"/>
      <c r="WWM106" s="1"/>
      <c r="WWN106" s="1"/>
      <c r="WWO106" s="1"/>
      <c r="WWP106" s="1"/>
      <c r="WWQ106" s="1"/>
      <c r="WWR106" s="1"/>
      <c r="WWS106" s="1"/>
      <c r="WWT106" s="1"/>
      <c r="WWU106" s="1"/>
      <c r="WWV106" s="1"/>
      <c r="WWW106" s="1"/>
      <c r="WWX106" s="1"/>
      <c r="WWY106" s="1"/>
      <c r="WWZ106" s="1"/>
      <c r="WXA106" s="1"/>
      <c r="WXB106" s="1"/>
      <c r="WXC106" s="1"/>
      <c r="WXD106" s="1"/>
      <c r="WXE106" s="1"/>
      <c r="WXF106" s="1"/>
      <c r="WXG106" s="1"/>
      <c r="WXH106" s="1"/>
      <c r="WXI106" s="1"/>
      <c r="WXJ106" s="1"/>
      <c r="WXK106" s="1"/>
      <c r="WXL106" s="1"/>
      <c r="WXM106" s="1"/>
      <c r="WXN106" s="1"/>
      <c r="WXO106" s="1"/>
      <c r="WXP106" s="1"/>
      <c r="WXQ106" s="1"/>
      <c r="WXR106" s="1"/>
      <c r="WXS106" s="1"/>
      <c r="WXT106" s="1"/>
      <c r="WXU106" s="1"/>
      <c r="WXV106" s="1"/>
      <c r="WXW106" s="1"/>
      <c r="WXX106" s="1"/>
      <c r="WXY106" s="1"/>
      <c r="WXZ106" s="1"/>
      <c r="WYA106" s="1"/>
      <c r="WYB106" s="1"/>
      <c r="WYC106" s="1"/>
      <c r="WYD106" s="1"/>
      <c r="WYE106" s="1"/>
      <c r="WYF106" s="1"/>
      <c r="WYG106" s="1"/>
      <c r="WYH106" s="1"/>
      <c r="WYI106" s="1"/>
      <c r="WYJ106" s="1"/>
      <c r="WYK106" s="1"/>
      <c r="WYL106" s="1"/>
      <c r="WYM106" s="1"/>
      <c r="WYN106" s="1"/>
      <c r="WYO106" s="1"/>
      <c r="WYP106" s="1"/>
      <c r="WYQ106" s="1"/>
      <c r="WYR106" s="1"/>
      <c r="WYS106" s="1"/>
      <c r="WYT106" s="1"/>
      <c r="WYU106" s="1"/>
      <c r="WYV106" s="1"/>
      <c r="WYW106" s="1"/>
      <c r="WYX106" s="1"/>
      <c r="WYY106" s="1"/>
      <c r="WYZ106" s="1"/>
      <c r="WZA106" s="1"/>
      <c r="WZB106" s="1"/>
      <c r="WZC106" s="1"/>
      <c r="WZD106" s="1"/>
      <c r="WZE106" s="1"/>
      <c r="WZF106" s="1"/>
      <c r="WZG106" s="1"/>
      <c r="WZH106" s="1"/>
      <c r="WZI106" s="1"/>
      <c r="WZJ106" s="1"/>
      <c r="WZK106" s="1"/>
      <c r="WZL106" s="1"/>
      <c r="WZM106" s="1"/>
      <c r="WZN106" s="1"/>
      <c r="WZO106" s="1"/>
      <c r="WZP106" s="1"/>
      <c r="WZQ106" s="1"/>
      <c r="WZR106" s="1"/>
      <c r="WZS106" s="1"/>
      <c r="WZT106" s="1"/>
      <c r="WZU106" s="1"/>
      <c r="WZV106" s="1"/>
      <c r="WZW106" s="1"/>
      <c r="WZX106" s="1"/>
      <c r="WZY106" s="1"/>
      <c r="WZZ106" s="1"/>
      <c r="XAA106" s="1"/>
      <c r="XAB106" s="1"/>
      <c r="XAC106" s="1"/>
      <c r="XAD106" s="1"/>
      <c r="XAE106" s="1"/>
      <c r="XAF106" s="1"/>
      <c r="XAG106" s="1"/>
      <c r="XAH106" s="1"/>
      <c r="XAI106" s="1"/>
      <c r="XAJ106" s="1"/>
      <c r="XAK106" s="1"/>
      <c r="XAL106" s="1"/>
      <c r="XAM106" s="1"/>
      <c r="XAN106" s="1"/>
      <c r="XAO106" s="1"/>
      <c r="XAP106" s="1"/>
      <c r="XAQ106" s="1"/>
      <c r="XAR106" s="1"/>
      <c r="XAS106" s="1"/>
      <c r="XAT106" s="1"/>
      <c r="XAU106" s="1"/>
      <c r="XAV106" s="1"/>
      <c r="XAW106" s="1"/>
      <c r="XAX106" s="1"/>
      <c r="XAY106" s="1"/>
      <c r="XAZ106" s="1"/>
      <c r="XBA106" s="1"/>
      <c r="XBB106" s="1"/>
      <c r="XBC106" s="1"/>
      <c r="XBD106" s="1"/>
      <c r="XBE106" s="1"/>
      <c r="XBF106" s="1"/>
      <c r="XBG106" s="1"/>
      <c r="XBH106" s="1"/>
      <c r="XBI106" s="1"/>
      <c r="XBJ106" s="1"/>
      <c r="XBK106" s="1"/>
      <c r="XBL106" s="1"/>
      <c r="XBM106" s="1"/>
      <c r="XBN106" s="1"/>
      <c r="XBO106" s="1"/>
      <c r="XBP106" s="1"/>
      <c r="XBQ106" s="1"/>
      <c r="XBR106" s="1"/>
      <c r="XBS106" s="1"/>
      <c r="XBT106" s="1"/>
      <c r="XBU106" s="1"/>
      <c r="XBV106" s="1"/>
      <c r="XBW106" s="1"/>
      <c r="XBX106" s="1"/>
      <c r="XBY106" s="1"/>
      <c r="XBZ106" s="1"/>
      <c r="XCA106" s="1"/>
      <c r="XCB106" s="1"/>
      <c r="XCC106" s="1"/>
      <c r="XCD106" s="1"/>
      <c r="XCE106" s="1"/>
      <c r="XCF106" s="1"/>
      <c r="XCG106" s="1"/>
      <c r="XCH106" s="1"/>
      <c r="XCI106" s="1"/>
      <c r="XCJ106" s="1"/>
      <c r="XCK106" s="1"/>
      <c r="XCL106" s="1"/>
      <c r="XCM106" s="1"/>
      <c r="XCN106" s="1"/>
      <c r="XCO106" s="1"/>
      <c r="XCP106" s="1"/>
      <c r="XCQ106" s="1"/>
      <c r="XCR106" s="1"/>
      <c r="XCS106" s="1"/>
      <c r="XCT106" s="1"/>
      <c r="XCU106" s="1"/>
      <c r="XCV106" s="1"/>
      <c r="XCW106" s="1"/>
      <c r="XCX106" s="1"/>
      <c r="XCY106" s="1"/>
      <c r="XCZ106" s="1"/>
      <c r="XDA106" s="1"/>
      <c r="XDB106" s="1"/>
      <c r="XDC106" s="1"/>
      <c r="XDD106" s="1"/>
      <c r="XDE106" s="1"/>
      <c r="XDF106" s="1"/>
      <c r="XDG106" s="1"/>
      <c r="XDH106" s="1"/>
      <c r="XDI106" s="1"/>
      <c r="XDJ106" s="1"/>
      <c r="XDK106" s="1"/>
      <c r="XDL106" s="1"/>
      <c r="XDM106" s="1"/>
      <c r="XDN106" s="1"/>
      <c r="XDO106" s="1"/>
      <c r="XDP106" s="1"/>
      <c r="XDQ106" s="1"/>
      <c r="XDR106" s="1"/>
      <c r="XDS106" s="1"/>
      <c r="XDT106" s="1"/>
      <c r="XDU106" s="1"/>
      <c r="XDV106" s="1"/>
      <c r="XDW106" s="1"/>
      <c r="XDX106" s="1"/>
      <c r="XDY106" s="1"/>
      <c r="XDZ106" s="1"/>
      <c r="XEA106" s="1"/>
      <c r="XEB106" s="1"/>
      <c r="XEC106" s="1"/>
      <c r="XED106" s="1"/>
      <c r="XEE106" s="1"/>
      <c r="XEF106" s="1"/>
      <c r="XEG106" s="1"/>
      <c r="XEH106" s="1"/>
      <c r="XEI106" s="1"/>
      <c r="XEJ106" s="1"/>
      <c r="XEK106" s="1"/>
      <c r="XEL106" s="1"/>
      <c r="XEM106" s="1"/>
      <c r="XEN106" s="1"/>
      <c r="XEO106" s="1"/>
      <c r="XEP106" s="1"/>
      <c r="XEQ106" s="1"/>
      <c r="XER106" s="1"/>
      <c r="XES106" s="1"/>
      <c r="XET106" s="1"/>
      <c r="XEU106" s="1"/>
      <c r="XEV106" s="1"/>
      <c r="XEW106" s="1"/>
      <c r="XEX106" s="1"/>
      <c r="XEY106" s="1"/>
      <c r="XEZ106" s="1"/>
      <c r="XFA106" s="1"/>
      <c r="XFB106" s="1"/>
      <c r="XFC106" s="1"/>
    </row>
    <row r="107" customHeight="1" spans="1:14">
      <c r="A107" s="25" t="s">
        <v>305</v>
      </c>
      <c r="B107" s="122" t="s">
        <v>542</v>
      </c>
      <c r="C107" s="122" t="s">
        <v>552</v>
      </c>
      <c r="D107" s="122" t="s">
        <v>553</v>
      </c>
      <c r="E107" s="122" t="s">
        <v>554</v>
      </c>
      <c r="F107" s="122" t="s">
        <v>546</v>
      </c>
      <c r="G107" s="122" t="s">
        <v>547</v>
      </c>
      <c r="H107" s="122" t="s">
        <v>548</v>
      </c>
      <c r="I107" s="122" t="s">
        <v>544</v>
      </c>
      <c r="J107" s="122">
        <v>100</v>
      </c>
      <c r="K107" s="122">
        <v>100</v>
      </c>
      <c r="L107" s="122" t="s">
        <v>549</v>
      </c>
      <c r="M107" s="122" t="s">
        <v>550</v>
      </c>
      <c r="N107" s="122" t="s">
        <v>551</v>
      </c>
    </row>
    <row r="108" customHeight="1" spans="1:14">
      <c r="A108" s="25" t="s">
        <v>307</v>
      </c>
      <c r="B108" s="122" t="s">
        <v>542</v>
      </c>
      <c r="C108" s="122" t="s">
        <v>543</v>
      </c>
      <c r="D108" s="122" t="s">
        <v>544</v>
      </c>
      <c r="E108" s="122" t="s">
        <v>568</v>
      </c>
      <c r="F108" s="122" t="s">
        <v>531</v>
      </c>
      <c r="G108" s="122" t="s">
        <v>547</v>
      </c>
      <c r="H108" s="122" t="s">
        <v>548</v>
      </c>
      <c r="I108" s="122" t="s">
        <v>544</v>
      </c>
      <c r="J108" s="122">
        <v>100</v>
      </c>
      <c r="K108" s="122">
        <v>100</v>
      </c>
      <c r="L108" s="122" t="s">
        <v>549</v>
      </c>
      <c r="M108" s="122" t="s">
        <v>550</v>
      </c>
      <c r="N108" s="122" t="s">
        <v>551</v>
      </c>
    </row>
    <row r="109" customHeight="1" spans="1:14">
      <c r="A109" s="25" t="s">
        <v>311</v>
      </c>
      <c r="B109" s="122" t="s">
        <v>542</v>
      </c>
      <c r="C109" s="122" t="s">
        <v>543</v>
      </c>
      <c r="D109" s="122" t="s">
        <v>544</v>
      </c>
      <c r="E109" s="122" t="s">
        <v>568</v>
      </c>
      <c r="F109" s="122" t="s">
        <v>546</v>
      </c>
      <c r="G109" s="122" t="s">
        <v>547</v>
      </c>
      <c r="H109" s="122" t="s">
        <v>548</v>
      </c>
      <c r="I109" s="122" t="s">
        <v>544</v>
      </c>
      <c r="J109" s="122">
        <v>100</v>
      </c>
      <c r="K109" s="122">
        <v>100</v>
      </c>
      <c r="L109" s="122" t="s">
        <v>549</v>
      </c>
      <c r="M109" s="122" t="s">
        <v>550</v>
      </c>
      <c r="N109" s="122" t="s">
        <v>551</v>
      </c>
    </row>
    <row r="110" s="3" customFormat="1" customHeight="1" spans="1:16384">
      <c r="A110" s="25" t="s">
        <v>312</v>
      </c>
      <c r="B110" s="122" t="s">
        <v>542</v>
      </c>
      <c r="C110" s="122" t="s">
        <v>543</v>
      </c>
      <c r="D110" s="122" t="s">
        <v>544</v>
      </c>
      <c r="E110" s="122" t="s">
        <v>568</v>
      </c>
      <c r="F110" s="122" t="s">
        <v>531</v>
      </c>
      <c r="G110" s="122" t="s">
        <v>547</v>
      </c>
      <c r="H110" s="122" t="s">
        <v>548</v>
      </c>
      <c r="I110" s="122" t="s">
        <v>544</v>
      </c>
      <c r="J110" s="122">
        <v>100</v>
      </c>
      <c r="K110" s="122">
        <v>100</v>
      </c>
      <c r="L110" s="122" t="s">
        <v>549</v>
      </c>
      <c r="M110" s="122" t="s">
        <v>550</v>
      </c>
      <c r="N110" s="122" t="s">
        <v>551</v>
      </c>
      <c r="XFD110"/>
    </row>
    <row r="111" s="3" customFormat="1" customHeight="1" spans="1:16384">
      <c r="A111" s="25" t="s">
        <v>314</v>
      </c>
      <c r="B111" s="122" t="s">
        <v>542</v>
      </c>
      <c r="C111" s="122" t="s">
        <v>552</v>
      </c>
      <c r="D111" s="122" t="s">
        <v>553</v>
      </c>
      <c r="E111" s="122" t="s">
        <v>554</v>
      </c>
      <c r="F111" s="122" t="s">
        <v>531</v>
      </c>
      <c r="G111" s="122" t="s">
        <v>547</v>
      </c>
      <c r="H111" s="122" t="s">
        <v>548</v>
      </c>
      <c r="I111" s="122" t="s">
        <v>553</v>
      </c>
      <c r="J111" s="122">
        <v>100</v>
      </c>
      <c r="K111" s="122">
        <v>105</v>
      </c>
      <c r="L111" s="122" t="s">
        <v>549</v>
      </c>
      <c r="M111" s="122" t="s">
        <v>550</v>
      </c>
      <c r="N111" s="122" t="s">
        <v>551</v>
      </c>
      <c r="XFD111"/>
    </row>
    <row r="112" s="3" customFormat="1" customHeight="1" spans="1:16384">
      <c r="A112" s="25" t="s">
        <v>315</v>
      </c>
      <c r="B112" s="122" t="s">
        <v>542</v>
      </c>
      <c r="C112" s="122" t="s">
        <v>552</v>
      </c>
      <c r="D112" s="122" t="s">
        <v>553</v>
      </c>
      <c r="E112" s="122" t="s">
        <v>554</v>
      </c>
      <c r="F112" s="122" t="s">
        <v>531</v>
      </c>
      <c r="G112" s="122" t="s">
        <v>547</v>
      </c>
      <c r="H112" s="122" t="s">
        <v>548</v>
      </c>
      <c r="I112" s="122" t="s">
        <v>553</v>
      </c>
      <c r="J112" s="122">
        <v>100</v>
      </c>
      <c r="K112" s="122">
        <v>105</v>
      </c>
      <c r="L112" s="122" t="s">
        <v>549</v>
      </c>
      <c r="M112" s="122" t="s">
        <v>550</v>
      </c>
      <c r="N112" s="122" t="s">
        <v>551</v>
      </c>
      <c r="XFD112"/>
    </row>
    <row r="113" s="3" customFormat="1" customHeight="1" spans="1:16384">
      <c r="A113" s="25" t="s">
        <v>316</v>
      </c>
      <c r="B113" s="122" t="s">
        <v>542</v>
      </c>
      <c r="C113" s="122" t="s">
        <v>543</v>
      </c>
      <c r="D113" s="122" t="s">
        <v>544</v>
      </c>
      <c r="E113" s="122" t="s">
        <v>568</v>
      </c>
      <c r="F113" s="122" t="s">
        <v>531</v>
      </c>
      <c r="G113" s="122" t="s">
        <v>547</v>
      </c>
      <c r="H113" s="122" t="s">
        <v>548</v>
      </c>
      <c r="I113" s="122" t="s">
        <v>544</v>
      </c>
      <c r="J113" s="122">
        <v>100</v>
      </c>
      <c r="K113" s="122">
        <v>110</v>
      </c>
      <c r="L113" s="122" t="s">
        <v>549</v>
      </c>
      <c r="M113" s="122" t="s">
        <v>550</v>
      </c>
      <c r="N113" s="122" t="s">
        <v>551</v>
      </c>
      <c r="XFD113"/>
    </row>
    <row r="114" s="3" customFormat="1" customHeight="1" spans="1:16384">
      <c r="A114" s="25" t="s">
        <v>318</v>
      </c>
      <c r="B114" s="122" t="s">
        <v>542</v>
      </c>
      <c r="C114" s="122" t="s">
        <v>556</v>
      </c>
      <c r="D114" s="122" t="s">
        <v>557</v>
      </c>
      <c r="E114" s="122" t="s">
        <v>558</v>
      </c>
      <c r="F114" s="122" t="s">
        <v>531</v>
      </c>
      <c r="G114" s="122" t="s">
        <v>547</v>
      </c>
      <c r="H114" s="122" t="s">
        <v>561</v>
      </c>
      <c r="I114" s="122" t="s">
        <v>557</v>
      </c>
      <c r="J114" s="122">
        <v>128</v>
      </c>
      <c r="K114" s="122">
        <v>128</v>
      </c>
      <c r="L114" s="122" t="s">
        <v>562</v>
      </c>
      <c r="M114" s="122" t="s">
        <v>550</v>
      </c>
      <c r="N114" s="122" t="s">
        <v>551</v>
      </c>
      <c r="XFD114"/>
    </row>
    <row r="115" s="3" customFormat="1" customHeight="1" spans="1:16384">
      <c r="A115" s="25" t="s">
        <v>319</v>
      </c>
      <c r="B115" s="122" t="s">
        <v>542</v>
      </c>
      <c r="C115" s="122" t="s">
        <v>552</v>
      </c>
      <c r="D115" s="122" t="s">
        <v>553</v>
      </c>
      <c r="E115" s="122" t="s">
        <v>554</v>
      </c>
      <c r="F115" s="122" t="s">
        <v>531</v>
      </c>
      <c r="G115" s="122" t="s">
        <v>547</v>
      </c>
      <c r="H115" s="122" t="s">
        <v>548</v>
      </c>
      <c r="I115" s="122" t="s">
        <v>553</v>
      </c>
      <c r="J115" s="122">
        <v>100</v>
      </c>
      <c r="K115" s="122">
        <v>105</v>
      </c>
      <c r="L115" s="122" t="s">
        <v>549</v>
      </c>
      <c r="M115" s="122" t="s">
        <v>550</v>
      </c>
      <c r="N115" s="122" t="s">
        <v>551</v>
      </c>
      <c r="XFD115"/>
    </row>
    <row r="116" s="3" customFormat="1" customHeight="1" spans="1:16384">
      <c r="A116" s="25" t="s">
        <v>321</v>
      </c>
      <c r="B116" s="122" t="s">
        <v>542</v>
      </c>
      <c r="C116" s="122" t="s">
        <v>543</v>
      </c>
      <c r="D116" s="122" t="s">
        <v>544</v>
      </c>
      <c r="E116" s="122" t="s">
        <v>568</v>
      </c>
      <c r="F116" s="122" t="s">
        <v>546</v>
      </c>
      <c r="G116" s="122" t="s">
        <v>547</v>
      </c>
      <c r="H116" s="122" t="s">
        <v>548</v>
      </c>
      <c r="I116" s="122" t="s">
        <v>544</v>
      </c>
      <c r="J116" s="122">
        <v>100</v>
      </c>
      <c r="K116" s="122">
        <v>110</v>
      </c>
      <c r="L116" s="122" t="s">
        <v>549</v>
      </c>
      <c r="M116" s="122" t="s">
        <v>550</v>
      </c>
      <c r="N116" s="122" t="s">
        <v>551</v>
      </c>
      <c r="XFD116"/>
    </row>
    <row r="117" s="3" customFormat="1" customHeight="1" spans="1:16384">
      <c r="A117" s="25" t="s">
        <v>322</v>
      </c>
      <c r="B117" s="122" t="s">
        <v>542</v>
      </c>
      <c r="C117" s="122" t="s">
        <v>552</v>
      </c>
      <c r="D117" s="122" t="s">
        <v>553</v>
      </c>
      <c r="E117" s="122" t="s">
        <v>554</v>
      </c>
      <c r="F117" s="122" t="s">
        <v>531</v>
      </c>
      <c r="G117" s="122" t="s">
        <v>547</v>
      </c>
      <c r="H117" s="122" t="s">
        <v>548</v>
      </c>
      <c r="I117" s="122" t="s">
        <v>553</v>
      </c>
      <c r="J117" s="122">
        <v>96</v>
      </c>
      <c r="K117" s="122">
        <v>106</v>
      </c>
      <c r="L117" s="122" t="s">
        <v>549</v>
      </c>
      <c r="M117" s="122" t="s">
        <v>550</v>
      </c>
      <c r="N117" s="122" t="s">
        <v>551</v>
      </c>
      <c r="XFD117"/>
    </row>
    <row r="119" s="3" customFormat="1" customHeight="1" spans="1:16384">
      <c r="A119" s="25" t="s">
        <v>323</v>
      </c>
      <c r="B119" s="122" t="s">
        <v>542</v>
      </c>
      <c r="C119" s="122" t="s">
        <v>556</v>
      </c>
      <c r="D119" s="122" t="s">
        <v>557</v>
      </c>
      <c r="E119" s="122" t="s">
        <v>558</v>
      </c>
      <c r="F119" s="122" t="s">
        <v>531</v>
      </c>
      <c r="G119" s="122" t="s">
        <v>547</v>
      </c>
      <c r="H119" s="122" t="s">
        <v>548</v>
      </c>
      <c r="I119" s="122" t="s">
        <v>544</v>
      </c>
      <c r="J119" s="122">
        <v>100</v>
      </c>
      <c r="K119" s="122">
        <v>110</v>
      </c>
      <c r="L119" s="122" t="s">
        <v>549</v>
      </c>
      <c r="M119" s="122" t="s">
        <v>550</v>
      </c>
      <c r="N119" s="122" t="s">
        <v>551</v>
      </c>
      <c r="XFD119"/>
    </row>
    <row r="120" s="3" customFormat="1" customHeight="1" spans="1:16384">
      <c r="A120" s="25" t="s">
        <v>324</v>
      </c>
      <c r="B120" s="122" t="s">
        <v>542</v>
      </c>
      <c r="C120" s="122" t="s">
        <v>552</v>
      </c>
      <c r="D120" s="122" t="s">
        <v>553</v>
      </c>
      <c r="E120" s="122" t="s">
        <v>554</v>
      </c>
      <c r="F120" s="122" t="s">
        <v>531</v>
      </c>
      <c r="G120" s="122" t="s">
        <v>547</v>
      </c>
      <c r="H120" s="122" t="s">
        <v>548</v>
      </c>
      <c r="I120" s="122" t="s">
        <v>544</v>
      </c>
      <c r="J120" s="122">
        <v>100</v>
      </c>
      <c r="K120" s="122">
        <v>110</v>
      </c>
      <c r="L120" s="122" t="s">
        <v>549</v>
      </c>
      <c r="M120" s="122" t="s">
        <v>550</v>
      </c>
      <c r="N120" s="122" t="s">
        <v>551</v>
      </c>
      <c r="XFD120"/>
    </row>
    <row r="121" s="3" customFormat="1" customHeight="1" spans="1:16384">
      <c r="A121" s="25" t="s">
        <v>325</v>
      </c>
      <c r="B121" s="122" t="s">
        <v>542</v>
      </c>
      <c r="C121" s="122" t="s">
        <v>556</v>
      </c>
      <c r="D121" s="122" t="s">
        <v>557</v>
      </c>
      <c r="E121" s="122" t="s">
        <v>558</v>
      </c>
      <c r="F121" s="122" t="s">
        <v>531</v>
      </c>
      <c r="G121" s="122" t="s">
        <v>547</v>
      </c>
      <c r="H121" s="122" t="s">
        <v>548</v>
      </c>
      <c r="I121" s="122" t="s">
        <v>544</v>
      </c>
      <c r="J121" s="122">
        <v>100</v>
      </c>
      <c r="K121" s="122">
        <v>100</v>
      </c>
      <c r="L121" s="122" t="s">
        <v>549</v>
      </c>
      <c r="M121" s="122" t="s">
        <v>550</v>
      </c>
      <c r="N121" s="122" t="s">
        <v>551</v>
      </c>
      <c r="XFD121"/>
    </row>
    <row r="122" s="3" customFormat="1" customHeight="1" spans="1:16384">
      <c r="A122" s="25" t="s">
        <v>326</v>
      </c>
      <c r="B122" s="122" t="s">
        <v>542</v>
      </c>
      <c r="C122" s="122" t="s">
        <v>543</v>
      </c>
      <c r="D122" s="122" t="s">
        <v>544</v>
      </c>
      <c r="E122" s="122" t="s">
        <v>568</v>
      </c>
      <c r="F122" s="122" t="s">
        <v>531</v>
      </c>
      <c r="G122" s="122" t="s">
        <v>547</v>
      </c>
      <c r="H122" s="122" t="s">
        <v>548</v>
      </c>
      <c r="I122" s="122" t="s">
        <v>553</v>
      </c>
      <c r="J122" s="122">
        <v>98</v>
      </c>
      <c r="K122" s="122">
        <v>110</v>
      </c>
      <c r="L122" s="122" t="s">
        <v>549</v>
      </c>
      <c r="M122" s="122" t="s">
        <v>550</v>
      </c>
      <c r="N122" s="122" t="s">
        <v>551</v>
      </c>
      <c r="XFD122"/>
    </row>
    <row r="123" s="3" customFormat="1" customHeight="1" spans="1:16384">
      <c r="A123" s="25" t="s">
        <v>327</v>
      </c>
      <c r="B123" s="122" t="s">
        <v>542</v>
      </c>
      <c r="C123" s="122" t="s">
        <v>556</v>
      </c>
      <c r="D123" s="122" t="s">
        <v>557</v>
      </c>
      <c r="E123" s="122" t="s">
        <v>558</v>
      </c>
      <c r="F123" s="122" t="s">
        <v>531</v>
      </c>
      <c r="G123" s="122" t="s">
        <v>547</v>
      </c>
      <c r="H123" s="122" t="s">
        <v>548</v>
      </c>
      <c r="I123" s="122" t="s">
        <v>544</v>
      </c>
      <c r="J123" s="122">
        <v>100</v>
      </c>
      <c r="K123" s="122">
        <v>110</v>
      </c>
      <c r="L123" s="122" t="s">
        <v>549</v>
      </c>
      <c r="M123" s="122" t="s">
        <v>550</v>
      </c>
      <c r="N123" s="122" t="s">
        <v>551</v>
      </c>
      <c r="XFD123"/>
    </row>
    <row r="124" s="3" customFormat="1" customHeight="1" spans="1:16384">
      <c r="A124" s="25" t="s">
        <v>328</v>
      </c>
      <c r="B124" s="122" t="s">
        <v>542</v>
      </c>
      <c r="C124" s="122" t="s">
        <v>552</v>
      </c>
      <c r="D124" s="122" t="s">
        <v>553</v>
      </c>
      <c r="E124" s="122" t="s">
        <v>554</v>
      </c>
      <c r="F124" s="122" t="s">
        <v>531</v>
      </c>
      <c r="G124" s="122" t="s">
        <v>547</v>
      </c>
      <c r="H124" s="122" t="s">
        <v>548</v>
      </c>
      <c r="I124" s="122" t="s">
        <v>544</v>
      </c>
      <c r="J124" s="122">
        <v>100</v>
      </c>
      <c r="K124" s="122">
        <v>110</v>
      </c>
      <c r="L124" s="122" t="s">
        <v>549</v>
      </c>
      <c r="M124" s="122" t="s">
        <v>550</v>
      </c>
      <c r="N124" s="122" t="s">
        <v>551</v>
      </c>
      <c r="XFD124"/>
    </row>
    <row r="125" s="3" customFormat="1" customHeight="1" spans="1:16384">
      <c r="A125" s="25" t="s">
        <v>329</v>
      </c>
      <c r="B125" s="122" t="s">
        <v>542</v>
      </c>
      <c r="C125" s="122" t="s">
        <v>552</v>
      </c>
      <c r="D125" s="122" t="s">
        <v>553</v>
      </c>
      <c r="E125" s="122" t="s">
        <v>554</v>
      </c>
      <c r="F125" s="122" t="s">
        <v>531</v>
      </c>
      <c r="G125" s="122" t="s">
        <v>547</v>
      </c>
      <c r="H125" s="122" t="s">
        <v>548</v>
      </c>
      <c r="I125" s="122" t="s">
        <v>544</v>
      </c>
      <c r="J125" s="122">
        <v>100</v>
      </c>
      <c r="K125" s="122">
        <v>100</v>
      </c>
      <c r="L125" s="122" t="s">
        <v>549</v>
      </c>
      <c r="M125" s="122" t="s">
        <v>550</v>
      </c>
      <c r="N125" s="122" t="s">
        <v>551</v>
      </c>
      <c r="XFD125"/>
    </row>
    <row r="126" s="3" customFormat="1" customHeight="1" spans="1:16384">
      <c r="A126" s="25" t="s">
        <v>330</v>
      </c>
      <c r="B126" s="122" t="s">
        <v>542</v>
      </c>
      <c r="C126" s="122" t="s">
        <v>552</v>
      </c>
      <c r="D126" s="122" t="s">
        <v>553</v>
      </c>
      <c r="E126" s="122" t="s">
        <v>554</v>
      </c>
      <c r="F126" s="122" t="s">
        <v>531</v>
      </c>
      <c r="G126" s="122" t="s">
        <v>547</v>
      </c>
      <c r="H126" s="122" t="s">
        <v>548</v>
      </c>
      <c r="I126" s="122" t="s">
        <v>544</v>
      </c>
      <c r="J126" s="122">
        <v>100</v>
      </c>
      <c r="K126" s="122">
        <v>110</v>
      </c>
      <c r="L126" s="122" t="s">
        <v>549</v>
      </c>
      <c r="M126" s="122" t="s">
        <v>550</v>
      </c>
      <c r="N126" s="122" t="s">
        <v>551</v>
      </c>
      <c r="XFD126"/>
    </row>
    <row r="127" s="3" customFormat="1" customHeight="1" spans="1:16384">
      <c r="A127" s="25" t="s">
        <v>332</v>
      </c>
      <c r="B127" s="122" t="s">
        <v>542</v>
      </c>
      <c r="C127" s="122" t="s">
        <v>552</v>
      </c>
      <c r="D127" s="122" t="s">
        <v>553</v>
      </c>
      <c r="E127" s="122" t="s">
        <v>554</v>
      </c>
      <c r="F127" s="122" t="s">
        <v>531</v>
      </c>
      <c r="G127" s="122" t="s">
        <v>547</v>
      </c>
      <c r="H127" s="122" t="s">
        <v>548</v>
      </c>
      <c r="I127" s="122" t="s">
        <v>560</v>
      </c>
      <c r="J127" s="122">
        <v>77</v>
      </c>
      <c r="K127" s="122">
        <v>89</v>
      </c>
      <c r="L127" s="122" t="s">
        <v>549</v>
      </c>
      <c r="M127" s="122" t="s">
        <v>550</v>
      </c>
      <c r="N127" s="122" t="s">
        <v>551</v>
      </c>
      <c r="XFD127"/>
    </row>
    <row r="128" s="3" customFormat="1" customHeight="1" spans="1:16384">
      <c r="A128" s="25" t="s">
        <v>333</v>
      </c>
      <c r="B128" s="122" t="s">
        <v>542</v>
      </c>
      <c r="C128" s="122" t="s">
        <v>552</v>
      </c>
      <c r="D128" s="122" t="s">
        <v>553</v>
      </c>
      <c r="E128" s="122" t="s">
        <v>554</v>
      </c>
      <c r="F128" s="122" t="s">
        <v>531</v>
      </c>
      <c r="G128" s="122" t="s">
        <v>547</v>
      </c>
      <c r="H128" s="122" t="s">
        <v>548</v>
      </c>
      <c r="I128" s="122" t="s">
        <v>560</v>
      </c>
      <c r="J128" s="122">
        <v>76</v>
      </c>
      <c r="K128" s="122">
        <v>91</v>
      </c>
      <c r="L128" s="122" t="s">
        <v>549</v>
      </c>
      <c r="M128" s="122" t="s">
        <v>550</v>
      </c>
      <c r="N128" s="122" t="s">
        <v>551</v>
      </c>
      <c r="XFD128"/>
    </row>
    <row r="129" s="3" customFormat="1" customHeight="1" spans="1:16384">
      <c r="A129" s="25" t="s">
        <v>334</v>
      </c>
      <c r="B129" s="122" t="s">
        <v>542</v>
      </c>
      <c r="C129" s="122" t="s">
        <v>552</v>
      </c>
      <c r="D129" s="122" t="s">
        <v>553</v>
      </c>
      <c r="E129" s="122" t="s">
        <v>554</v>
      </c>
      <c r="F129" s="122" t="s">
        <v>531</v>
      </c>
      <c r="G129" s="122" t="s">
        <v>547</v>
      </c>
      <c r="H129" s="122" t="s">
        <v>548</v>
      </c>
      <c r="I129" s="122" t="s">
        <v>560</v>
      </c>
      <c r="J129" s="122">
        <v>75</v>
      </c>
      <c r="K129" s="122">
        <v>91</v>
      </c>
      <c r="L129" s="122" t="s">
        <v>549</v>
      </c>
      <c r="M129" s="122" t="s">
        <v>550</v>
      </c>
      <c r="N129" s="122" t="s">
        <v>551</v>
      </c>
      <c r="XFD129"/>
    </row>
    <row r="130" s="3" customFormat="1" customHeight="1" spans="1:16384">
      <c r="A130" s="25" t="s">
        <v>336</v>
      </c>
      <c r="B130" s="122" t="s">
        <v>542</v>
      </c>
      <c r="C130" s="122" t="s">
        <v>556</v>
      </c>
      <c r="D130" s="122" t="s">
        <v>557</v>
      </c>
      <c r="E130" s="122" t="s">
        <v>558</v>
      </c>
      <c r="F130" s="122" t="s">
        <v>531</v>
      </c>
      <c r="G130" s="122" t="s">
        <v>547</v>
      </c>
      <c r="H130" s="122" t="s">
        <v>548</v>
      </c>
      <c r="I130" s="122" t="s">
        <v>544</v>
      </c>
      <c r="J130" s="122">
        <v>110</v>
      </c>
      <c r="K130" s="122">
        <v>110</v>
      </c>
      <c r="L130" s="122" t="s">
        <v>549</v>
      </c>
      <c r="M130" s="122" t="s">
        <v>550</v>
      </c>
      <c r="N130" s="122" t="s">
        <v>551</v>
      </c>
      <c r="XFD130"/>
    </row>
    <row r="131" s="3" customFormat="1" customHeight="1" spans="1:16384">
      <c r="A131" s="25" t="s">
        <v>337</v>
      </c>
      <c r="B131" s="122" t="s">
        <v>542</v>
      </c>
      <c r="C131" s="122" t="s">
        <v>556</v>
      </c>
      <c r="D131" s="122" t="s">
        <v>557</v>
      </c>
      <c r="E131" s="122" t="s">
        <v>558</v>
      </c>
      <c r="F131" s="122" t="s">
        <v>531</v>
      </c>
      <c r="G131" s="122" t="s">
        <v>547</v>
      </c>
      <c r="H131" s="122" t="s">
        <v>548</v>
      </c>
      <c r="I131" s="122" t="s">
        <v>544</v>
      </c>
      <c r="J131" s="122">
        <v>100</v>
      </c>
      <c r="K131" s="122">
        <v>100</v>
      </c>
      <c r="L131" s="122" t="s">
        <v>549</v>
      </c>
      <c r="M131" s="122" t="s">
        <v>550</v>
      </c>
      <c r="N131" s="122" t="s">
        <v>551</v>
      </c>
      <c r="XFD131"/>
    </row>
    <row r="132" s="3" customFormat="1" customHeight="1" spans="1:16384">
      <c r="A132" s="25" t="s">
        <v>338</v>
      </c>
      <c r="B132" s="122" t="s">
        <v>542</v>
      </c>
      <c r="C132" s="122" t="s">
        <v>556</v>
      </c>
      <c r="D132" s="122" t="s">
        <v>557</v>
      </c>
      <c r="E132" s="122" t="s">
        <v>558</v>
      </c>
      <c r="F132" s="122" t="s">
        <v>531</v>
      </c>
      <c r="G132" s="122" t="s">
        <v>547</v>
      </c>
      <c r="H132" s="122" t="s">
        <v>548</v>
      </c>
      <c r="I132" s="122" t="s">
        <v>544</v>
      </c>
      <c r="J132" s="122">
        <v>100</v>
      </c>
      <c r="K132" s="122">
        <v>100</v>
      </c>
      <c r="L132" s="122" t="s">
        <v>549</v>
      </c>
      <c r="M132" s="122" t="s">
        <v>550</v>
      </c>
      <c r="N132" s="122" t="s">
        <v>551</v>
      </c>
      <c r="XFD132"/>
    </row>
    <row r="133" s="3" customFormat="1" customHeight="1" spans="1:16384">
      <c r="A133" s="25" t="s">
        <v>339</v>
      </c>
      <c r="B133" s="122" t="s">
        <v>542</v>
      </c>
      <c r="C133" s="122" t="s">
        <v>556</v>
      </c>
      <c r="D133" s="122" t="s">
        <v>557</v>
      </c>
      <c r="E133" s="122" t="s">
        <v>558</v>
      </c>
      <c r="F133" s="122" t="s">
        <v>531</v>
      </c>
      <c r="G133" s="122" t="s">
        <v>547</v>
      </c>
      <c r="H133" s="122" t="s">
        <v>548</v>
      </c>
      <c r="I133" s="122" t="s">
        <v>544</v>
      </c>
      <c r="J133" s="122">
        <v>100</v>
      </c>
      <c r="K133" s="122">
        <v>100</v>
      </c>
      <c r="L133" s="122" t="s">
        <v>549</v>
      </c>
      <c r="M133" s="122" t="s">
        <v>550</v>
      </c>
      <c r="N133" s="122" t="s">
        <v>551</v>
      </c>
      <c r="XFD133"/>
    </row>
    <row r="134" s="3" customFormat="1" customHeight="1" spans="1:16384">
      <c r="A134" s="25" t="s">
        <v>341</v>
      </c>
      <c r="B134" s="122" t="s">
        <v>542</v>
      </c>
      <c r="C134" s="122" t="s">
        <v>552</v>
      </c>
      <c r="D134" s="122" t="s">
        <v>553</v>
      </c>
      <c r="E134" s="122" t="s">
        <v>554</v>
      </c>
      <c r="F134" s="122" t="s">
        <v>559</v>
      </c>
      <c r="G134" s="122" t="s">
        <v>547</v>
      </c>
      <c r="H134" s="122" t="s">
        <v>548</v>
      </c>
      <c r="I134" s="122" t="s">
        <v>560</v>
      </c>
      <c r="J134" s="122">
        <v>78</v>
      </c>
      <c r="K134" s="122">
        <v>87</v>
      </c>
      <c r="L134" s="122" t="s">
        <v>549</v>
      </c>
      <c r="M134" s="122" t="s">
        <v>550</v>
      </c>
      <c r="N134" s="122" t="s">
        <v>551</v>
      </c>
      <c r="XFD134"/>
    </row>
    <row r="135" s="3" customFormat="1" customHeight="1" spans="1:16384">
      <c r="A135" s="25" t="s">
        <v>343</v>
      </c>
      <c r="B135" s="122" t="s">
        <v>542</v>
      </c>
      <c r="C135" s="122" t="s">
        <v>552</v>
      </c>
      <c r="D135" s="122" t="s">
        <v>553</v>
      </c>
      <c r="E135" s="122" t="s">
        <v>554</v>
      </c>
      <c r="F135" s="122" t="s">
        <v>559</v>
      </c>
      <c r="G135" s="122" t="s">
        <v>547</v>
      </c>
      <c r="H135" s="122" t="s">
        <v>548</v>
      </c>
      <c r="I135" s="122" t="s">
        <v>560</v>
      </c>
      <c r="J135" s="122">
        <v>78</v>
      </c>
      <c r="K135" s="122">
        <v>87</v>
      </c>
      <c r="L135" s="122" t="s">
        <v>549</v>
      </c>
      <c r="M135" s="122" t="s">
        <v>550</v>
      </c>
      <c r="N135" s="122" t="s">
        <v>551</v>
      </c>
      <c r="XFD135"/>
    </row>
    <row r="136" s="3" customFormat="1" customHeight="1" spans="1:16384">
      <c r="A136" s="25" t="s">
        <v>345</v>
      </c>
      <c r="B136" s="122" t="s">
        <v>542</v>
      </c>
      <c r="C136" s="122" t="s">
        <v>552</v>
      </c>
      <c r="D136" s="122" t="s">
        <v>553</v>
      </c>
      <c r="E136" s="122" t="s">
        <v>554</v>
      </c>
      <c r="F136" s="122" t="s">
        <v>531</v>
      </c>
      <c r="G136" s="122" t="s">
        <v>547</v>
      </c>
      <c r="H136" s="122" t="s">
        <v>548</v>
      </c>
      <c r="I136" s="122" t="s">
        <v>560</v>
      </c>
      <c r="J136" s="122">
        <v>78</v>
      </c>
      <c r="K136" s="122">
        <v>87</v>
      </c>
      <c r="L136" s="122" t="s">
        <v>549</v>
      </c>
      <c r="M136" s="122" t="s">
        <v>550</v>
      </c>
      <c r="N136" s="122" t="s">
        <v>551</v>
      </c>
      <c r="XFD136"/>
    </row>
    <row r="137" s="1" customFormat="1" customHeight="1"/>
    <row r="138" s="3" customFormat="1" customHeight="1" spans="1:14">
      <c r="A138" s="25" t="s">
        <v>347</v>
      </c>
      <c r="B138" s="122" t="s">
        <v>542</v>
      </c>
      <c r="C138" s="122" t="s">
        <v>552</v>
      </c>
      <c r="D138" s="122" t="s">
        <v>553</v>
      </c>
      <c r="E138" s="122" t="s">
        <v>554</v>
      </c>
      <c r="F138" s="122" t="s">
        <v>559</v>
      </c>
      <c r="G138" s="122" t="s">
        <v>547</v>
      </c>
      <c r="H138" s="122" t="s">
        <v>548</v>
      </c>
      <c r="I138" s="122" t="s">
        <v>560</v>
      </c>
      <c r="J138" s="122">
        <v>89</v>
      </c>
      <c r="K138" s="122">
        <v>78</v>
      </c>
      <c r="L138" s="122" t="s">
        <v>549</v>
      </c>
      <c r="M138" s="122" t="s">
        <v>550</v>
      </c>
      <c r="N138" s="122" t="s">
        <v>551</v>
      </c>
    </row>
    <row r="139" s="3" customFormat="1" customHeight="1" spans="1:14">
      <c r="A139" s="25" t="s">
        <v>351</v>
      </c>
      <c r="B139" s="122" t="s">
        <v>542</v>
      </c>
      <c r="C139" s="122" t="s">
        <v>552</v>
      </c>
      <c r="D139" s="122" t="s">
        <v>553</v>
      </c>
      <c r="E139" s="122" t="s">
        <v>554</v>
      </c>
      <c r="F139" s="122" t="s">
        <v>559</v>
      </c>
      <c r="G139" s="122" t="s">
        <v>547</v>
      </c>
      <c r="H139" s="122" t="s">
        <v>548</v>
      </c>
      <c r="I139" s="122" t="s">
        <v>560</v>
      </c>
      <c r="J139" s="122">
        <v>78</v>
      </c>
      <c r="K139" s="122">
        <v>89</v>
      </c>
      <c r="L139" s="122" t="s">
        <v>549</v>
      </c>
      <c r="M139" s="122" t="s">
        <v>550</v>
      </c>
      <c r="N139" s="122" t="s">
        <v>551</v>
      </c>
    </row>
    <row r="140" s="3" customFormat="1" customHeight="1" spans="1:14">
      <c r="A140" s="25" t="s">
        <v>352</v>
      </c>
      <c r="B140" s="122" t="s">
        <v>542</v>
      </c>
      <c r="C140" s="122" t="s">
        <v>552</v>
      </c>
      <c r="D140" s="122" t="s">
        <v>553</v>
      </c>
      <c r="E140" s="122" t="s">
        <v>554</v>
      </c>
      <c r="F140" s="122" t="s">
        <v>531</v>
      </c>
      <c r="G140" s="122" t="s">
        <v>547</v>
      </c>
      <c r="H140" s="122" t="s">
        <v>548</v>
      </c>
      <c r="I140" s="122" t="s">
        <v>544</v>
      </c>
      <c r="J140" s="122">
        <v>100</v>
      </c>
      <c r="K140" s="122">
        <v>100</v>
      </c>
      <c r="L140" s="122" t="s">
        <v>549</v>
      </c>
      <c r="M140" s="122" t="s">
        <v>550</v>
      </c>
      <c r="N140" s="122" t="s">
        <v>551</v>
      </c>
    </row>
    <row r="141" s="3" customFormat="1" customHeight="1" spans="1:14">
      <c r="A141" s="25" t="s">
        <v>354</v>
      </c>
      <c r="B141" s="122" t="s">
        <v>542</v>
      </c>
      <c r="C141" s="122" t="s">
        <v>552</v>
      </c>
      <c r="D141" s="122" t="s">
        <v>553</v>
      </c>
      <c r="E141" s="122" t="s">
        <v>554</v>
      </c>
      <c r="F141" s="122" t="s">
        <v>531</v>
      </c>
      <c r="G141" s="122" t="s">
        <v>547</v>
      </c>
      <c r="H141" s="122" t="s">
        <v>548</v>
      </c>
      <c r="I141" s="122" t="s">
        <v>544</v>
      </c>
      <c r="J141" s="122">
        <v>100</v>
      </c>
      <c r="K141" s="122">
        <v>100</v>
      </c>
      <c r="L141" s="122" t="s">
        <v>549</v>
      </c>
      <c r="M141" s="122" t="s">
        <v>550</v>
      </c>
      <c r="N141" s="122" t="s">
        <v>551</v>
      </c>
    </row>
    <row r="142" s="3" customFormat="1" customHeight="1" spans="1:14">
      <c r="A142" s="25" t="s">
        <v>357</v>
      </c>
      <c r="B142" s="122" t="s">
        <v>542</v>
      </c>
      <c r="C142" s="122" t="s">
        <v>552</v>
      </c>
      <c r="D142" s="122" t="s">
        <v>553</v>
      </c>
      <c r="E142" s="122" t="s">
        <v>554</v>
      </c>
      <c r="F142" s="122" t="s">
        <v>546</v>
      </c>
      <c r="G142" s="122" t="s">
        <v>547</v>
      </c>
      <c r="H142" s="122" t="s">
        <v>548</v>
      </c>
      <c r="I142" s="122" t="s">
        <v>544</v>
      </c>
      <c r="J142" s="122">
        <v>110</v>
      </c>
      <c r="K142" s="122">
        <v>110</v>
      </c>
      <c r="L142" s="122" t="s">
        <v>549</v>
      </c>
      <c r="M142" s="122" t="s">
        <v>550</v>
      </c>
      <c r="N142" s="122" t="s">
        <v>551</v>
      </c>
    </row>
    <row r="143" s="3" customFormat="1" customHeight="1" spans="1:14">
      <c r="A143" s="25" t="s">
        <v>361</v>
      </c>
      <c r="B143" s="122" t="s">
        <v>542</v>
      </c>
      <c r="C143" s="122" t="s">
        <v>556</v>
      </c>
      <c r="D143" s="122" t="s">
        <v>557</v>
      </c>
      <c r="E143" s="122" t="s">
        <v>558</v>
      </c>
      <c r="F143" s="122" t="s">
        <v>546</v>
      </c>
      <c r="G143" s="122" t="s">
        <v>547</v>
      </c>
      <c r="H143" s="122" t="s">
        <v>548</v>
      </c>
      <c r="I143" s="122" t="s">
        <v>544</v>
      </c>
      <c r="J143" s="122">
        <v>100</v>
      </c>
      <c r="K143" s="122">
        <v>100</v>
      </c>
      <c r="L143" s="122" t="s">
        <v>549</v>
      </c>
      <c r="M143" s="122" t="s">
        <v>550</v>
      </c>
      <c r="N143" s="122" t="s">
        <v>551</v>
      </c>
    </row>
    <row r="144" s="3" customFormat="1" customHeight="1" spans="1:14">
      <c r="A144" s="25" t="s">
        <v>367</v>
      </c>
      <c r="B144" s="122" t="s">
        <v>542</v>
      </c>
      <c r="C144" s="122" t="s">
        <v>552</v>
      </c>
      <c r="D144" s="122" t="s">
        <v>553</v>
      </c>
      <c r="E144" s="122" t="s">
        <v>554</v>
      </c>
      <c r="F144" s="122" t="s">
        <v>531</v>
      </c>
      <c r="G144" s="122" t="s">
        <v>547</v>
      </c>
      <c r="H144" s="122" t="s">
        <v>548</v>
      </c>
      <c r="I144" s="122" t="s">
        <v>544</v>
      </c>
      <c r="J144" s="122">
        <v>100</v>
      </c>
      <c r="K144" s="122">
        <v>100</v>
      </c>
      <c r="L144" s="122" t="s">
        <v>549</v>
      </c>
      <c r="M144" s="122" t="s">
        <v>550</v>
      </c>
      <c r="N144" s="122" t="s">
        <v>551</v>
      </c>
    </row>
    <row r="145" s="3" customFormat="1" customHeight="1" spans="1:14">
      <c r="A145" s="25" t="s">
        <v>369</v>
      </c>
      <c r="B145" s="122" t="s">
        <v>542</v>
      </c>
      <c r="C145" s="122" t="s">
        <v>556</v>
      </c>
      <c r="D145" s="122" t="s">
        <v>557</v>
      </c>
      <c r="E145" s="122" t="s">
        <v>558</v>
      </c>
      <c r="F145" s="122" t="s">
        <v>546</v>
      </c>
      <c r="G145" s="122" t="s">
        <v>547</v>
      </c>
      <c r="H145" s="122" t="s">
        <v>548</v>
      </c>
      <c r="I145" s="122" t="s">
        <v>544</v>
      </c>
      <c r="J145" s="122">
        <v>100</v>
      </c>
      <c r="K145" s="122">
        <v>100</v>
      </c>
      <c r="L145" s="122" t="s">
        <v>549</v>
      </c>
      <c r="M145" s="122" t="s">
        <v>550</v>
      </c>
      <c r="N145" s="122" t="s">
        <v>551</v>
      </c>
    </row>
    <row r="146" s="3" customFormat="1" customHeight="1" spans="1:14">
      <c r="A146" s="25" t="s">
        <v>518</v>
      </c>
      <c r="B146" s="122" t="s">
        <v>542</v>
      </c>
      <c r="C146" s="122" t="s">
        <v>556</v>
      </c>
      <c r="D146" s="122" t="s">
        <v>557</v>
      </c>
      <c r="E146" s="122" t="s">
        <v>558</v>
      </c>
      <c r="F146" s="122" t="s">
        <v>531</v>
      </c>
      <c r="G146" s="122" t="s">
        <v>547</v>
      </c>
      <c r="H146" s="122" t="s">
        <v>548</v>
      </c>
      <c r="I146" s="122" t="s">
        <v>544</v>
      </c>
      <c r="J146" s="122">
        <v>100</v>
      </c>
      <c r="K146" s="122">
        <v>100</v>
      </c>
      <c r="L146" s="122" t="s">
        <v>549</v>
      </c>
      <c r="M146" s="122" t="s">
        <v>550</v>
      </c>
      <c r="N146" s="122" t="s">
        <v>551</v>
      </c>
    </row>
    <row r="147" s="3" customFormat="1" customHeight="1" spans="1:14">
      <c r="A147" s="25" t="s">
        <v>375</v>
      </c>
      <c r="B147" s="122" t="s">
        <v>542</v>
      </c>
      <c r="C147" s="122" t="s">
        <v>556</v>
      </c>
      <c r="D147" s="122" t="s">
        <v>557</v>
      </c>
      <c r="E147" s="122" t="s">
        <v>558</v>
      </c>
      <c r="F147" s="122" t="s">
        <v>546</v>
      </c>
      <c r="G147" s="122" t="s">
        <v>547</v>
      </c>
      <c r="H147" s="122" t="s">
        <v>548</v>
      </c>
      <c r="I147" s="122" t="s">
        <v>544</v>
      </c>
      <c r="J147" s="122">
        <v>110</v>
      </c>
      <c r="K147" s="122">
        <v>110</v>
      </c>
      <c r="L147" s="122" t="s">
        <v>549</v>
      </c>
      <c r="M147" s="122" t="s">
        <v>550</v>
      </c>
      <c r="N147" s="122" t="s">
        <v>551</v>
      </c>
    </row>
  </sheetData>
  <mergeCells count="19">
    <mergeCell ref="A1:N1"/>
    <mergeCell ref="C5:E5"/>
    <mergeCell ref="F5:G5"/>
    <mergeCell ref="H5:L5"/>
    <mergeCell ref="M5:N5"/>
    <mergeCell ref="C39:E39"/>
    <mergeCell ref="F39:G39"/>
    <mergeCell ref="H39:L39"/>
    <mergeCell ref="M39:N39"/>
    <mergeCell ref="A5:A6"/>
    <mergeCell ref="A15:A16"/>
    <mergeCell ref="A17:A18"/>
    <mergeCell ref="A19:A20"/>
    <mergeCell ref="A21:A23"/>
    <mergeCell ref="A24:A25"/>
    <mergeCell ref="A28:A30"/>
    <mergeCell ref="A39:A40"/>
    <mergeCell ref="B5:B6"/>
    <mergeCell ref="B39:B40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0"/>
  <sheetViews>
    <sheetView zoomScale="130" zoomScaleNormal="130" topLeftCell="A37" workbookViewId="0">
      <pane xSplit="1" ySplit="2" topLeftCell="B148" activePane="bottomRight" state="frozen"/>
      <selection/>
      <selection pane="topRight"/>
      <selection pane="bottomLeft"/>
      <selection pane="bottomRight" activeCell="H157" sqref="H157"/>
    </sheetView>
  </sheetViews>
  <sheetFormatPr defaultColWidth="9.10185185185185" defaultRowHeight="15" customHeight="1"/>
  <cols>
    <col min="1" max="1" width="11.5555555555556" style="3" customWidth="1"/>
    <col min="2" max="2" width="12.8888888888889" style="3" customWidth="1"/>
    <col min="3" max="3" width="10.5555555555556" style="3" customWidth="1"/>
    <col min="4" max="4" width="14" style="3" customWidth="1"/>
    <col min="5" max="5" width="14.4351851851852" style="3" customWidth="1"/>
    <col min="6" max="6" width="9.10185185185185" style="3"/>
    <col min="7" max="7" width="11.3333333333333" style="3" customWidth="1"/>
    <col min="8" max="8" width="10.4351851851852" style="3" customWidth="1"/>
    <col min="9" max="9" width="10.1018518518519" style="3" customWidth="1"/>
    <col min="10" max="16384" width="9.10185185185185" style="3"/>
  </cols>
  <sheetData>
    <row r="1" customHeight="1" spans="1:12">
      <c r="A1" s="5" t="s">
        <v>376</v>
      </c>
      <c r="B1" s="5"/>
      <c r="C1" s="5"/>
      <c r="D1" s="5"/>
      <c r="E1" s="5"/>
      <c r="F1" s="5"/>
      <c r="G1" s="5"/>
      <c r="H1" s="5"/>
      <c r="I1" s="128"/>
      <c r="J1" s="128"/>
      <c r="K1" s="128"/>
      <c r="L1" s="128"/>
    </row>
    <row r="3" customHeight="1" spans="1:14">
      <c r="A3" s="6" t="s">
        <v>120</v>
      </c>
      <c r="B3" s="7" t="s">
        <v>121</v>
      </c>
      <c r="C3" s="64"/>
      <c r="D3" s="84"/>
      <c r="E3" s="84"/>
      <c r="F3" s="84"/>
      <c r="G3" s="84"/>
      <c r="H3" s="84"/>
      <c r="I3" s="129"/>
      <c r="J3" s="129"/>
      <c r="K3" s="129"/>
      <c r="L3" s="130"/>
      <c r="M3" s="130"/>
      <c r="N3"/>
    </row>
    <row r="4" customHeight="1" spans="1:14">
      <c r="A4" s="6" t="s">
        <v>122</v>
      </c>
      <c r="B4" s="7" t="s">
        <v>377</v>
      </c>
      <c r="C4" s="64"/>
      <c r="D4" s="84"/>
      <c r="E4" s="84"/>
      <c r="F4" s="84"/>
      <c r="G4" s="84"/>
      <c r="H4" s="84"/>
      <c r="I4" s="129"/>
      <c r="J4" s="129"/>
      <c r="K4" s="129"/>
      <c r="L4" s="130"/>
      <c r="M4" s="130"/>
      <c r="N4"/>
    </row>
    <row r="5" customHeight="1" spans="1:8">
      <c r="A5" s="114" t="s">
        <v>528</v>
      </c>
      <c r="B5" s="115" t="s">
        <v>573</v>
      </c>
      <c r="C5" s="115" t="s">
        <v>574</v>
      </c>
      <c r="D5" s="115" t="s">
        <v>575</v>
      </c>
      <c r="E5" s="115" t="s">
        <v>576</v>
      </c>
      <c r="F5" s="115" t="s">
        <v>577</v>
      </c>
      <c r="G5" s="115" t="s">
        <v>578</v>
      </c>
      <c r="H5" s="115" t="s">
        <v>378</v>
      </c>
    </row>
    <row r="6" customHeight="1" spans="1:8">
      <c r="A6" s="116" t="s">
        <v>397</v>
      </c>
      <c r="B6" s="117" t="s">
        <v>579</v>
      </c>
      <c r="C6" s="117" t="s">
        <v>580</v>
      </c>
      <c r="D6" s="117" t="s">
        <v>581</v>
      </c>
      <c r="E6" s="117" t="s">
        <v>582</v>
      </c>
      <c r="F6" s="117" t="s">
        <v>583</v>
      </c>
      <c r="G6" s="117" t="s">
        <v>584</v>
      </c>
      <c r="H6" s="60"/>
    </row>
    <row r="7" customHeight="1" spans="1:8">
      <c r="A7" s="118"/>
      <c r="B7" s="117"/>
      <c r="C7" s="117"/>
      <c r="D7" s="117" t="s">
        <v>585</v>
      </c>
      <c r="E7" s="117"/>
      <c r="F7" s="117"/>
      <c r="G7" s="117"/>
      <c r="H7" s="60"/>
    </row>
    <row r="8" customHeight="1" spans="1:8">
      <c r="A8" s="119" t="s">
        <v>406</v>
      </c>
      <c r="B8" s="120" t="s">
        <v>579</v>
      </c>
      <c r="C8" s="120" t="s">
        <v>580</v>
      </c>
      <c r="D8" s="120" t="s">
        <v>585</v>
      </c>
      <c r="E8" s="120" t="s">
        <v>582</v>
      </c>
      <c r="F8" s="120" t="s">
        <v>583</v>
      </c>
      <c r="G8" s="120" t="s">
        <v>584</v>
      </c>
      <c r="H8" s="60"/>
    </row>
    <row r="9" customHeight="1" spans="1:8">
      <c r="A9" s="121"/>
      <c r="B9" s="122"/>
      <c r="C9" s="122"/>
      <c r="D9" s="122"/>
      <c r="E9" s="122" t="s">
        <v>586</v>
      </c>
      <c r="F9" s="122"/>
      <c r="G9" s="122"/>
      <c r="H9" s="60"/>
    </row>
    <row r="10" customHeight="1" spans="1:8">
      <c r="A10" s="122" t="s">
        <v>407</v>
      </c>
      <c r="B10" s="122" t="s">
        <v>579</v>
      </c>
      <c r="C10" s="122" t="s">
        <v>580</v>
      </c>
      <c r="D10" s="122" t="s">
        <v>585</v>
      </c>
      <c r="E10" s="122" t="s">
        <v>586</v>
      </c>
      <c r="F10" s="122" t="s">
        <v>583</v>
      </c>
      <c r="G10" s="122" t="s">
        <v>584</v>
      </c>
      <c r="H10" s="60"/>
    </row>
    <row r="11" customHeight="1" spans="1:8">
      <c r="A11" s="122" t="s">
        <v>408</v>
      </c>
      <c r="B11" s="122" t="s">
        <v>579</v>
      </c>
      <c r="C11" s="122" t="s">
        <v>580</v>
      </c>
      <c r="D11" s="122" t="s">
        <v>585</v>
      </c>
      <c r="E11" s="122" t="s">
        <v>586</v>
      </c>
      <c r="F11" s="122" t="s">
        <v>583</v>
      </c>
      <c r="G11" s="122" t="s">
        <v>584</v>
      </c>
      <c r="H11" s="60"/>
    </row>
    <row r="12" customHeight="1" spans="1:8">
      <c r="A12" s="122" t="s">
        <v>409</v>
      </c>
      <c r="B12" s="122" t="s">
        <v>579</v>
      </c>
      <c r="C12" s="122" t="s">
        <v>580</v>
      </c>
      <c r="D12" s="122" t="s">
        <v>585</v>
      </c>
      <c r="E12" s="122" t="s">
        <v>586</v>
      </c>
      <c r="F12" s="122" t="s">
        <v>583</v>
      </c>
      <c r="G12" s="122" t="s">
        <v>584</v>
      </c>
      <c r="H12" s="123" t="s">
        <v>587</v>
      </c>
    </row>
    <row r="13" customHeight="1" spans="1:8">
      <c r="A13" s="122" t="s">
        <v>11</v>
      </c>
      <c r="B13" s="122" t="s">
        <v>579</v>
      </c>
      <c r="C13" s="122" t="s">
        <v>580</v>
      </c>
      <c r="D13" s="122" t="s">
        <v>585</v>
      </c>
      <c r="E13" s="122" t="s">
        <v>586</v>
      </c>
      <c r="F13" s="122" t="s">
        <v>583</v>
      </c>
      <c r="G13" s="122" t="s">
        <v>584</v>
      </c>
      <c r="H13" s="60"/>
    </row>
    <row r="14" customHeight="1" spans="1:8">
      <c r="A14" s="122" t="s">
        <v>24</v>
      </c>
      <c r="B14" s="122" t="s">
        <v>579</v>
      </c>
      <c r="C14" s="122" t="s">
        <v>580</v>
      </c>
      <c r="D14" s="122" t="s">
        <v>585</v>
      </c>
      <c r="E14" s="122" t="s">
        <v>586</v>
      </c>
      <c r="F14" s="122" t="s">
        <v>583</v>
      </c>
      <c r="G14" s="122" t="s">
        <v>584</v>
      </c>
      <c r="H14" s="60"/>
    </row>
    <row r="15" customHeight="1" spans="1:8">
      <c r="A15" s="122" t="s">
        <v>34</v>
      </c>
      <c r="B15" s="122" t="s">
        <v>579</v>
      </c>
      <c r="C15" s="122" t="s">
        <v>580</v>
      </c>
      <c r="D15" s="122" t="s">
        <v>585</v>
      </c>
      <c r="E15" s="122" t="s">
        <v>586</v>
      </c>
      <c r="F15" s="122" t="s">
        <v>583</v>
      </c>
      <c r="G15" s="122" t="s">
        <v>584</v>
      </c>
      <c r="H15" s="123" t="s">
        <v>587</v>
      </c>
    </row>
    <row r="16" customHeight="1" spans="1:8">
      <c r="A16" s="122" t="s">
        <v>43</v>
      </c>
      <c r="B16" s="122" t="s">
        <v>579</v>
      </c>
      <c r="C16" s="122" t="s">
        <v>580</v>
      </c>
      <c r="D16" s="122" t="s">
        <v>585</v>
      </c>
      <c r="E16" s="122" t="s">
        <v>582</v>
      </c>
      <c r="F16" s="122" t="s">
        <v>583</v>
      </c>
      <c r="G16" s="122" t="s">
        <v>584</v>
      </c>
      <c r="H16" s="20" t="s">
        <v>588</v>
      </c>
    </row>
    <row r="17" customHeight="1" spans="1:8">
      <c r="A17" s="122"/>
      <c r="B17" s="122"/>
      <c r="C17" s="122"/>
      <c r="D17" s="122"/>
      <c r="E17" s="122" t="s">
        <v>586</v>
      </c>
      <c r="F17" s="122"/>
      <c r="G17" s="122"/>
      <c r="H17" s="20"/>
    </row>
    <row r="18" customHeight="1" spans="1:8">
      <c r="A18" s="122" t="s">
        <v>52</v>
      </c>
      <c r="B18" s="122" t="s">
        <v>579</v>
      </c>
      <c r="C18" s="122" t="s">
        <v>580</v>
      </c>
      <c r="D18" s="122" t="s">
        <v>585</v>
      </c>
      <c r="E18" s="122" t="s">
        <v>586</v>
      </c>
      <c r="F18" s="122" t="s">
        <v>583</v>
      </c>
      <c r="G18" s="122" t="s">
        <v>584</v>
      </c>
      <c r="H18" s="20" t="s">
        <v>588</v>
      </c>
    </row>
    <row r="19" customHeight="1" spans="1:8">
      <c r="A19" s="122" t="s">
        <v>61</v>
      </c>
      <c r="B19" s="122" t="s">
        <v>579</v>
      </c>
      <c r="C19" s="122" t="s">
        <v>580</v>
      </c>
      <c r="D19" s="122" t="s">
        <v>585</v>
      </c>
      <c r="E19" s="122" t="s">
        <v>586</v>
      </c>
      <c r="F19" s="122" t="s">
        <v>583</v>
      </c>
      <c r="G19" s="122" t="s">
        <v>584</v>
      </c>
      <c r="H19" s="20" t="s">
        <v>588</v>
      </c>
    </row>
    <row r="20" customFormat="1" customHeight="1" spans="1:8">
      <c r="A20" s="124" t="s">
        <v>65</v>
      </c>
      <c r="B20" s="122" t="s">
        <v>589</v>
      </c>
      <c r="C20" s="122" t="s">
        <v>590</v>
      </c>
      <c r="D20" s="122" t="s">
        <v>585</v>
      </c>
      <c r="E20" s="122" t="s">
        <v>586</v>
      </c>
      <c r="F20" s="122" t="s">
        <v>583</v>
      </c>
      <c r="G20" s="122" t="s">
        <v>584</v>
      </c>
      <c r="H20" s="20" t="s">
        <v>591</v>
      </c>
    </row>
    <row r="21" customFormat="1" customHeight="1" spans="1:8">
      <c r="A21" s="121"/>
      <c r="B21" s="122"/>
      <c r="C21" s="122" t="s">
        <v>592</v>
      </c>
      <c r="D21" s="122"/>
      <c r="E21" s="122"/>
      <c r="F21" s="122"/>
      <c r="G21" s="122"/>
      <c r="H21" s="20"/>
    </row>
    <row r="22" customFormat="1" customHeight="1" spans="1:8">
      <c r="A22" s="124" t="s">
        <v>76</v>
      </c>
      <c r="B22" s="122" t="s">
        <v>589</v>
      </c>
      <c r="C22" s="122" t="s">
        <v>592</v>
      </c>
      <c r="D22" s="122" t="s">
        <v>585</v>
      </c>
      <c r="E22" s="122" t="s">
        <v>586</v>
      </c>
      <c r="F22" s="122" t="s">
        <v>583</v>
      </c>
      <c r="G22" s="122" t="s">
        <v>584</v>
      </c>
      <c r="H22" s="20" t="s">
        <v>591</v>
      </c>
    </row>
    <row r="23" customFormat="1" customHeight="1" spans="1:8">
      <c r="A23" s="124" t="s">
        <v>83</v>
      </c>
      <c r="B23" s="122" t="s">
        <v>589</v>
      </c>
      <c r="C23" s="122" t="s">
        <v>592</v>
      </c>
      <c r="D23" s="122" t="s">
        <v>585</v>
      </c>
      <c r="E23" s="122" t="s">
        <v>586</v>
      </c>
      <c r="F23" s="122" t="s">
        <v>583</v>
      </c>
      <c r="G23" s="122" t="s">
        <v>584</v>
      </c>
      <c r="H23" s="20" t="s">
        <v>593</v>
      </c>
    </row>
    <row r="24" customFormat="1" customHeight="1" spans="1:8">
      <c r="A24" s="124" t="s">
        <v>92</v>
      </c>
      <c r="B24" s="122" t="s">
        <v>589</v>
      </c>
      <c r="C24" s="122" t="s">
        <v>592</v>
      </c>
      <c r="D24" s="122" t="s">
        <v>585</v>
      </c>
      <c r="E24" s="122" t="s">
        <v>586</v>
      </c>
      <c r="F24" s="122" t="s">
        <v>583</v>
      </c>
      <c r="G24" s="122" t="s">
        <v>584</v>
      </c>
      <c r="H24" s="20" t="s">
        <v>594</v>
      </c>
    </row>
    <row r="25" customFormat="1" customHeight="1" spans="1:8">
      <c r="A25" s="124" t="s">
        <v>97</v>
      </c>
      <c r="B25" s="122" t="s">
        <v>589</v>
      </c>
      <c r="C25" s="122" t="s">
        <v>592</v>
      </c>
      <c r="D25" s="122" t="s">
        <v>585</v>
      </c>
      <c r="E25" s="122" t="s">
        <v>586</v>
      </c>
      <c r="F25" s="122" t="s">
        <v>583</v>
      </c>
      <c r="G25" s="122" t="s">
        <v>584</v>
      </c>
      <c r="H25" s="20"/>
    </row>
    <row r="26" customFormat="1" customHeight="1" spans="1:8">
      <c r="A26" s="125"/>
      <c r="B26" s="122"/>
      <c r="C26" s="122"/>
      <c r="D26" s="122" t="s">
        <v>595</v>
      </c>
      <c r="E26" s="122"/>
      <c r="F26" s="122"/>
      <c r="G26" s="122"/>
      <c r="H26" s="20"/>
    </row>
    <row r="27" s="1" customFormat="1" customHeight="1" spans="1:8">
      <c r="A27" s="111"/>
      <c r="B27" s="111"/>
      <c r="C27" s="111"/>
      <c r="D27" s="111"/>
      <c r="E27" s="111"/>
      <c r="F27" s="111"/>
      <c r="G27" s="111"/>
      <c r="H27" s="111"/>
    </row>
    <row r="28" customHeight="1" spans="1:8">
      <c r="A28" s="124" t="s">
        <v>104</v>
      </c>
      <c r="B28" s="122" t="s">
        <v>579</v>
      </c>
      <c r="C28" s="122" t="s">
        <v>580</v>
      </c>
      <c r="D28" s="122" t="s">
        <v>585</v>
      </c>
      <c r="E28" s="122" t="s">
        <v>586</v>
      </c>
      <c r="F28" s="122" t="s">
        <v>583</v>
      </c>
      <c r="G28" s="122" t="s">
        <v>584</v>
      </c>
      <c r="H28" s="25"/>
    </row>
    <row r="29" customHeight="1" spans="1:8">
      <c r="A29" s="121"/>
      <c r="B29" s="25"/>
      <c r="C29" s="25" t="s">
        <v>596</v>
      </c>
      <c r="D29" s="25" t="s">
        <v>595</v>
      </c>
      <c r="E29" s="25" t="s">
        <v>597</v>
      </c>
      <c r="F29" s="25"/>
      <c r="G29" s="25"/>
      <c r="H29" s="25"/>
    </row>
    <row r="30" customHeight="1" spans="1:8">
      <c r="A30" s="124" t="s">
        <v>110</v>
      </c>
      <c r="B30" s="122" t="s">
        <v>579</v>
      </c>
      <c r="C30" s="122" t="s">
        <v>596</v>
      </c>
      <c r="D30" s="122" t="s">
        <v>595</v>
      </c>
      <c r="E30" s="122" t="s">
        <v>597</v>
      </c>
      <c r="F30" s="122" t="s">
        <v>583</v>
      </c>
      <c r="G30" s="122" t="s">
        <v>584</v>
      </c>
      <c r="H30" s="25"/>
    </row>
    <row r="31" customHeight="1" spans="1:8">
      <c r="A31" s="121"/>
      <c r="B31" s="25" t="s">
        <v>589</v>
      </c>
      <c r="C31" s="25" t="s">
        <v>590</v>
      </c>
      <c r="D31" s="25"/>
      <c r="E31" s="25"/>
      <c r="F31" s="25"/>
      <c r="G31" s="25"/>
      <c r="H31" s="25"/>
    </row>
    <row r="32" s="1" customFormat="1" customHeight="1" spans="1:8">
      <c r="A32" s="30"/>
      <c r="B32" s="30"/>
      <c r="C32" s="30"/>
      <c r="D32" s="30"/>
      <c r="E32" s="30"/>
      <c r="F32" s="30"/>
      <c r="G32" s="30"/>
      <c r="H32" s="30"/>
    </row>
    <row r="33" customFormat="1" customHeight="1" spans="1:8">
      <c r="A33" s="126" t="s">
        <v>114</v>
      </c>
      <c r="B33" s="122" t="s">
        <v>589</v>
      </c>
      <c r="C33" s="122" t="s">
        <v>592</v>
      </c>
      <c r="D33" s="122" t="s">
        <v>585</v>
      </c>
      <c r="E33" s="122" t="s">
        <v>586</v>
      </c>
      <c r="F33" s="122" t="s">
        <v>583</v>
      </c>
      <c r="G33" s="122" t="s">
        <v>584</v>
      </c>
      <c r="H33" s="20" t="s">
        <v>547</v>
      </c>
    </row>
    <row r="34" customFormat="1" customHeight="1" spans="1:8">
      <c r="A34" s="127"/>
      <c r="B34" s="127"/>
      <c r="C34" s="127"/>
      <c r="D34" s="122" t="s">
        <v>595</v>
      </c>
      <c r="E34" s="122" t="s">
        <v>597</v>
      </c>
      <c r="F34" s="127"/>
      <c r="G34" s="127"/>
      <c r="H34" s="64"/>
    </row>
    <row r="35" s="1" customFormat="1" customHeight="1" spans="1:8">
      <c r="A35" s="28"/>
      <c r="B35" s="28"/>
      <c r="C35" s="28"/>
      <c r="D35" s="28"/>
      <c r="E35" s="28"/>
      <c r="F35" s="28"/>
      <c r="G35" s="28"/>
      <c r="H35" s="28"/>
    </row>
    <row r="36" customFormat="1" customHeight="1" spans="1:16383">
      <c r="A36" s="6" t="s">
        <v>120</v>
      </c>
      <c r="B36" s="7" t="s">
        <v>121</v>
      </c>
      <c r="C36" s="3"/>
      <c r="D36" s="3"/>
      <c r="E36" s="3"/>
      <c r="F36" s="4"/>
      <c r="G36" s="4"/>
      <c r="H36" s="3"/>
      <c r="I36" s="3"/>
      <c r="J36" s="4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 s="3"/>
      <c r="WSQ36" s="3"/>
      <c r="WSR36" s="3"/>
      <c r="WSS36" s="3"/>
      <c r="WST36" s="3"/>
      <c r="WSU36" s="3"/>
      <c r="WSV36" s="3"/>
      <c r="WSW36" s="3"/>
      <c r="WSX36" s="3"/>
      <c r="WSY36" s="3"/>
      <c r="WSZ36" s="3"/>
      <c r="WTA36" s="3"/>
      <c r="WTB36" s="3"/>
      <c r="WTC36" s="3"/>
      <c r="WTD36" s="3"/>
      <c r="WTE36" s="3"/>
      <c r="WTF36" s="3"/>
      <c r="WTG36" s="3"/>
      <c r="WTH36" s="3"/>
      <c r="WTI36" s="3"/>
      <c r="WTJ36" s="3"/>
      <c r="WTK36" s="3"/>
      <c r="WTL36" s="3"/>
      <c r="WTM36" s="3"/>
      <c r="WTN36" s="3"/>
      <c r="WTO36" s="3"/>
      <c r="WTP36" s="3"/>
      <c r="WTQ36" s="3"/>
      <c r="WTR36" s="3"/>
      <c r="WTS36" s="3"/>
      <c r="WTT36" s="3"/>
      <c r="WTU36" s="3"/>
      <c r="WTV36" s="3"/>
      <c r="WTW36" s="3"/>
      <c r="WTX36" s="3"/>
      <c r="WTY36" s="3"/>
      <c r="WTZ36" s="3"/>
      <c r="WUA36" s="3"/>
      <c r="WUB36" s="3"/>
      <c r="WUC36" s="3"/>
      <c r="WUD36" s="3"/>
      <c r="WUE36" s="3"/>
      <c r="WUF36" s="3"/>
      <c r="WUG36" s="3"/>
      <c r="WUH36" s="3"/>
      <c r="WUI36" s="3"/>
      <c r="WUJ36" s="3"/>
      <c r="WUK36" s="3"/>
      <c r="WUL36" s="3"/>
      <c r="WUM36" s="3"/>
      <c r="WUN36" s="3"/>
      <c r="WUO36" s="3"/>
      <c r="WUP36" s="3"/>
      <c r="WUQ36" s="3"/>
      <c r="WUR36" s="3"/>
      <c r="WUS36" s="3"/>
      <c r="WUT36" s="3"/>
      <c r="WUU36" s="3"/>
      <c r="WUV36" s="3"/>
      <c r="WUW36" s="3"/>
      <c r="WUX36" s="3"/>
      <c r="WUY36" s="3"/>
      <c r="WUZ36" s="3"/>
      <c r="WVA36" s="3"/>
      <c r="WVB36" s="3"/>
      <c r="WVC36" s="3"/>
      <c r="WVD36" s="3"/>
      <c r="WVE36" s="3"/>
      <c r="WVF36" s="3"/>
      <c r="WVG36" s="3"/>
      <c r="WVH36" s="3"/>
      <c r="WVI36" s="3"/>
      <c r="WVJ36" s="3"/>
      <c r="WVK36" s="3"/>
      <c r="WVL36" s="3"/>
      <c r="WVM36" s="3"/>
      <c r="WVN36" s="3"/>
      <c r="WVO36" s="3"/>
      <c r="WVP36" s="3"/>
      <c r="WVQ36" s="3"/>
      <c r="WVR36" s="3"/>
      <c r="WVS36" s="3"/>
      <c r="WVT36" s="3"/>
      <c r="WVU36" s="3"/>
      <c r="WVV36" s="3"/>
      <c r="WVW36" s="3"/>
      <c r="WVX36" s="3"/>
      <c r="WVY36" s="3"/>
      <c r="WVZ36" s="3"/>
      <c r="WWA36" s="3"/>
      <c r="WWB36" s="3"/>
      <c r="WWC36" s="3"/>
      <c r="WWD36" s="3"/>
      <c r="WWE36" s="3"/>
      <c r="WWF36" s="3"/>
      <c r="WWG36" s="3"/>
      <c r="WWH36" s="3"/>
      <c r="WWI36" s="3"/>
      <c r="WWJ36" s="3"/>
      <c r="WWK36" s="3"/>
      <c r="WWL36" s="3"/>
      <c r="WWM36" s="3"/>
      <c r="WWN36" s="3"/>
      <c r="WWO36" s="3"/>
      <c r="WWP36" s="3"/>
      <c r="WWQ36" s="3"/>
      <c r="WWR36" s="3"/>
      <c r="WWS36" s="3"/>
      <c r="WWT36" s="3"/>
      <c r="WWU36" s="3"/>
      <c r="WWV36" s="3"/>
      <c r="WWW36" s="3"/>
      <c r="WWX36" s="3"/>
      <c r="WWY36" s="3"/>
      <c r="WWZ36" s="3"/>
      <c r="WXA36" s="3"/>
      <c r="WXB36" s="3"/>
      <c r="WXC36" s="3"/>
      <c r="WXD36" s="3"/>
      <c r="WXE36" s="3"/>
      <c r="WXF36" s="3"/>
      <c r="WXG36" s="3"/>
      <c r="WXH36" s="3"/>
      <c r="WXI36" s="3"/>
      <c r="WXJ36" s="3"/>
      <c r="WXK36" s="3"/>
      <c r="WXL36" s="3"/>
      <c r="WXM36" s="3"/>
      <c r="WXN36" s="3"/>
      <c r="WXO36" s="3"/>
      <c r="WXP36" s="3"/>
      <c r="WXQ36" s="3"/>
      <c r="WXR36" s="3"/>
      <c r="WXS36" s="3"/>
      <c r="WXT36" s="3"/>
      <c r="WXU36" s="3"/>
      <c r="WXV36" s="3"/>
      <c r="WXW36" s="3"/>
      <c r="WXX36" s="3"/>
      <c r="WXY36" s="3"/>
      <c r="WXZ36" s="3"/>
      <c r="WYA36" s="3"/>
      <c r="WYB36" s="3"/>
      <c r="WYC36" s="3"/>
      <c r="WYD36" s="3"/>
      <c r="WYE36" s="3"/>
      <c r="WYF36" s="3"/>
      <c r="WYG36" s="3"/>
      <c r="WYH36" s="3"/>
      <c r="WYI36" s="3"/>
      <c r="WYJ36" s="3"/>
      <c r="WYK36" s="3"/>
      <c r="WYL36" s="3"/>
      <c r="WYM36" s="3"/>
      <c r="WYN36" s="3"/>
      <c r="WYO36" s="3"/>
      <c r="WYP36" s="3"/>
      <c r="WYQ36" s="3"/>
      <c r="WYR36" s="3"/>
      <c r="WYS36" s="3"/>
      <c r="WYT36" s="3"/>
      <c r="WYU36" s="3"/>
      <c r="WYV36" s="3"/>
      <c r="WYW36" s="3"/>
      <c r="WYX36" s="3"/>
      <c r="WYY36" s="3"/>
      <c r="WYZ36" s="3"/>
      <c r="WZA36" s="3"/>
      <c r="WZB36" s="3"/>
      <c r="WZC36" s="3"/>
      <c r="WZD36" s="3"/>
      <c r="WZE36" s="3"/>
      <c r="WZF36" s="3"/>
      <c r="WZG36" s="3"/>
      <c r="WZH36" s="3"/>
      <c r="WZI36" s="3"/>
      <c r="WZJ36" s="3"/>
      <c r="WZK36" s="3"/>
      <c r="WZL36" s="3"/>
      <c r="WZM36" s="3"/>
      <c r="WZN36" s="3"/>
      <c r="WZO36" s="3"/>
      <c r="WZP36" s="3"/>
      <c r="WZQ36" s="3"/>
      <c r="WZR36" s="3"/>
      <c r="WZS36" s="3"/>
      <c r="WZT36" s="3"/>
      <c r="WZU36" s="3"/>
      <c r="WZV36" s="3"/>
      <c r="WZW36" s="3"/>
      <c r="WZX36" s="3"/>
      <c r="WZY36" s="3"/>
      <c r="WZZ36" s="3"/>
      <c r="XAA36" s="3"/>
      <c r="XAB36" s="3"/>
      <c r="XAC36" s="3"/>
      <c r="XAD36" s="3"/>
      <c r="XAE36" s="3"/>
      <c r="XAF36" s="3"/>
      <c r="XAG36" s="3"/>
      <c r="XAH36" s="3"/>
      <c r="XAI36" s="3"/>
      <c r="XAJ36" s="3"/>
      <c r="XAK36" s="3"/>
      <c r="XAL36" s="3"/>
      <c r="XAM36" s="3"/>
      <c r="XAN36" s="3"/>
      <c r="XAO36" s="3"/>
      <c r="XAP36" s="3"/>
      <c r="XAQ36" s="3"/>
      <c r="XAR36" s="3"/>
      <c r="XAS36" s="3"/>
      <c r="XAT36" s="3"/>
      <c r="XAU36" s="3"/>
      <c r="XAV36" s="3"/>
      <c r="XAW36" s="3"/>
      <c r="XAX36" s="3"/>
      <c r="XAY36" s="3"/>
      <c r="XAZ36" s="3"/>
      <c r="XBA36" s="3"/>
      <c r="XBB36" s="3"/>
      <c r="XBC36" s="3"/>
      <c r="XBD36" s="3"/>
      <c r="XBE36" s="3"/>
      <c r="XBF36" s="3"/>
      <c r="XBG36" s="3"/>
      <c r="XBH36" s="3"/>
      <c r="XBI36" s="3"/>
      <c r="XBJ36" s="3"/>
      <c r="XBK36" s="3"/>
      <c r="XBL36" s="3"/>
      <c r="XBM36" s="3"/>
      <c r="XBN36" s="3"/>
      <c r="XBO36" s="3"/>
      <c r="XBP36" s="3"/>
      <c r="XBQ36" s="3"/>
      <c r="XBR36" s="3"/>
      <c r="XBS36" s="3"/>
      <c r="XBT36" s="3"/>
      <c r="XBU36" s="3"/>
      <c r="XBV36" s="3"/>
      <c r="XBW36" s="3"/>
      <c r="XBX36" s="3"/>
      <c r="XBY36" s="3"/>
      <c r="XBZ36" s="3"/>
      <c r="XCA36" s="3"/>
      <c r="XCB36" s="3"/>
      <c r="XCC36" s="3"/>
      <c r="XCD36" s="3"/>
      <c r="XCE36" s="3"/>
      <c r="XCF36" s="3"/>
      <c r="XCG36" s="3"/>
      <c r="XCH36" s="3"/>
      <c r="XCI36" s="3"/>
      <c r="XCJ36" s="3"/>
      <c r="XCK36" s="3"/>
      <c r="XCL36" s="3"/>
      <c r="XCM36" s="3"/>
      <c r="XCN36" s="3"/>
      <c r="XCO36" s="3"/>
      <c r="XCP36" s="3"/>
      <c r="XCQ36" s="3"/>
      <c r="XCR36" s="3"/>
      <c r="XCS36" s="3"/>
      <c r="XCT36" s="3"/>
      <c r="XCU36" s="3"/>
      <c r="XCV36" s="3"/>
      <c r="XCW36" s="3"/>
      <c r="XCX36" s="3"/>
      <c r="XCY36" s="3"/>
      <c r="XCZ36" s="3"/>
      <c r="XDA36" s="3"/>
      <c r="XDB36" s="3"/>
      <c r="XDC36" s="3"/>
      <c r="XDD36" s="3"/>
      <c r="XDE36" s="3"/>
      <c r="XDF36" s="3"/>
      <c r="XDG36" s="3"/>
      <c r="XDH36" s="3"/>
      <c r="XDI36" s="3"/>
      <c r="XDJ36" s="3"/>
      <c r="XDK36" s="3"/>
      <c r="XDL36" s="3"/>
      <c r="XDM36" s="3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</row>
    <row r="37" customFormat="1" customHeight="1" spans="1:16383">
      <c r="A37" s="6" t="s">
        <v>122</v>
      </c>
      <c r="B37" s="7" t="s">
        <v>123</v>
      </c>
      <c r="C37" s="3"/>
      <c r="D37" s="3"/>
      <c r="E37" s="3"/>
      <c r="F37" s="4"/>
      <c r="G37" s="4"/>
      <c r="H37" s="3"/>
      <c r="I37" s="3"/>
      <c r="J37" s="4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 s="3"/>
      <c r="WSQ37" s="3"/>
      <c r="WSR37" s="3"/>
      <c r="WSS37" s="3"/>
      <c r="WST37" s="3"/>
      <c r="WSU37" s="3"/>
      <c r="WSV37" s="3"/>
      <c r="WSW37" s="3"/>
      <c r="WSX37" s="3"/>
      <c r="WSY37" s="3"/>
      <c r="WSZ37" s="3"/>
      <c r="WTA37" s="3"/>
      <c r="WTB37" s="3"/>
      <c r="WTC37" s="3"/>
      <c r="WTD37" s="3"/>
      <c r="WTE37" s="3"/>
      <c r="WTF37" s="3"/>
      <c r="WTG37" s="3"/>
      <c r="WTH37" s="3"/>
      <c r="WTI37" s="3"/>
      <c r="WTJ37" s="3"/>
      <c r="WTK37" s="3"/>
      <c r="WTL37" s="3"/>
      <c r="WTM37" s="3"/>
      <c r="WTN37" s="3"/>
      <c r="WTO37" s="3"/>
      <c r="WTP37" s="3"/>
      <c r="WTQ37" s="3"/>
      <c r="WTR37" s="3"/>
      <c r="WTS37" s="3"/>
      <c r="WTT37" s="3"/>
      <c r="WTU37" s="3"/>
      <c r="WTV37" s="3"/>
      <c r="WTW37" s="3"/>
      <c r="WTX37" s="3"/>
      <c r="WTY37" s="3"/>
      <c r="WTZ37" s="3"/>
      <c r="WUA37" s="3"/>
      <c r="WUB37" s="3"/>
      <c r="WUC37" s="3"/>
      <c r="WUD37" s="3"/>
      <c r="WUE37" s="3"/>
      <c r="WUF37" s="3"/>
      <c r="WUG37" s="3"/>
      <c r="WUH37" s="3"/>
      <c r="WUI37" s="3"/>
      <c r="WUJ37" s="3"/>
      <c r="WUK37" s="3"/>
      <c r="WUL37" s="3"/>
      <c r="WUM37" s="3"/>
      <c r="WUN37" s="3"/>
      <c r="WUO37" s="3"/>
      <c r="WUP37" s="3"/>
      <c r="WUQ37" s="3"/>
      <c r="WUR37" s="3"/>
      <c r="WUS37" s="3"/>
      <c r="WUT37" s="3"/>
      <c r="WUU37" s="3"/>
      <c r="WUV37" s="3"/>
      <c r="WUW37" s="3"/>
      <c r="WUX37" s="3"/>
      <c r="WUY37" s="3"/>
      <c r="WUZ37" s="3"/>
      <c r="WVA37" s="3"/>
      <c r="WVB37" s="3"/>
      <c r="WVC37" s="3"/>
      <c r="WVD37" s="3"/>
      <c r="WVE37" s="3"/>
      <c r="WVF37" s="3"/>
      <c r="WVG37" s="3"/>
      <c r="WVH37" s="3"/>
      <c r="WVI37" s="3"/>
      <c r="WVJ37" s="3"/>
      <c r="WVK37" s="3"/>
      <c r="WVL37" s="3"/>
      <c r="WVM37" s="3"/>
      <c r="WVN37" s="3"/>
      <c r="WVO37" s="3"/>
      <c r="WVP37" s="3"/>
      <c r="WVQ37" s="3"/>
      <c r="WVR37" s="3"/>
      <c r="WVS37" s="3"/>
      <c r="WVT37" s="3"/>
      <c r="WVU37" s="3"/>
      <c r="WVV37" s="3"/>
      <c r="WVW37" s="3"/>
      <c r="WVX37" s="3"/>
      <c r="WVY37" s="3"/>
      <c r="WVZ37" s="3"/>
      <c r="WWA37" s="3"/>
      <c r="WWB37" s="3"/>
      <c r="WWC37" s="3"/>
      <c r="WWD37" s="3"/>
      <c r="WWE37" s="3"/>
      <c r="WWF37" s="3"/>
      <c r="WWG37" s="3"/>
      <c r="WWH37" s="3"/>
      <c r="WWI37" s="3"/>
      <c r="WWJ37" s="3"/>
      <c r="WWK37" s="3"/>
      <c r="WWL37" s="3"/>
      <c r="WWM37" s="3"/>
      <c r="WWN37" s="3"/>
      <c r="WWO37" s="3"/>
      <c r="WWP37" s="3"/>
      <c r="WWQ37" s="3"/>
      <c r="WWR37" s="3"/>
      <c r="WWS37" s="3"/>
      <c r="WWT37" s="3"/>
      <c r="WWU37" s="3"/>
      <c r="WWV37" s="3"/>
      <c r="WWW37" s="3"/>
      <c r="WWX37" s="3"/>
      <c r="WWY37" s="3"/>
      <c r="WWZ37" s="3"/>
      <c r="WXA37" s="3"/>
      <c r="WXB37" s="3"/>
      <c r="WXC37" s="3"/>
      <c r="WXD37" s="3"/>
      <c r="WXE37" s="3"/>
      <c r="WXF37" s="3"/>
      <c r="WXG37" s="3"/>
      <c r="WXH37" s="3"/>
      <c r="WXI37" s="3"/>
      <c r="WXJ37" s="3"/>
      <c r="WXK37" s="3"/>
      <c r="WXL37" s="3"/>
      <c r="WXM37" s="3"/>
      <c r="WXN37" s="3"/>
      <c r="WXO37" s="3"/>
      <c r="WXP37" s="3"/>
      <c r="WXQ37" s="3"/>
      <c r="WXR37" s="3"/>
      <c r="WXS37" s="3"/>
      <c r="WXT37" s="3"/>
      <c r="WXU37" s="3"/>
      <c r="WXV37" s="3"/>
      <c r="WXW37" s="3"/>
      <c r="WXX37" s="3"/>
      <c r="WXY37" s="3"/>
      <c r="WXZ37" s="3"/>
      <c r="WYA37" s="3"/>
      <c r="WYB37" s="3"/>
      <c r="WYC37" s="3"/>
      <c r="WYD37" s="3"/>
      <c r="WYE37" s="3"/>
      <c r="WYF37" s="3"/>
      <c r="WYG37" s="3"/>
      <c r="WYH37" s="3"/>
      <c r="WYI37" s="3"/>
      <c r="WYJ37" s="3"/>
      <c r="WYK37" s="3"/>
      <c r="WYL37" s="3"/>
      <c r="WYM37" s="3"/>
      <c r="WYN37" s="3"/>
      <c r="WYO37" s="3"/>
      <c r="WYP37" s="3"/>
      <c r="WYQ37" s="3"/>
      <c r="WYR37" s="3"/>
      <c r="WYS37" s="3"/>
      <c r="WYT37" s="3"/>
      <c r="WYU37" s="3"/>
      <c r="WYV37" s="3"/>
      <c r="WYW37" s="3"/>
      <c r="WYX37" s="3"/>
      <c r="WYY37" s="3"/>
      <c r="WYZ37" s="3"/>
      <c r="WZA37" s="3"/>
      <c r="WZB37" s="3"/>
      <c r="WZC37" s="3"/>
      <c r="WZD37" s="3"/>
      <c r="WZE37" s="3"/>
      <c r="WZF37" s="3"/>
      <c r="WZG37" s="3"/>
      <c r="WZH37" s="3"/>
      <c r="WZI37" s="3"/>
      <c r="WZJ37" s="3"/>
      <c r="WZK37" s="3"/>
      <c r="WZL37" s="3"/>
      <c r="WZM37" s="3"/>
      <c r="WZN37" s="3"/>
      <c r="WZO37" s="3"/>
      <c r="WZP37" s="3"/>
      <c r="WZQ37" s="3"/>
      <c r="WZR37" s="3"/>
      <c r="WZS37" s="3"/>
      <c r="WZT37" s="3"/>
      <c r="WZU37" s="3"/>
      <c r="WZV37" s="3"/>
      <c r="WZW37" s="3"/>
      <c r="WZX37" s="3"/>
      <c r="WZY37" s="3"/>
      <c r="WZZ37" s="3"/>
      <c r="XAA37" s="3"/>
      <c r="XAB37" s="3"/>
      <c r="XAC37" s="3"/>
      <c r="XAD37" s="3"/>
      <c r="XAE37" s="3"/>
      <c r="XAF37" s="3"/>
      <c r="XAG37" s="3"/>
      <c r="XAH37" s="3"/>
      <c r="XAI37" s="3"/>
      <c r="XAJ37" s="3"/>
      <c r="XAK37" s="3"/>
      <c r="XAL37" s="3"/>
      <c r="XAM37" s="3"/>
      <c r="XAN37" s="3"/>
      <c r="XAO37" s="3"/>
      <c r="XAP37" s="3"/>
      <c r="XAQ37" s="3"/>
      <c r="XAR37" s="3"/>
      <c r="XAS37" s="3"/>
      <c r="XAT37" s="3"/>
      <c r="XAU37" s="3"/>
      <c r="XAV37" s="3"/>
      <c r="XAW37" s="3"/>
      <c r="XAX37" s="3"/>
      <c r="XAY37" s="3"/>
      <c r="XAZ37" s="3"/>
      <c r="XBA37" s="3"/>
      <c r="XBB37" s="3"/>
      <c r="XBC37" s="3"/>
      <c r="XBD37" s="3"/>
      <c r="XBE37" s="3"/>
      <c r="XBF37" s="3"/>
      <c r="XBG37" s="3"/>
      <c r="XBH37" s="3"/>
      <c r="XBI37" s="3"/>
      <c r="XBJ37" s="3"/>
      <c r="XBK37" s="3"/>
      <c r="XBL37" s="3"/>
      <c r="XBM37" s="3"/>
      <c r="XBN37" s="3"/>
      <c r="XBO37" s="3"/>
      <c r="XBP37" s="3"/>
      <c r="XBQ37" s="3"/>
      <c r="XBR37" s="3"/>
      <c r="XBS37" s="3"/>
      <c r="XBT37" s="3"/>
      <c r="XBU37" s="3"/>
      <c r="XBV37" s="3"/>
      <c r="XBW37" s="3"/>
      <c r="XBX37" s="3"/>
      <c r="XBY37" s="3"/>
      <c r="XBZ37" s="3"/>
      <c r="XCA37" s="3"/>
      <c r="XCB37" s="3"/>
      <c r="XCC37" s="3"/>
      <c r="XCD37" s="3"/>
      <c r="XCE37" s="3"/>
      <c r="XCF37" s="3"/>
      <c r="XCG37" s="3"/>
      <c r="XCH37" s="3"/>
      <c r="XCI37" s="3"/>
      <c r="XCJ37" s="3"/>
      <c r="XCK37" s="3"/>
      <c r="XCL37" s="3"/>
      <c r="XCM37" s="3"/>
      <c r="XCN37" s="3"/>
      <c r="XCO37" s="3"/>
      <c r="XCP37" s="3"/>
      <c r="XCQ37" s="3"/>
      <c r="XCR37" s="3"/>
      <c r="XCS37" s="3"/>
      <c r="XCT37" s="3"/>
      <c r="XCU37" s="3"/>
      <c r="XCV37" s="3"/>
      <c r="XCW37" s="3"/>
      <c r="XCX37" s="3"/>
      <c r="XCY37" s="3"/>
      <c r="XCZ37" s="3"/>
      <c r="XDA37" s="3"/>
      <c r="XDB37" s="3"/>
      <c r="XDC37" s="3"/>
      <c r="XDD37" s="3"/>
      <c r="XDE37" s="3"/>
      <c r="XDF37" s="3"/>
      <c r="XDG37" s="3"/>
      <c r="XDH37" s="3"/>
      <c r="XDI37" s="3"/>
      <c r="XDJ37" s="3"/>
      <c r="XDK37" s="3"/>
      <c r="XDL37" s="3"/>
      <c r="XDM37" s="3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</row>
    <row r="38" customFormat="1" customHeight="1" spans="1:16383">
      <c r="A38" s="114" t="s">
        <v>528</v>
      </c>
      <c r="B38" s="115" t="s">
        <v>573</v>
      </c>
      <c r="C38" s="115" t="s">
        <v>574</v>
      </c>
      <c r="D38" s="115" t="s">
        <v>575</v>
      </c>
      <c r="E38" s="115" t="s">
        <v>576</v>
      </c>
      <c r="F38" s="115" t="s">
        <v>577</v>
      </c>
      <c r="G38" s="115" t="s">
        <v>578</v>
      </c>
      <c r="H38" s="115" t="s">
        <v>378</v>
      </c>
      <c r="I38" s="3"/>
      <c r="J38" s="4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  <c r="CSP38" s="3"/>
      <c r="CSQ38" s="3"/>
      <c r="CSR38" s="3"/>
      <c r="CSS38" s="3"/>
      <c r="CST38" s="3"/>
      <c r="CSU38" s="3"/>
      <c r="CSV38" s="3"/>
      <c r="CSW38" s="3"/>
      <c r="CSX38" s="3"/>
      <c r="CSY38" s="3"/>
      <c r="CSZ38" s="3"/>
      <c r="CTA38" s="3"/>
      <c r="CTB38" s="3"/>
      <c r="CTC38" s="3"/>
      <c r="CTD38" s="3"/>
      <c r="CTE38" s="3"/>
      <c r="CTF38" s="3"/>
      <c r="CTG38" s="3"/>
      <c r="CTH38" s="3"/>
      <c r="CTI38" s="3"/>
      <c r="CTJ38" s="3"/>
      <c r="CTK38" s="3"/>
      <c r="CTL38" s="3"/>
      <c r="CTM38" s="3"/>
      <c r="CTN38" s="3"/>
      <c r="CTO38" s="3"/>
      <c r="CTP38" s="3"/>
      <c r="CTQ38" s="3"/>
      <c r="CTR38" s="3"/>
      <c r="CTS38" s="3"/>
      <c r="CTT38" s="3"/>
      <c r="CTU38" s="3"/>
      <c r="CTV38" s="3"/>
      <c r="CTW38" s="3"/>
      <c r="CTX38" s="3"/>
      <c r="CTY38" s="3"/>
      <c r="CTZ38" s="3"/>
      <c r="CUA38" s="3"/>
      <c r="CUB38" s="3"/>
      <c r="CUC38" s="3"/>
      <c r="CUD38" s="3"/>
      <c r="CUE38" s="3"/>
      <c r="CUF38" s="3"/>
      <c r="CUG38" s="3"/>
      <c r="CUH38" s="3"/>
      <c r="CUI38" s="3"/>
      <c r="CUJ38" s="3"/>
      <c r="CUK38" s="3"/>
      <c r="CUL38" s="3"/>
      <c r="CUM38" s="3"/>
      <c r="CUN38" s="3"/>
      <c r="CUO38" s="3"/>
      <c r="CUP38" s="3"/>
      <c r="CUQ38" s="3"/>
      <c r="CUR38" s="3"/>
      <c r="CUS38" s="3"/>
      <c r="CUT38" s="3"/>
      <c r="CUU38" s="3"/>
      <c r="CUV38" s="3"/>
      <c r="CUW38" s="3"/>
      <c r="CUX38" s="3"/>
      <c r="CUY38" s="3"/>
      <c r="CUZ38" s="3"/>
      <c r="CVA38" s="3"/>
      <c r="CVB38" s="3"/>
      <c r="CVC38" s="3"/>
      <c r="CVD38" s="3"/>
      <c r="CVE38" s="3"/>
      <c r="CVF38" s="3"/>
      <c r="CVG38" s="3"/>
      <c r="CVH38" s="3"/>
      <c r="CVI38" s="3"/>
      <c r="CVJ38" s="3"/>
      <c r="CVK38" s="3"/>
      <c r="CVL38" s="3"/>
      <c r="CVM38" s="3"/>
      <c r="CVN38" s="3"/>
      <c r="CVO38" s="3"/>
      <c r="CVP38" s="3"/>
      <c r="CVQ38" s="3"/>
      <c r="CVR38" s="3"/>
      <c r="CVS38" s="3"/>
      <c r="CVT38" s="3"/>
      <c r="CVU38" s="3"/>
      <c r="CVV38" s="3"/>
      <c r="CVW38" s="3"/>
      <c r="CVX38" s="3"/>
      <c r="CVY38" s="3"/>
      <c r="CVZ38" s="3"/>
      <c r="CWA38" s="3"/>
      <c r="CWB38" s="3"/>
      <c r="CWC38" s="3"/>
      <c r="CWD38" s="3"/>
      <c r="CWE38" s="3"/>
      <c r="CWF38" s="3"/>
      <c r="CWG38" s="3"/>
      <c r="CWH38" s="3"/>
      <c r="CWI38" s="3"/>
      <c r="CWJ38" s="3"/>
      <c r="CWK38" s="3"/>
      <c r="CWL38" s="3"/>
      <c r="CWM38" s="3"/>
      <c r="CWN38" s="3"/>
      <c r="CWO38" s="3"/>
      <c r="CWP38" s="3"/>
      <c r="CWQ38" s="3"/>
      <c r="CWR38" s="3"/>
      <c r="CWS38" s="3"/>
      <c r="CWT38" s="3"/>
      <c r="CWU38" s="3"/>
      <c r="CWV38" s="3"/>
      <c r="CWW38" s="3"/>
      <c r="CWX38" s="3"/>
      <c r="CWY38" s="3"/>
      <c r="CWZ38" s="3"/>
      <c r="CXA38" s="3"/>
      <c r="CXB38" s="3"/>
      <c r="CXC38" s="3"/>
      <c r="CXD38" s="3"/>
      <c r="CXE38" s="3"/>
      <c r="CXF38" s="3"/>
      <c r="CXG38" s="3"/>
      <c r="CXH38" s="3"/>
      <c r="CXI38" s="3"/>
      <c r="CXJ38" s="3"/>
      <c r="CXK38" s="3"/>
      <c r="CXL38" s="3"/>
      <c r="CXM38" s="3"/>
      <c r="CXN38" s="3"/>
      <c r="CXO38" s="3"/>
      <c r="CXP38" s="3"/>
      <c r="CXQ38" s="3"/>
      <c r="CXR38" s="3"/>
      <c r="CXS38" s="3"/>
      <c r="CXT38" s="3"/>
      <c r="CXU38" s="3"/>
      <c r="CXV38" s="3"/>
      <c r="CXW38" s="3"/>
      <c r="CXX38" s="3"/>
      <c r="CXY38" s="3"/>
      <c r="CXZ38" s="3"/>
      <c r="CYA38" s="3"/>
      <c r="CYB38" s="3"/>
      <c r="CYC38" s="3"/>
      <c r="CYD38" s="3"/>
      <c r="CYE38" s="3"/>
      <c r="CYF38" s="3"/>
      <c r="CYG38" s="3"/>
      <c r="CYH38" s="3"/>
      <c r="CYI38" s="3"/>
      <c r="CYJ38" s="3"/>
      <c r="CYK38" s="3"/>
      <c r="CYL38" s="3"/>
      <c r="CYM38" s="3"/>
      <c r="CYN38" s="3"/>
      <c r="CYO38" s="3"/>
      <c r="CYP38" s="3"/>
      <c r="CYQ38" s="3"/>
      <c r="CYR38" s="3"/>
      <c r="CYS38" s="3"/>
      <c r="CYT38" s="3"/>
      <c r="CYU38" s="3"/>
      <c r="CYV38" s="3"/>
      <c r="CYW38" s="3"/>
      <c r="CYX38" s="3"/>
      <c r="CYY38" s="3"/>
      <c r="CYZ38" s="3"/>
      <c r="CZA38" s="3"/>
      <c r="CZB38" s="3"/>
      <c r="CZC38" s="3"/>
      <c r="CZD38" s="3"/>
      <c r="CZE38" s="3"/>
      <c r="CZF38" s="3"/>
      <c r="CZG38" s="3"/>
      <c r="CZH38" s="3"/>
      <c r="CZI38" s="3"/>
      <c r="CZJ38" s="3"/>
      <c r="CZK38" s="3"/>
      <c r="CZL38" s="3"/>
      <c r="CZM38" s="3"/>
      <c r="CZN38" s="3"/>
      <c r="CZO38" s="3"/>
      <c r="CZP38" s="3"/>
      <c r="CZQ38" s="3"/>
      <c r="CZR38" s="3"/>
      <c r="CZS38" s="3"/>
      <c r="CZT38" s="3"/>
      <c r="CZU38" s="3"/>
      <c r="CZV38" s="3"/>
      <c r="CZW38" s="3"/>
      <c r="CZX38" s="3"/>
      <c r="CZY38" s="3"/>
      <c r="CZZ38" s="3"/>
      <c r="DAA38" s="3"/>
      <c r="DAB38" s="3"/>
      <c r="DAC38" s="3"/>
      <c r="DAD38" s="3"/>
      <c r="DAE38" s="3"/>
      <c r="DAF38" s="3"/>
      <c r="DAG38" s="3"/>
      <c r="DAH38" s="3"/>
      <c r="DAI38" s="3"/>
      <c r="DAJ38" s="3"/>
      <c r="DAK38" s="3"/>
      <c r="DAL38" s="3"/>
      <c r="DAM38" s="3"/>
      <c r="DAN38" s="3"/>
      <c r="DAO38" s="3"/>
      <c r="DAP38" s="3"/>
      <c r="DAQ38" s="3"/>
      <c r="DAR38" s="3"/>
      <c r="DAS38" s="3"/>
      <c r="DAT38" s="3"/>
      <c r="DAU38" s="3"/>
      <c r="DAV38" s="3"/>
      <c r="DAW38" s="3"/>
      <c r="DAX38" s="3"/>
      <c r="DAY38" s="3"/>
      <c r="DAZ38" s="3"/>
      <c r="DBA38" s="3"/>
      <c r="DBB38" s="3"/>
      <c r="DBC38" s="3"/>
      <c r="DBD38" s="3"/>
      <c r="DBE38" s="3"/>
      <c r="DBF38" s="3"/>
      <c r="DBG38" s="3"/>
      <c r="DBH38" s="3"/>
      <c r="DBI38" s="3"/>
      <c r="DBJ38" s="3"/>
      <c r="DBK38" s="3"/>
      <c r="DBL38" s="3"/>
      <c r="DBM38" s="3"/>
      <c r="DBN38" s="3"/>
      <c r="DBO38" s="3"/>
      <c r="DBP38" s="3"/>
      <c r="DBQ38" s="3"/>
      <c r="DBR38" s="3"/>
      <c r="DBS38" s="3"/>
      <c r="DBT38" s="3"/>
      <c r="DBU38" s="3"/>
      <c r="DBV38" s="3"/>
      <c r="DBW38" s="3"/>
      <c r="DBX38" s="3"/>
      <c r="DBY38" s="3"/>
      <c r="DBZ38" s="3"/>
      <c r="DCA38" s="3"/>
      <c r="DCB38" s="3"/>
      <c r="DCC38" s="3"/>
      <c r="DCD38" s="3"/>
      <c r="DCE38" s="3"/>
      <c r="DCF38" s="3"/>
      <c r="DCG38" s="3"/>
      <c r="DCH38" s="3"/>
      <c r="DCI38" s="3"/>
      <c r="DCJ38" s="3"/>
      <c r="DCK38" s="3"/>
      <c r="DCL38" s="3"/>
      <c r="DCM38" s="3"/>
      <c r="DCN38" s="3"/>
      <c r="DCO38" s="3"/>
      <c r="DCP38" s="3"/>
      <c r="DCQ38" s="3"/>
      <c r="DCR38" s="3"/>
      <c r="DCS38" s="3"/>
      <c r="DCT38" s="3"/>
      <c r="DCU38" s="3"/>
      <c r="DCV38" s="3"/>
      <c r="DCW38" s="3"/>
      <c r="DCX38" s="3"/>
      <c r="DCY38" s="3"/>
      <c r="DCZ38" s="3"/>
      <c r="DDA38" s="3"/>
      <c r="DDB38" s="3"/>
      <c r="DDC38" s="3"/>
      <c r="DDD38" s="3"/>
      <c r="DDE38" s="3"/>
      <c r="DDF38" s="3"/>
      <c r="DDG38" s="3"/>
      <c r="DDH38" s="3"/>
      <c r="DDI38" s="3"/>
      <c r="DDJ38" s="3"/>
      <c r="DDK38" s="3"/>
      <c r="DDL38" s="3"/>
      <c r="DDM38" s="3"/>
      <c r="DDN38" s="3"/>
      <c r="DDO38" s="3"/>
      <c r="DDP38" s="3"/>
      <c r="DDQ38" s="3"/>
      <c r="DDR38" s="3"/>
      <c r="DDS38" s="3"/>
      <c r="DDT38" s="3"/>
      <c r="DDU38" s="3"/>
      <c r="DDV38" s="3"/>
      <c r="DDW38" s="3"/>
      <c r="DDX38" s="3"/>
      <c r="DDY38" s="3"/>
      <c r="DDZ38" s="3"/>
      <c r="DEA38" s="3"/>
      <c r="DEB38" s="3"/>
      <c r="DEC38" s="3"/>
      <c r="DED38" s="3"/>
      <c r="DEE38" s="3"/>
      <c r="DEF38" s="3"/>
      <c r="DEG38" s="3"/>
      <c r="DEH38" s="3"/>
      <c r="DEI38" s="3"/>
      <c r="DEJ38" s="3"/>
      <c r="DEK38" s="3"/>
      <c r="DEL38" s="3"/>
      <c r="DEM38" s="3"/>
      <c r="DEN38" s="3"/>
      <c r="DEO38" s="3"/>
      <c r="DEP38" s="3"/>
      <c r="DEQ38" s="3"/>
      <c r="DER38" s="3"/>
      <c r="DES38" s="3"/>
      <c r="DET38" s="3"/>
      <c r="DEU38" s="3"/>
      <c r="DEV38" s="3"/>
      <c r="DEW38" s="3"/>
      <c r="DEX38" s="3"/>
      <c r="DEY38" s="3"/>
      <c r="DEZ38" s="3"/>
      <c r="DFA38" s="3"/>
      <c r="DFB38" s="3"/>
      <c r="DFC38" s="3"/>
      <c r="DFD38" s="3"/>
      <c r="DFE38" s="3"/>
      <c r="DFF38" s="3"/>
      <c r="DFG38" s="3"/>
      <c r="DFH38" s="3"/>
      <c r="DFI38" s="3"/>
      <c r="DFJ38" s="3"/>
      <c r="DFK38" s="3"/>
      <c r="DFL38" s="3"/>
      <c r="DFM38" s="3"/>
      <c r="DFN38" s="3"/>
      <c r="DFO38" s="3"/>
      <c r="DFP38" s="3"/>
      <c r="DFQ38" s="3"/>
      <c r="DFR38" s="3"/>
      <c r="DFS38" s="3"/>
      <c r="DFT38" s="3"/>
      <c r="DFU38" s="3"/>
      <c r="DFV38" s="3"/>
      <c r="DFW38" s="3"/>
      <c r="DFX38" s="3"/>
      <c r="DFY38" s="3"/>
      <c r="DFZ38" s="3"/>
      <c r="DGA38" s="3"/>
      <c r="DGB38" s="3"/>
      <c r="DGC38" s="3"/>
      <c r="DGD38" s="3"/>
      <c r="DGE38" s="3"/>
      <c r="DGF38" s="3"/>
      <c r="DGG38" s="3"/>
      <c r="DGH38" s="3"/>
      <c r="DGI38" s="3"/>
      <c r="DGJ38" s="3"/>
      <c r="DGK38" s="3"/>
      <c r="DGL38" s="3"/>
      <c r="DGM38" s="3"/>
      <c r="DGN38" s="3"/>
      <c r="DGO38" s="3"/>
      <c r="DGP38" s="3"/>
      <c r="DGQ38" s="3"/>
      <c r="DGR38" s="3"/>
      <c r="DGS38" s="3"/>
      <c r="DGT38" s="3"/>
      <c r="DGU38" s="3"/>
      <c r="DGV38" s="3"/>
      <c r="DGW38" s="3"/>
      <c r="DGX38" s="3"/>
      <c r="DGY38" s="3"/>
      <c r="DGZ38" s="3"/>
      <c r="DHA38" s="3"/>
      <c r="DHB38" s="3"/>
      <c r="DHC38" s="3"/>
      <c r="DHD38" s="3"/>
      <c r="DHE38" s="3"/>
      <c r="DHF38" s="3"/>
      <c r="DHG38" s="3"/>
      <c r="DHH38" s="3"/>
      <c r="DHI38" s="3"/>
      <c r="DHJ38" s="3"/>
      <c r="DHK38" s="3"/>
      <c r="DHL38" s="3"/>
      <c r="DHM38" s="3"/>
      <c r="DHN38" s="3"/>
      <c r="DHO38" s="3"/>
      <c r="DHP38" s="3"/>
      <c r="DHQ38" s="3"/>
      <c r="DHR38" s="3"/>
      <c r="DHS38" s="3"/>
      <c r="DHT38" s="3"/>
      <c r="DHU38" s="3"/>
      <c r="DHV38" s="3"/>
      <c r="DHW38" s="3"/>
      <c r="DHX38" s="3"/>
      <c r="DHY38" s="3"/>
      <c r="DHZ38" s="3"/>
      <c r="DIA38" s="3"/>
      <c r="DIB38" s="3"/>
      <c r="DIC38" s="3"/>
      <c r="DID38" s="3"/>
      <c r="DIE38" s="3"/>
      <c r="DIF38" s="3"/>
      <c r="DIG38" s="3"/>
      <c r="DIH38" s="3"/>
      <c r="DII38" s="3"/>
      <c r="DIJ38" s="3"/>
      <c r="DIK38" s="3"/>
      <c r="DIL38" s="3"/>
      <c r="DIM38" s="3"/>
      <c r="DIN38" s="3"/>
      <c r="DIO38" s="3"/>
      <c r="DIP38" s="3"/>
      <c r="DIQ38" s="3"/>
      <c r="DIR38" s="3"/>
      <c r="DIS38" s="3"/>
      <c r="DIT38" s="3"/>
      <c r="DIU38" s="3"/>
      <c r="DIV38" s="3"/>
      <c r="DIW38" s="3"/>
      <c r="DIX38" s="3"/>
      <c r="DIY38" s="3"/>
      <c r="DIZ38" s="3"/>
      <c r="DJA38" s="3"/>
      <c r="DJB38" s="3"/>
      <c r="DJC38" s="3"/>
      <c r="DJD38" s="3"/>
      <c r="DJE38" s="3"/>
      <c r="DJF38" s="3"/>
      <c r="DJG38" s="3"/>
      <c r="DJH38" s="3"/>
      <c r="DJI38" s="3"/>
      <c r="DJJ38" s="3"/>
      <c r="DJK38" s="3"/>
      <c r="DJL38" s="3"/>
      <c r="DJM38" s="3"/>
      <c r="DJN38" s="3"/>
      <c r="DJO38" s="3"/>
      <c r="DJP38" s="3"/>
      <c r="DJQ38" s="3"/>
      <c r="DJR38" s="3"/>
      <c r="DJS38" s="3"/>
      <c r="DJT38" s="3"/>
      <c r="DJU38" s="3"/>
      <c r="DJV38" s="3"/>
      <c r="DJW38" s="3"/>
      <c r="DJX38" s="3"/>
      <c r="DJY38" s="3"/>
      <c r="DJZ38" s="3"/>
      <c r="DKA38" s="3"/>
      <c r="DKB38" s="3"/>
      <c r="DKC38" s="3"/>
      <c r="DKD38" s="3"/>
      <c r="DKE38" s="3"/>
      <c r="DKF38" s="3"/>
      <c r="DKG38" s="3"/>
      <c r="DKH38" s="3"/>
      <c r="DKI38" s="3"/>
      <c r="DKJ38" s="3"/>
      <c r="DKK38" s="3"/>
      <c r="DKL38" s="3"/>
      <c r="DKM38" s="3"/>
      <c r="DKN38" s="3"/>
      <c r="DKO38" s="3"/>
      <c r="DKP38" s="3"/>
      <c r="DKQ38" s="3"/>
      <c r="DKR38" s="3"/>
      <c r="DKS38" s="3"/>
      <c r="DKT38" s="3"/>
      <c r="DKU38" s="3"/>
      <c r="DKV38" s="3"/>
      <c r="DKW38" s="3"/>
      <c r="DKX38" s="3"/>
      <c r="DKY38" s="3"/>
      <c r="DKZ38" s="3"/>
      <c r="DLA38" s="3"/>
      <c r="DLB38" s="3"/>
      <c r="DLC38" s="3"/>
      <c r="DLD38" s="3"/>
      <c r="DLE38" s="3"/>
      <c r="DLF38" s="3"/>
      <c r="DLG38" s="3"/>
      <c r="DLH38" s="3"/>
      <c r="DLI38" s="3"/>
      <c r="DLJ38" s="3"/>
      <c r="DLK38" s="3"/>
      <c r="DLL38" s="3"/>
      <c r="DLM38" s="3"/>
      <c r="DLN38" s="3"/>
      <c r="DLO38" s="3"/>
      <c r="DLP38" s="3"/>
      <c r="DLQ38" s="3"/>
      <c r="DLR38" s="3"/>
      <c r="DLS38" s="3"/>
      <c r="DLT38" s="3"/>
      <c r="DLU38" s="3"/>
      <c r="DLV38" s="3"/>
      <c r="DLW38" s="3"/>
      <c r="DLX38" s="3"/>
      <c r="DLY38" s="3"/>
      <c r="DLZ38" s="3"/>
      <c r="DMA38" s="3"/>
      <c r="DMB38" s="3"/>
      <c r="DMC38" s="3"/>
      <c r="DMD38" s="3"/>
      <c r="DME38" s="3"/>
      <c r="DMF38" s="3"/>
      <c r="DMG38" s="3"/>
      <c r="DMH38" s="3"/>
      <c r="DMI38" s="3"/>
      <c r="DMJ38" s="3"/>
      <c r="DMK38" s="3"/>
      <c r="DML38" s="3"/>
      <c r="DMM38" s="3"/>
      <c r="DMN38" s="3"/>
      <c r="DMO38" s="3"/>
      <c r="DMP38" s="3"/>
      <c r="DMQ38" s="3"/>
      <c r="DMR38" s="3"/>
      <c r="DMS38" s="3"/>
      <c r="DMT38" s="3"/>
      <c r="DMU38" s="3"/>
      <c r="DMV38" s="3"/>
      <c r="DMW38" s="3"/>
      <c r="DMX38" s="3"/>
      <c r="DMY38" s="3"/>
      <c r="DMZ38" s="3"/>
      <c r="DNA38" s="3"/>
      <c r="DNB38" s="3"/>
      <c r="DNC38" s="3"/>
      <c r="DND38" s="3"/>
      <c r="DNE38" s="3"/>
      <c r="DNF38" s="3"/>
      <c r="DNG38" s="3"/>
      <c r="DNH38" s="3"/>
      <c r="DNI38" s="3"/>
      <c r="DNJ38" s="3"/>
      <c r="DNK38" s="3"/>
      <c r="DNL38" s="3"/>
      <c r="DNM38" s="3"/>
      <c r="DNN38" s="3"/>
      <c r="DNO38" s="3"/>
      <c r="DNP38" s="3"/>
      <c r="DNQ38" s="3"/>
      <c r="DNR38" s="3"/>
      <c r="DNS38" s="3"/>
      <c r="DNT38" s="3"/>
      <c r="DNU38" s="3"/>
      <c r="DNV38" s="3"/>
      <c r="DNW38" s="3"/>
      <c r="DNX38" s="3"/>
      <c r="DNY38" s="3"/>
      <c r="DNZ38" s="3"/>
      <c r="DOA38" s="3"/>
      <c r="DOB38" s="3"/>
      <c r="DOC38" s="3"/>
      <c r="DOD38" s="3"/>
      <c r="DOE38" s="3"/>
      <c r="DOF38" s="3"/>
      <c r="DOG38" s="3"/>
      <c r="DOH38" s="3"/>
      <c r="DOI38" s="3"/>
      <c r="DOJ38" s="3"/>
      <c r="DOK38" s="3"/>
      <c r="DOL38" s="3"/>
      <c r="DOM38" s="3"/>
      <c r="DON38" s="3"/>
      <c r="DOO38" s="3"/>
      <c r="DOP38" s="3"/>
      <c r="DOQ38" s="3"/>
      <c r="DOR38" s="3"/>
      <c r="DOS38" s="3"/>
      <c r="DOT38" s="3"/>
      <c r="DOU38" s="3"/>
      <c r="DOV38" s="3"/>
      <c r="DOW38" s="3"/>
      <c r="DOX38" s="3"/>
      <c r="DOY38" s="3"/>
      <c r="DOZ38" s="3"/>
      <c r="DPA38" s="3"/>
      <c r="DPB38" s="3"/>
      <c r="DPC38" s="3"/>
      <c r="DPD38" s="3"/>
      <c r="DPE38" s="3"/>
      <c r="DPF38" s="3"/>
      <c r="DPG38" s="3"/>
      <c r="DPH38" s="3"/>
      <c r="DPI38" s="3"/>
      <c r="DPJ38" s="3"/>
      <c r="DPK38" s="3"/>
      <c r="DPL38" s="3"/>
      <c r="DPM38" s="3"/>
      <c r="DPN38" s="3"/>
      <c r="DPO38" s="3"/>
      <c r="DPP38" s="3"/>
      <c r="DPQ38" s="3"/>
      <c r="DPR38" s="3"/>
      <c r="DPS38" s="3"/>
      <c r="DPT38" s="3"/>
      <c r="DPU38" s="3"/>
      <c r="DPV38" s="3"/>
      <c r="DPW38" s="3"/>
      <c r="DPX38" s="3"/>
      <c r="DPY38" s="3"/>
      <c r="DPZ38" s="3"/>
      <c r="DQA38" s="3"/>
      <c r="DQB38" s="3"/>
      <c r="DQC38" s="3"/>
      <c r="DQD38" s="3"/>
      <c r="DQE38" s="3"/>
      <c r="DQF38" s="3"/>
      <c r="DQG38" s="3"/>
      <c r="DQH38" s="3"/>
      <c r="DQI38" s="3"/>
      <c r="DQJ38" s="3"/>
      <c r="DQK38" s="3"/>
      <c r="DQL38" s="3"/>
      <c r="DQM38" s="3"/>
      <c r="DQN38" s="3"/>
      <c r="DQO38" s="3"/>
      <c r="DQP38" s="3"/>
      <c r="DQQ38" s="3"/>
      <c r="DQR38" s="3"/>
      <c r="DQS38" s="3"/>
      <c r="DQT38" s="3"/>
      <c r="DQU38" s="3"/>
      <c r="DQV38" s="3"/>
      <c r="DQW38" s="3"/>
      <c r="DQX38" s="3"/>
      <c r="DQY38" s="3"/>
      <c r="DQZ38" s="3"/>
      <c r="DRA38" s="3"/>
      <c r="DRB38" s="3"/>
      <c r="DRC38" s="3"/>
      <c r="DRD38" s="3"/>
      <c r="DRE38" s="3"/>
      <c r="DRF38" s="3"/>
      <c r="DRG38" s="3"/>
      <c r="DRH38" s="3"/>
      <c r="DRI38" s="3"/>
      <c r="DRJ38" s="3"/>
      <c r="DRK38" s="3"/>
      <c r="DRL38" s="3"/>
      <c r="DRM38" s="3"/>
      <c r="DRN38" s="3"/>
      <c r="DRO38" s="3"/>
      <c r="DRP38" s="3"/>
      <c r="DRQ38" s="3"/>
      <c r="DRR38" s="3"/>
      <c r="DRS38" s="3"/>
      <c r="DRT38" s="3"/>
      <c r="DRU38" s="3"/>
      <c r="DRV38" s="3"/>
      <c r="DRW38" s="3"/>
      <c r="DRX38" s="3"/>
      <c r="DRY38" s="3"/>
      <c r="DRZ38" s="3"/>
      <c r="DSA38" s="3"/>
      <c r="DSB38" s="3"/>
      <c r="DSC38" s="3"/>
      <c r="DSD38" s="3"/>
      <c r="DSE38" s="3"/>
      <c r="DSF38" s="3"/>
      <c r="DSG38" s="3"/>
      <c r="DSH38" s="3"/>
      <c r="DSI38" s="3"/>
      <c r="DSJ38" s="3"/>
      <c r="DSK38" s="3"/>
      <c r="DSL38" s="3"/>
      <c r="DSM38" s="3"/>
      <c r="DSN38" s="3"/>
      <c r="DSO38" s="3"/>
      <c r="DSP38" s="3"/>
      <c r="DSQ38" s="3"/>
      <c r="DSR38" s="3"/>
      <c r="DSS38" s="3"/>
      <c r="DST38" s="3"/>
      <c r="DSU38" s="3"/>
      <c r="DSV38" s="3"/>
      <c r="DSW38" s="3"/>
      <c r="DSX38" s="3"/>
      <c r="DSY38" s="3"/>
      <c r="DSZ38" s="3"/>
      <c r="DTA38" s="3"/>
      <c r="DTB38" s="3"/>
      <c r="DTC38" s="3"/>
      <c r="DTD38" s="3"/>
      <c r="DTE38" s="3"/>
      <c r="DTF38" s="3"/>
      <c r="DTG38" s="3"/>
      <c r="DTH38" s="3"/>
      <c r="DTI38" s="3"/>
      <c r="DTJ38" s="3"/>
      <c r="DTK38" s="3"/>
      <c r="DTL38" s="3"/>
      <c r="DTM38" s="3"/>
      <c r="DTN38" s="3"/>
      <c r="DTO38" s="3"/>
      <c r="DTP38" s="3"/>
      <c r="DTQ38" s="3"/>
      <c r="DTR38" s="3"/>
      <c r="DTS38" s="3"/>
      <c r="DTT38" s="3"/>
      <c r="DTU38" s="3"/>
      <c r="DTV38" s="3"/>
      <c r="DTW38" s="3"/>
      <c r="DTX38" s="3"/>
      <c r="DTY38" s="3"/>
      <c r="DTZ38" s="3"/>
      <c r="DUA38" s="3"/>
      <c r="DUB38" s="3"/>
      <c r="DUC38" s="3"/>
      <c r="DUD38" s="3"/>
      <c r="DUE38" s="3"/>
      <c r="DUF38" s="3"/>
      <c r="DUG38" s="3"/>
      <c r="DUH38" s="3"/>
      <c r="DUI38" s="3"/>
      <c r="DUJ38" s="3"/>
      <c r="DUK38" s="3"/>
      <c r="DUL38" s="3"/>
      <c r="DUM38" s="3"/>
      <c r="DUN38" s="3"/>
      <c r="DUO38" s="3"/>
      <c r="DUP38" s="3"/>
      <c r="DUQ38" s="3"/>
      <c r="DUR38" s="3"/>
      <c r="DUS38" s="3"/>
      <c r="DUT38" s="3"/>
      <c r="DUU38" s="3"/>
      <c r="DUV38" s="3"/>
      <c r="DUW38" s="3"/>
      <c r="DUX38" s="3"/>
      <c r="DUY38" s="3"/>
      <c r="DUZ38" s="3"/>
      <c r="DVA38" s="3"/>
      <c r="DVB38" s="3"/>
      <c r="DVC38" s="3"/>
      <c r="DVD38" s="3"/>
      <c r="DVE38" s="3"/>
      <c r="DVF38" s="3"/>
      <c r="DVG38" s="3"/>
      <c r="DVH38" s="3"/>
      <c r="DVI38" s="3"/>
      <c r="DVJ38" s="3"/>
      <c r="DVK38" s="3"/>
      <c r="DVL38" s="3"/>
      <c r="DVM38" s="3"/>
      <c r="DVN38" s="3"/>
      <c r="DVO38" s="3"/>
      <c r="DVP38" s="3"/>
      <c r="DVQ38" s="3"/>
      <c r="DVR38" s="3"/>
      <c r="DVS38" s="3"/>
      <c r="DVT38" s="3"/>
      <c r="DVU38" s="3"/>
      <c r="DVV38" s="3"/>
      <c r="DVW38" s="3"/>
      <c r="DVX38" s="3"/>
      <c r="DVY38" s="3"/>
      <c r="DVZ38" s="3"/>
      <c r="DWA38" s="3"/>
      <c r="DWB38" s="3"/>
      <c r="DWC38" s="3"/>
      <c r="DWD38" s="3"/>
      <c r="DWE38" s="3"/>
      <c r="DWF38" s="3"/>
      <c r="DWG38" s="3"/>
      <c r="DWH38" s="3"/>
      <c r="DWI38" s="3"/>
      <c r="DWJ38" s="3"/>
      <c r="DWK38" s="3"/>
      <c r="DWL38" s="3"/>
      <c r="DWM38" s="3"/>
      <c r="DWN38" s="3"/>
      <c r="DWO38" s="3"/>
      <c r="DWP38" s="3"/>
      <c r="DWQ38" s="3"/>
      <c r="DWR38" s="3"/>
      <c r="DWS38" s="3"/>
      <c r="DWT38" s="3"/>
      <c r="DWU38" s="3"/>
      <c r="DWV38" s="3"/>
      <c r="DWW38" s="3"/>
      <c r="DWX38" s="3"/>
      <c r="DWY38" s="3"/>
      <c r="DWZ38" s="3"/>
      <c r="DXA38" s="3"/>
      <c r="DXB38" s="3"/>
      <c r="DXC38" s="3"/>
      <c r="DXD38" s="3"/>
      <c r="DXE38" s="3"/>
      <c r="DXF38" s="3"/>
      <c r="DXG38" s="3"/>
      <c r="DXH38" s="3"/>
      <c r="DXI38" s="3"/>
      <c r="DXJ38" s="3"/>
      <c r="DXK38" s="3"/>
      <c r="DXL38" s="3"/>
      <c r="DXM38" s="3"/>
      <c r="DXN38" s="3"/>
      <c r="DXO38" s="3"/>
      <c r="DXP38" s="3"/>
      <c r="DXQ38" s="3"/>
      <c r="DXR38" s="3"/>
      <c r="DXS38" s="3"/>
      <c r="DXT38" s="3"/>
      <c r="DXU38" s="3"/>
      <c r="DXV38" s="3"/>
      <c r="DXW38" s="3"/>
      <c r="DXX38" s="3"/>
      <c r="DXY38" s="3"/>
      <c r="DXZ38" s="3"/>
      <c r="DYA38" s="3"/>
      <c r="DYB38" s="3"/>
      <c r="DYC38" s="3"/>
      <c r="DYD38" s="3"/>
      <c r="DYE38" s="3"/>
      <c r="DYF38" s="3"/>
      <c r="DYG38" s="3"/>
      <c r="DYH38" s="3"/>
      <c r="DYI38" s="3"/>
      <c r="DYJ38" s="3"/>
      <c r="DYK38" s="3"/>
      <c r="DYL38" s="3"/>
      <c r="DYM38" s="3"/>
      <c r="DYN38" s="3"/>
      <c r="DYO38" s="3"/>
      <c r="DYP38" s="3"/>
      <c r="DYQ38" s="3"/>
      <c r="DYR38" s="3"/>
      <c r="DYS38" s="3"/>
      <c r="DYT38" s="3"/>
      <c r="DYU38" s="3"/>
      <c r="DYV38" s="3"/>
      <c r="DYW38" s="3"/>
      <c r="DYX38" s="3"/>
      <c r="DYY38" s="3"/>
      <c r="DYZ38" s="3"/>
      <c r="DZA38" s="3"/>
      <c r="DZB38" s="3"/>
      <c r="DZC38" s="3"/>
      <c r="DZD38" s="3"/>
      <c r="DZE38" s="3"/>
      <c r="DZF38" s="3"/>
      <c r="DZG38" s="3"/>
      <c r="DZH38" s="3"/>
      <c r="DZI38" s="3"/>
      <c r="DZJ38" s="3"/>
      <c r="DZK38" s="3"/>
      <c r="DZL38" s="3"/>
      <c r="DZM38" s="3"/>
      <c r="DZN38" s="3"/>
      <c r="DZO38" s="3"/>
      <c r="DZP38" s="3"/>
      <c r="DZQ38" s="3"/>
      <c r="DZR38" s="3"/>
      <c r="DZS38" s="3"/>
      <c r="DZT38" s="3"/>
      <c r="DZU38" s="3"/>
      <c r="DZV38" s="3"/>
      <c r="DZW38" s="3"/>
      <c r="DZX38" s="3"/>
      <c r="DZY38" s="3"/>
      <c r="DZZ38" s="3"/>
      <c r="EAA38" s="3"/>
      <c r="EAB38" s="3"/>
      <c r="EAC38" s="3"/>
      <c r="EAD38" s="3"/>
      <c r="EAE38" s="3"/>
      <c r="EAF38" s="3"/>
      <c r="EAG38" s="3"/>
      <c r="EAH38" s="3"/>
      <c r="EAI38" s="3"/>
      <c r="EAJ38" s="3"/>
      <c r="EAK38" s="3"/>
      <c r="EAL38" s="3"/>
      <c r="EAM38" s="3"/>
      <c r="EAN38" s="3"/>
      <c r="EAO38" s="3"/>
      <c r="EAP38" s="3"/>
      <c r="EAQ38" s="3"/>
      <c r="EAR38" s="3"/>
      <c r="EAS38" s="3"/>
      <c r="EAT38" s="3"/>
      <c r="EAU38" s="3"/>
      <c r="EAV38" s="3"/>
      <c r="EAW38" s="3"/>
      <c r="EAX38" s="3"/>
      <c r="EAY38" s="3"/>
      <c r="EAZ38" s="3"/>
      <c r="EBA38" s="3"/>
      <c r="EBB38" s="3"/>
      <c r="EBC38" s="3"/>
      <c r="EBD38" s="3"/>
      <c r="EBE38" s="3"/>
      <c r="EBF38" s="3"/>
      <c r="EBG38" s="3"/>
      <c r="EBH38" s="3"/>
      <c r="EBI38" s="3"/>
      <c r="EBJ38" s="3"/>
      <c r="EBK38" s="3"/>
      <c r="EBL38" s="3"/>
      <c r="EBM38" s="3"/>
      <c r="EBN38" s="3"/>
      <c r="EBO38" s="3"/>
      <c r="EBP38" s="3"/>
      <c r="EBQ38" s="3"/>
      <c r="EBR38" s="3"/>
      <c r="EBS38" s="3"/>
      <c r="EBT38" s="3"/>
      <c r="EBU38" s="3"/>
      <c r="EBV38" s="3"/>
      <c r="EBW38" s="3"/>
      <c r="EBX38" s="3"/>
      <c r="EBY38" s="3"/>
      <c r="EBZ38" s="3"/>
      <c r="ECA38" s="3"/>
      <c r="ECB38" s="3"/>
      <c r="ECC38" s="3"/>
      <c r="ECD38" s="3"/>
      <c r="ECE38" s="3"/>
      <c r="ECF38" s="3"/>
      <c r="ECG38" s="3"/>
      <c r="ECH38" s="3"/>
      <c r="ECI38" s="3"/>
      <c r="ECJ38" s="3"/>
      <c r="ECK38" s="3"/>
      <c r="ECL38" s="3"/>
      <c r="ECM38" s="3"/>
      <c r="ECN38" s="3"/>
      <c r="ECO38" s="3"/>
      <c r="ECP38" s="3"/>
      <c r="ECQ38" s="3"/>
      <c r="ECR38" s="3"/>
      <c r="ECS38" s="3"/>
      <c r="ECT38" s="3"/>
      <c r="ECU38" s="3"/>
      <c r="ECV38" s="3"/>
      <c r="ECW38" s="3"/>
      <c r="ECX38" s="3"/>
      <c r="ECY38" s="3"/>
      <c r="ECZ38" s="3"/>
      <c r="EDA38" s="3"/>
      <c r="EDB38" s="3"/>
      <c r="EDC38" s="3"/>
      <c r="EDD38" s="3"/>
      <c r="EDE38" s="3"/>
      <c r="EDF38" s="3"/>
      <c r="EDG38" s="3"/>
      <c r="EDH38" s="3"/>
      <c r="EDI38" s="3"/>
      <c r="EDJ38" s="3"/>
      <c r="EDK38" s="3"/>
      <c r="EDL38" s="3"/>
      <c r="EDM38" s="3"/>
      <c r="EDN38" s="3"/>
      <c r="EDO38" s="3"/>
      <c r="EDP38" s="3"/>
      <c r="EDQ38" s="3"/>
      <c r="EDR38" s="3"/>
      <c r="EDS38" s="3"/>
      <c r="EDT38" s="3"/>
      <c r="EDU38" s="3"/>
      <c r="EDV38" s="3"/>
      <c r="EDW38" s="3"/>
      <c r="EDX38" s="3"/>
      <c r="EDY38" s="3"/>
      <c r="EDZ38" s="3"/>
      <c r="EEA38" s="3"/>
      <c r="EEB38" s="3"/>
      <c r="EEC38" s="3"/>
      <c r="EED38" s="3"/>
      <c r="EEE38" s="3"/>
      <c r="EEF38" s="3"/>
      <c r="EEG38" s="3"/>
      <c r="EEH38" s="3"/>
      <c r="EEI38" s="3"/>
      <c r="EEJ38" s="3"/>
      <c r="EEK38" s="3"/>
      <c r="EEL38" s="3"/>
      <c r="EEM38" s="3"/>
      <c r="EEN38" s="3"/>
      <c r="EEO38" s="3"/>
      <c r="EEP38" s="3"/>
      <c r="EEQ38" s="3"/>
      <c r="EER38" s="3"/>
      <c r="EES38" s="3"/>
      <c r="EET38" s="3"/>
      <c r="EEU38" s="3"/>
      <c r="EEV38" s="3"/>
      <c r="EEW38" s="3"/>
      <c r="EEX38" s="3"/>
      <c r="EEY38" s="3"/>
      <c r="EEZ38" s="3"/>
      <c r="EFA38" s="3"/>
      <c r="EFB38" s="3"/>
      <c r="EFC38" s="3"/>
      <c r="EFD38" s="3"/>
      <c r="EFE38" s="3"/>
      <c r="EFF38" s="3"/>
      <c r="EFG38" s="3"/>
      <c r="EFH38" s="3"/>
      <c r="EFI38" s="3"/>
      <c r="EFJ38" s="3"/>
      <c r="EFK38" s="3"/>
      <c r="EFL38" s="3"/>
      <c r="EFM38" s="3"/>
      <c r="EFN38" s="3"/>
      <c r="EFO38" s="3"/>
      <c r="EFP38" s="3"/>
      <c r="EFQ38" s="3"/>
      <c r="EFR38" s="3"/>
      <c r="EFS38" s="3"/>
      <c r="EFT38" s="3"/>
      <c r="EFU38" s="3"/>
      <c r="EFV38" s="3"/>
      <c r="EFW38" s="3"/>
      <c r="EFX38" s="3"/>
      <c r="EFY38" s="3"/>
      <c r="EFZ38" s="3"/>
      <c r="EGA38" s="3"/>
      <c r="EGB38" s="3"/>
      <c r="EGC38" s="3"/>
      <c r="EGD38" s="3"/>
      <c r="EGE38" s="3"/>
      <c r="EGF38" s="3"/>
      <c r="EGG38" s="3"/>
      <c r="EGH38" s="3"/>
      <c r="EGI38" s="3"/>
      <c r="EGJ38" s="3"/>
      <c r="EGK38" s="3"/>
      <c r="EGL38" s="3"/>
      <c r="EGM38" s="3"/>
      <c r="EGN38" s="3"/>
      <c r="EGO38" s="3"/>
      <c r="EGP38" s="3"/>
      <c r="EGQ38" s="3"/>
      <c r="EGR38" s="3"/>
      <c r="EGS38" s="3"/>
      <c r="EGT38" s="3"/>
      <c r="EGU38" s="3"/>
      <c r="EGV38" s="3"/>
      <c r="EGW38" s="3"/>
      <c r="EGX38" s="3"/>
      <c r="EGY38" s="3"/>
      <c r="EGZ38" s="3"/>
      <c r="EHA38" s="3"/>
      <c r="EHB38" s="3"/>
      <c r="EHC38" s="3"/>
      <c r="EHD38" s="3"/>
      <c r="EHE38" s="3"/>
      <c r="EHF38" s="3"/>
      <c r="EHG38" s="3"/>
      <c r="EHH38" s="3"/>
      <c r="EHI38" s="3"/>
      <c r="EHJ38" s="3"/>
      <c r="EHK38" s="3"/>
      <c r="EHL38" s="3"/>
      <c r="EHM38" s="3"/>
      <c r="EHN38" s="3"/>
      <c r="EHO38" s="3"/>
      <c r="EHP38" s="3"/>
      <c r="EHQ38" s="3"/>
      <c r="EHR38" s="3"/>
      <c r="EHS38" s="3"/>
      <c r="EHT38" s="3"/>
      <c r="EHU38" s="3"/>
      <c r="EHV38" s="3"/>
      <c r="EHW38" s="3"/>
      <c r="EHX38" s="3"/>
      <c r="EHY38" s="3"/>
      <c r="EHZ38" s="3"/>
      <c r="EIA38" s="3"/>
      <c r="EIB38" s="3"/>
      <c r="EIC38" s="3"/>
      <c r="EID38" s="3"/>
      <c r="EIE38" s="3"/>
      <c r="EIF38" s="3"/>
      <c r="EIG38" s="3"/>
      <c r="EIH38" s="3"/>
      <c r="EII38" s="3"/>
      <c r="EIJ38" s="3"/>
      <c r="EIK38" s="3"/>
      <c r="EIL38" s="3"/>
      <c r="EIM38" s="3"/>
      <c r="EIN38" s="3"/>
      <c r="EIO38" s="3"/>
      <c r="EIP38" s="3"/>
      <c r="EIQ38" s="3"/>
      <c r="EIR38" s="3"/>
      <c r="EIS38" s="3"/>
      <c r="EIT38" s="3"/>
      <c r="EIU38" s="3"/>
      <c r="EIV38" s="3"/>
      <c r="EIW38" s="3"/>
      <c r="EIX38" s="3"/>
      <c r="EIY38" s="3"/>
      <c r="EIZ38" s="3"/>
      <c r="EJA38" s="3"/>
      <c r="EJB38" s="3"/>
      <c r="EJC38" s="3"/>
      <c r="EJD38" s="3"/>
      <c r="EJE38" s="3"/>
      <c r="EJF38" s="3"/>
      <c r="EJG38" s="3"/>
      <c r="EJH38" s="3"/>
      <c r="EJI38" s="3"/>
      <c r="EJJ38" s="3"/>
      <c r="EJK38" s="3"/>
      <c r="EJL38" s="3"/>
      <c r="EJM38" s="3"/>
      <c r="EJN38" s="3"/>
      <c r="EJO38" s="3"/>
      <c r="EJP38" s="3"/>
      <c r="EJQ38" s="3"/>
      <c r="EJR38" s="3"/>
      <c r="EJS38" s="3"/>
      <c r="EJT38" s="3"/>
      <c r="EJU38" s="3"/>
      <c r="EJV38" s="3"/>
      <c r="EJW38" s="3"/>
      <c r="EJX38" s="3"/>
      <c r="EJY38" s="3"/>
      <c r="EJZ38" s="3"/>
      <c r="EKA38" s="3"/>
      <c r="EKB38" s="3"/>
      <c r="EKC38" s="3"/>
      <c r="EKD38" s="3"/>
      <c r="EKE38" s="3"/>
      <c r="EKF38" s="3"/>
      <c r="EKG38" s="3"/>
      <c r="EKH38" s="3"/>
      <c r="EKI38" s="3"/>
      <c r="EKJ38" s="3"/>
      <c r="EKK38" s="3"/>
      <c r="EKL38" s="3"/>
      <c r="EKM38" s="3"/>
      <c r="EKN38" s="3"/>
      <c r="EKO38" s="3"/>
      <c r="EKP38" s="3"/>
      <c r="EKQ38" s="3"/>
      <c r="EKR38" s="3"/>
      <c r="EKS38" s="3"/>
      <c r="EKT38" s="3"/>
      <c r="EKU38" s="3"/>
      <c r="EKV38" s="3"/>
      <c r="EKW38" s="3"/>
      <c r="EKX38" s="3"/>
      <c r="EKY38" s="3"/>
      <c r="EKZ38" s="3"/>
      <c r="ELA38" s="3"/>
      <c r="ELB38" s="3"/>
      <c r="ELC38" s="3"/>
      <c r="ELD38" s="3"/>
      <c r="ELE38" s="3"/>
      <c r="ELF38" s="3"/>
      <c r="ELG38" s="3"/>
      <c r="ELH38" s="3"/>
      <c r="ELI38" s="3"/>
      <c r="ELJ38" s="3"/>
      <c r="ELK38" s="3"/>
      <c r="ELL38" s="3"/>
      <c r="ELM38" s="3"/>
      <c r="ELN38" s="3"/>
      <c r="ELO38" s="3"/>
      <c r="ELP38" s="3"/>
      <c r="ELQ38" s="3"/>
      <c r="ELR38" s="3"/>
      <c r="ELS38" s="3"/>
      <c r="ELT38" s="3"/>
      <c r="ELU38" s="3"/>
      <c r="ELV38" s="3"/>
      <c r="ELW38" s="3"/>
      <c r="ELX38" s="3"/>
      <c r="ELY38" s="3"/>
      <c r="ELZ38" s="3"/>
      <c r="EMA38" s="3"/>
      <c r="EMB38" s="3"/>
      <c r="EMC38" s="3"/>
      <c r="EMD38" s="3"/>
      <c r="EME38" s="3"/>
      <c r="EMF38" s="3"/>
      <c r="EMG38" s="3"/>
      <c r="EMH38" s="3"/>
      <c r="EMI38" s="3"/>
      <c r="EMJ38" s="3"/>
      <c r="EMK38" s="3"/>
      <c r="EML38" s="3"/>
      <c r="EMM38" s="3"/>
      <c r="EMN38" s="3"/>
      <c r="EMO38" s="3"/>
      <c r="EMP38" s="3"/>
      <c r="EMQ38" s="3"/>
      <c r="EMR38" s="3"/>
      <c r="EMS38" s="3"/>
      <c r="EMT38" s="3"/>
      <c r="EMU38" s="3"/>
      <c r="EMV38" s="3"/>
      <c r="EMW38" s="3"/>
      <c r="EMX38" s="3"/>
      <c r="EMY38" s="3"/>
      <c r="EMZ38" s="3"/>
      <c r="ENA38" s="3"/>
      <c r="ENB38" s="3"/>
      <c r="ENC38" s="3"/>
      <c r="END38" s="3"/>
      <c r="ENE38" s="3"/>
      <c r="ENF38" s="3"/>
      <c r="ENG38" s="3"/>
      <c r="ENH38" s="3"/>
      <c r="ENI38" s="3"/>
      <c r="ENJ38" s="3"/>
      <c r="ENK38" s="3"/>
      <c r="ENL38" s="3"/>
      <c r="ENM38" s="3"/>
      <c r="ENN38" s="3"/>
      <c r="ENO38" s="3"/>
      <c r="ENP38" s="3"/>
      <c r="ENQ38" s="3"/>
      <c r="ENR38" s="3"/>
      <c r="ENS38" s="3"/>
      <c r="ENT38" s="3"/>
      <c r="ENU38" s="3"/>
      <c r="ENV38" s="3"/>
      <c r="ENW38" s="3"/>
      <c r="ENX38" s="3"/>
      <c r="ENY38" s="3"/>
      <c r="ENZ38" s="3"/>
      <c r="EOA38" s="3"/>
      <c r="EOB38" s="3"/>
      <c r="EOC38" s="3"/>
      <c r="EOD38" s="3"/>
      <c r="EOE38" s="3"/>
      <c r="EOF38" s="3"/>
      <c r="EOG38" s="3"/>
      <c r="EOH38" s="3"/>
      <c r="EOI38" s="3"/>
      <c r="EOJ38" s="3"/>
      <c r="EOK38" s="3"/>
      <c r="EOL38" s="3"/>
      <c r="EOM38" s="3"/>
      <c r="EON38" s="3"/>
      <c r="EOO38" s="3"/>
      <c r="EOP38" s="3"/>
      <c r="EOQ38" s="3"/>
      <c r="EOR38" s="3"/>
      <c r="EOS38" s="3"/>
      <c r="EOT38" s="3"/>
      <c r="EOU38" s="3"/>
      <c r="EOV38" s="3"/>
      <c r="EOW38" s="3"/>
      <c r="EOX38" s="3"/>
      <c r="EOY38" s="3"/>
      <c r="EOZ38" s="3"/>
      <c r="EPA38" s="3"/>
      <c r="EPB38" s="3"/>
      <c r="EPC38" s="3"/>
      <c r="EPD38" s="3"/>
      <c r="EPE38" s="3"/>
      <c r="EPF38" s="3"/>
      <c r="EPG38" s="3"/>
      <c r="EPH38" s="3"/>
      <c r="EPI38" s="3"/>
      <c r="EPJ38" s="3"/>
      <c r="EPK38" s="3"/>
      <c r="EPL38" s="3"/>
      <c r="EPM38" s="3"/>
      <c r="EPN38" s="3"/>
      <c r="EPO38" s="3"/>
      <c r="EPP38" s="3"/>
      <c r="EPQ38" s="3"/>
      <c r="EPR38" s="3"/>
      <c r="EPS38" s="3"/>
      <c r="EPT38" s="3"/>
      <c r="EPU38" s="3"/>
      <c r="EPV38" s="3"/>
      <c r="EPW38" s="3"/>
      <c r="EPX38" s="3"/>
      <c r="EPY38" s="3"/>
      <c r="EPZ38" s="3"/>
      <c r="EQA38" s="3"/>
      <c r="EQB38" s="3"/>
      <c r="EQC38" s="3"/>
      <c r="EQD38" s="3"/>
      <c r="EQE38" s="3"/>
      <c r="EQF38" s="3"/>
      <c r="EQG38" s="3"/>
      <c r="EQH38" s="3"/>
      <c r="EQI38" s="3"/>
      <c r="EQJ38" s="3"/>
      <c r="EQK38" s="3"/>
      <c r="EQL38" s="3"/>
      <c r="EQM38" s="3"/>
      <c r="EQN38" s="3"/>
      <c r="EQO38" s="3"/>
      <c r="EQP38" s="3"/>
      <c r="EQQ38" s="3"/>
      <c r="EQR38" s="3"/>
      <c r="EQS38" s="3"/>
      <c r="EQT38" s="3"/>
      <c r="EQU38" s="3"/>
      <c r="EQV38" s="3"/>
      <c r="EQW38" s="3"/>
      <c r="EQX38" s="3"/>
      <c r="EQY38" s="3"/>
      <c r="EQZ38" s="3"/>
      <c r="ERA38" s="3"/>
      <c r="ERB38" s="3"/>
      <c r="ERC38" s="3"/>
      <c r="ERD38" s="3"/>
      <c r="ERE38" s="3"/>
      <c r="ERF38" s="3"/>
      <c r="ERG38" s="3"/>
      <c r="ERH38" s="3"/>
      <c r="ERI38" s="3"/>
      <c r="ERJ38" s="3"/>
      <c r="ERK38" s="3"/>
      <c r="ERL38" s="3"/>
      <c r="ERM38" s="3"/>
      <c r="ERN38" s="3"/>
      <c r="ERO38" s="3"/>
      <c r="ERP38" s="3"/>
      <c r="ERQ38" s="3"/>
      <c r="ERR38" s="3"/>
      <c r="ERS38" s="3"/>
      <c r="ERT38" s="3"/>
      <c r="ERU38" s="3"/>
      <c r="ERV38" s="3"/>
      <c r="ERW38" s="3"/>
      <c r="ERX38" s="3"/>
      <c r="ERY38" s="3"/>
      <c r="ERZ38" s="3"/>
      <c r="ESA38" s="3"/>
      <c r="ESB38" s="3"/>
      <c r="ESC38" s="3"/>
      <c r="ESD38" s="3"/>
      <c r="ESE38" s="3"/>
      <c r="ESF38" s="3"/>
      <c r="ESG38" s="3"/>
      <c r="ESH38" s="3"/>
      <c r="ESI38" s="3"/>
      <c r="ESJ38" s="3"/>
      <c r="ESK38" s="3"/>
      <c r="ESL38" s="3"/>
      <c r="ESM38" s="3"/>
      <c r="ESN38" s="3"/>
      <c r="ESO38" s="3"/>
      <c r="ESP38" s="3"/>
      <c r="ESQ38" s="3"/>
      <c r="ESR38" s="3"/>
      <c r="ESS38" s="3"/>
      <c r="EST38" s="3"/>
      <c r="ESU38" s="3"/>
      <c r="ESV38" s="3"/>
      <c r="ESW38" s="3"/>
      <c r="ESX38" s="3"/>
      <c r="ESY38" s="3"/>
      <c r="ESZ38" s="3"/>
      <c r="ETA38" s="3"/>
      <c r="ETB38" s="3"/>
      <c r="ETC38" s="3"/>
      <c r="ETD38" s="3"/>
      <c r="ETE38" s="3"/>
      <c r="ETF38" s="3"/>
      <c r="ETG38" s="3"/>
      <c r="ETH38" s="3"/>
      <c r="ETI38" s="3"/>
      <c r="ETJ38" s="3"/>
      <c r="ETK38" s="3"/>
      <c r="ETL38" s="3"/>
      <c r="ETM38" s="3"/>
      <c r="ETN38" s="3"/>
      <c r="ETO38" s="3"/>
      <c r="ETP38" s="3"/>
      <c r="ETQ38" s="3"/>
      <c r="ETR38" s="3"/>
      <c r="ETS38" s="3"/>
      <c r="ETT38" s="3"/>
      <c r="ETU38" s="3"/>
      <c r="ETV38" s="3"/>
      <c r="ETW38" s="3"/>
      <c r="ETX38" s="3"/>
      <c r="ETY38" s="3"/>
      <c r="ETZ38" s="3"/>
      <c r="EUA38" s="3"/>
      <c r="EUB38" s="3"/>
      <c r="EUC38" s="3"/>
      <c r="EUD38" s="3"/>
      <c r="EUE38" s="3"/>
      <c r="EUF38" s="3"/>
      <c r="EUG38" s="3"/>
      <c r="EUH38" s="3"/>
      <c r="EUI38" s="3"/>
      <c r="EUJ38" s="3"/>
      <c r="EUK38" s="3"/>
      <c r="EUL38" s="3"/>
      <c r="EUM38" s="3"/>
      <c r="EUN38" s="3"/>
      <c r="EUO38" s="3"/>
      <c r="EUP38" s="3"/>
      <c r="EUQ38" s="3"/>
      <c r="EUR38" s="3"/>
      <c r="EUS38" s="3"/>
      <c r="EUT38" s="3"/>
      <c r="EUU38" s="3"/>
      <c r="EUV38" s="3"/>
      <c r="EUW38" s="3"/>
      <c r="EUX38" s="3"/>
      <c r="EUY38" s="3"/>
      <c r="EUZ38" s="3"/>
      <c r="EVA38" s="3"/>
      <c r="EVB38" s="3"/>
      <c r="EVC38" s="3"/>
      <c r="EVD38" s="3"/>
      <c r="EVE38" s="3"/>
      <c r="EVF38" s="3"/>
      <c r="EVG38" s="3"/>
      <c r="EVH38" s="3"/>
      <c r="EVI38" s="3"/>
      <c r="EVJ38" s="3"/>
      <c r="EVK38" s="3"/>
      <c r="EVL38" s="3"/>
      <c r="EVM38" s="3"/>
      <c r="EVN38" s="3"/>
      <c r="EVO38" s="3"/>
      <c r="EVP38" s="3"/>
      <c r="EVQ38" s="3"/>
      <c r="EVR38" s="3"/>
      <c r="EVS38" s="3"/>
      <c r="EVT38" s="3"/>
      <c r="EVU38" s="3"/>
      <c r="EVV38" s="3"/>
      <c r="EVW38" s="3"/>
      <c r="EVX38" s="3"/>
      <c r="EVY38" s="3"/>
      <c r="EVZ38" s="3"/>
      <c r="EWA38" s="3"/>
      <c r="EWB38" s="3"/>
      <c r="EWC38" s="3"/>
      <c r="EWD38" s="3"/>
      <c r="EWE38" s="3"/>
      <c r="EWF38" s="3"/>
      <c r="EWG38" s="3"/>
      <c r="EWH38" s="3"/>
      <c r="EWI38" s="3"/>
      <c r="EWJ38" s="3"/>
      <c r="EWK38" s="3"/>
      <c r="EWL38" s="3"/>
      <c r="EWM38" s="3"/>
      <c r="EWN38" s="3"/>
      <c r="EWO38" s="3"/>
      <c r="EWP38" s="3"/>
      <c r="EWQ38" s="3"/>
      <c r="EWR38" s="3"/>
      <c r="EWS38" s="3"/>
      <c r="EWT38" s="3"/>
      <c r="EWU38" s="3"/>
      <c r="EWV38" s="3"/>
      <c r="EWW38" s="3"/>
      <c r="EWX38" s="3"/>
      <c r="EWY38" s="3"/>
      <c r="EWZ38" s="3"/>
      <c r="EXA38" s="3"/>
      <c r="EXB38" s="3"/>
      <c r="EXC38" s="3"/>
      <c r="EXD38" s="3"/>
      <c r="EXE38" s="3"/>
      <c r="EXF38" s="3"/>
      <c r="EXG38" s="3"/>
      <c r="EXH38" s="3"/>
      <c r="EXI38" s="3"/>
      <c r="EXJ38" s="3"/>
      <c r="EXK38" s="3"/>
      <c r="EXL38" s="3"/>
      <c r="EXM38" s="3"/>
      <c r="EXN38" s="3"/>
      <c r="EXO38" s="3"/>
      <c r="EXP38" s="3"/>
      <c r="EXQ38" s="3"/>
      <c r="EXR38" s="3"/>
      <c r="EXS38" s="3"/>
      <c r="EXT38" s="3"/>
      <c r="EXU38" s="3"/>
      <c r="EXV38" s="3"/>
      <c r="EXW38" s="3"/>
      <c r="EXX38" s="3"/>
      <c r="EXY38" s="3"/>
      <c r="EXZ38" s="3"/>
      <c r="EYA38" s="3"/>
      <c r="EYB38" s="3"/>
      <c r="EYC38" s="3"/>
      <c r="EYD38" s="3"/>
      <c r="EYE38" s="3"/>
      <c r="EYF38" s="3"/>
      <c r="EYG38" s="3"/>
      <c r="EYH38" s="3"/>
      <c r="EYI38" s="3"/>
      <c r="EYJ38" s="3"/>
      <c r="EYK38" s="3"/>
      <c r="EYL38" s="3"/>
      <c r="EYM38" s="3"/>
      <c r="EYN38" s="3"/>
      <c r="EYO38" s="3"/>
      <c r="EYP38" s="3"/>
      <c r="EYQ38" s="3"/>
      <c r="EYR38" s="3"/>
      <c r="EYS38" s="3"/>
      <c r="EYT38" s="3"/>
      <c r="EYU38" s="3"/>
      <c r="EYV38" s="3"/>
      <c r="EYW38" s="3"/>
      <c r="EYX38" s="3"/>
      <c r="EYY38" s="3"/>
      <c r="EYZ38" s="3"/>
      <c r="EZA38" s="3"/>
      <c r="EZB38" s="3"/>
      <c r="EZC38" s="3"/>
      <c r="EZD38" s="3"/>
      <c r="EZE38" s="3"/>
      <c r="EZF38" s="3"/>
      <c r="EZG38" s="3"/>
      <c r="EZH38" s="3"/>
      <c r="EZI38" s="3"/>
      <c r="EZJ38" s="3"/>
      <c r="EZK38" s="3"/>
      <c r="EZL38" s="3"/>
      <c r="EZM38" s="3"/>
      <c r="EZN38" s="3"/>
      <c r="EZO38" s="3"/>
      <c r="EZP38" s="3"/>
      <c r="EZQ38" s="3"/>
      <c r="EZR38" s="3"/>
      <c r="EZS38" s="3"/>
      <c r="EZT38" s="3"/>
      <c r="EZU38" s="3"/>
      <c r="EZV38" s="3"/>
      <c r="EZW38" s="3"/>
      <c r="EZX38" s="3"/>
      <c r="EZY38" s="3"/>
      <c r="EZZ38" s="3"/>
      <c r="FAA38" s="3"/>
      <c r="FAB38" s="3"/>
      <c r="FAC38" s="3"/>
      <c r="FAD38" s="3"/>
      <c r="FAE38" s="3"/>
      <c r="FAF38" s="3"/>
      <c r="FAG38" s="3"/>
      <c r="FAH38" s="3"/>
      <c r="FAI38" s="3"/>
      <c r="FAJ38" s="3"/>
      <c r="FAK38" s="3"/>
      <c r="FAL38" s="3"/>
      <c r="FAM38" s="3"/>
      <c r="FAN38" s="3"/>
      <c r="FAO38" s="3"/>
      <c r="FAP38" s="3"/>
      <c r="FAQ38" s="3"/>
      <c r="FAR38" s="3"/>
      <c r="FAS38" s="3"/>
      <c r="FAT38" s="3"/>
      <c r="FAU38" s="3"/>
      <c r="FAV38" s="3"/>
      <c r="FAW38" s="3"/>
      <c r="FAX38" s="3"/>
      <c r="FAY38" s="3"/>
      <c r="FAZ38" s="3"/>
      <c r="FBA38" s="3"/>
      <c r="FBB38" s="3"/>
      <c r="FBC38" s="3"/>
      <c r="FBD38" s="3"/>
      <c r="FBE38" s="3"/>
      <c r="FBF38" s="3"/>
      <c r="FBG38" s="3"/>
      <c r="FBH38" s="3"/>
      <c r="FBI38" s="3"/>
      <c r="FBJ38" s="3"/>
      <c r="FBK38" s="3"/>
      <c r="FBL38" s="3"/>
      <c r="FBM38" s="3"/>
      <c r="FBN38" s="3"/>
      <c r="FBO38" s="3"/>
      <c r="FBP38" s="3"/>
      <c r="FBQ38" s="3"/>
      <c r="FBR38" s="3"/>
      <c r="FBS38" s="3"/>
      <c r="FBT38" s="3"/>
      <c r="FBU38" s="3"/>
      <c r="FBV38" s="3"/>
      <c r="FBW38" s="3"/>
      <c r="FBX38" s="3"/>
      <c r="FBY38" s="3"/>
      <c r="FBZ38" s="3"/>
      <c r="FCA38" s="3"/>
      <c r="FCB38" s="3"/>
      <c r="FCC38" s="3"/>
      <c r="FCD38" s="3"/>
      <c r="FCE38" s="3"/>
      <c r="FCF38" s="3"/>
      <c r="FCG38" s="3"/>
      <c r="FCH38" s="3"/>
      <c r="FCI38" s="3"/>
      <c r="FCJ38" s="3"/>
      <c r="FCK38" s="3"/>
      <c r="FCL38" s="3"/>
      <c r="FCM38" s="3"/>
      <c r="FCN38" s="3"/>
      <c r="FCO38" s="3"/>
      <c r="FCP38" s="3"/>
      <c r="FCQ38" s="3"/>
      <c r="FCR38" s="3"/>
      <c r="FCS38" s="3"/>
      <c r="FCT38" s="3"/>
      <c r="FCU38" s="3"/>
      <c r="FCV38" s="3"/>
      <c r="FCW38" s="3"/>
      <c r="FCX38" s="3"/>
      <c r="FCY38" s="3"/>
      <c r="FCZ38" s="3"/>
      <c r="FDA38" s="3"/>
      <c r="FDB38" s="3"/>
      <c r="FDC38" s="3"/>
      <c r="FDD38" s="3"/>
      <c r="FDE38" s="3"/>
      <c r="FDF38" s="3"/>
      <c r="FDG38" s="3"/>
      <c r="FDH38" s="3"/>
      <c r="FDI38" s="3"/>
      <c r="FDJ38" s="3"/>
      <c r="FDK38" s="3"/>
      <c r="FDL38" s="3"/>
      <c r="FDM38" s="3"/>
      <c r="FDN38" s="3"/>
      <c r="FDO38" s="3"/>
      <c r="FDP38" s="3"/>
      <c r="FDQ38" s="3"/>
      <c r="FDR38" s="3"/>
      <c r="FDS38" s="3"/>
      <c r="FDT38" s="3"/>
      <c r="FDU38" s="3"/>
      <c r="FDV38" s="3"/>
      <c r="FDW38" s="3"/>
      <c r="FDX38" s="3"/>
      <c r="FDY38" s="3"/>
      <c r="FDZ38" s="3"/>
      <c r="FEA38" s="3"/>
      <c r="FEB38" s="3"/>
      <c r="FEC38" s="3"/>
      <c r="FED38" s="3"/>
      <c r="FEE38" s="3"/>
      <c r="FEF38" s="3"/>
      <c r="FEG38" s="3"/>
      <c r="FEH38" s="3"/>
      <c r="FEI38" s="3"/>
      <c r="FEJ38" s="3"/>
      <c r="FEK38" s="3"/>
      <c r="FEL38" s="3"/>
      <c r="FEM38" s="3"/>
      <c r="FEN38" s="3"/>
      <c r="FEO38" s="3"/>
      <c r="FEP38" s="3"/>
      <c r="FEQ38" s="3"/>
      <c r="FER38" s="3"/>
      <c r="FES38" s="3"/>
      <c r="FET38" s="3"/>
      <c r="FEU38" s="3"/>
      <c r="FEV38" s="3"/>
      <c r="FEW38" s="3"/>
      <c r="FEX38" s="3"/>
      <c r="FEY38" s="3"/>
      <c r="FEZ38" s="3"/>
      <c r="FFA38" s="3"/>
      <c r="FFB38" s="3"/>
      <c r="FFC38" s="3"/>
      <c r="FFD38" s="3"/>
      <c r="FFE38" s="3"/>
      <c r="FFF38" s="3"/>
      <c r="FFG38" s="3"/>
      <c r="FFH38" s="3"/>
      <c r="FFI38" s="3"/>
      <c r="FFJ38" s="3"/>
      <c r="FFK38" s="3"/>
      <c r="FFL38" s="3"/>
      <c r="FFM38" s="3"/>
      <c r="FFN38" s="3"/>
      <c r="FFO38" s="3"/>
      <c r="FFP38" s="3"/>
      <c r="FFQ38" s="3"/>
      <c r="FFR38" s="3"/>
      <c r="FFS38" s="3"/>
      <c r="FFT38" s="3"/>
      <c r="FFU38" s="3"/>
      <c r="FFV38" s="3"/>
      <c r="FFW38" s="3"/>
      <c r="FFX38" s="3"/>
      <c r="FFY38" s="3"/>
      <c r="FFZ38" s="3"/>
      <c r="FGA38" s="3"/>
      <c r="FGB38" s="3"/>
      <c r="FGC38" s="3"/>
      <c r="FGD38" s="3"/>
      <c r="FGE38" s="3"/>
      <c r="FGF38" s="3"/>
      <c r="FGG38" s="3"/>
      <c r="FGH38" s="3"/>
      <c r="FGI38" s="3"/>
      <c r="FGJ38" s="3"/>
      <c r="FGK38" s="3"/>
      <c r="FGL38" s="3"/>
      <c r="FGM38" s="3"/>
      <c r="FGN38" s="3"/>
      <c r="FGO38" s="3"/>
      <c r="FGP38" s="3"/>
      <c r="FGQ38" s="3"/>
      <c r="FGR38" s="3"/>
      <c r="FGS38" s="3"/>
      <c r="FGT38" s="3"/>
      <c r="FGU38" s="3"/>
      <c r="FGV38" s="3"/>
      <c r="FGW38" s="3"/>
      <c r="FGX38" s="3"/>
      <c r="FGY38" s="3"/>
      <c r="FGZ38" s="3"/>
      <c r="FHA38" s="3"/>
      <c r="FHB38" s="3"/>
      <c r="FHC38" s="3"/>
      <c r="FHD38" s="3"/>
      <c r="FHE38" s="3"/>
      <c r="FHF38" s="3"/>
      <c r="FHG38" s="3"/>
      <c r="FHH38" s="3"/>
      <c r="FHI38" s="3"/>
      <c r="FHJ38" s="3"/>
      <c r="FHK38" s="3"/>
      <c r="FHL38" s="3"/>
      <c r="FHM38" s="3"/>
      <c r="FHN38" s="3"/>
      <c r="FHO38" s="3"/>
      <c r="FHP38" s="3"/>
      <c r="FHQ38" s="3"/>
      <c r="FHR38" s="3"/>
      <c r="FHS38" s="3"/>
      <c r="FHT38" s="3"/>
      <c r="FHU38" s="3"/>
      <c r="FHV38" s="3"/>
      <c r="FHW38" s="3"/>
      <c r="FHX38" s="3"/>
      <c r="FHY38" s="3"/>
      <c r="FHZ38" s="3"/>
      <c r="FIA38" s="3"/>
      <c r="FIB38" s="3"/>
      <c r="FIC38" s="3"/>
      <c r="FID38" s="3"/>
      <c r="FIE38" s="3"/>
      <c r="FIF38" s="3"/>
      <c r="FIG38" s="3"/>
      <c r="FIH38" s="3"/>
      <c r="FII38" s="3"/>
      <c r="FIJ38" s="3"/>
      <c r="FIK38" s="3"/>
      <c r="FIL38" s="3"/>
      <c r="FIM38" s="3"/>
      <c r="FIN38" s="3"/>
      <c r="FIO38" s="3"/>
      <c r="FIP38" s="3"/>
      <c r="FIQ38" s="3"/>
      <c r="FIR38" s="3"/>
      <c r="FIS38" s="3"/>
      <c r="FIT38" s="3"/>
      <c r="FIU38" s="3"/>
      <c r="FIV38" s="3"/>
      <c r="FIW38" s="3"/>
      <c r="FIX38" s="3"/>
      <c r="FIY38" s="3"/>
      <c r="FIZ38" s="3"/>
      <c r="FJA38" s="3"/>
      <c r="FJB38" s="3"/>
      <c r="FJC38" s="3"/>
      <c r="FJD38" s="3"/>
      <c r="FJE38" s="3"/>
      <c r="FJF38" s="3"/>
      <c r="FJG38" s="3"/>
      <c r="FJH38" s="3"/>
      <c r="FJI38" s="3"/>
      <c r="FJJ38" s="3"/>
      <c r="FJK38" s="3"/>
      <c r="FJL38" s="3"/>
      <c r="FJM38" s="3"/>
      <c r="FJN38" s="3"/>
      <c r="FJO38" s="3"/>
      <c r="FJP38" s="3"/>
      <c r="FJQ38" s="3"/>
      <c r="FJR38" s="3"/>
      <c r="FJS38" s="3"/>
      <c r="FJT38" s="3"/>
      <c r="FJU38" s="3"/>
      <c r="FJV38" s="3"/>
      <c r="FJW38" s="3"/>
      <c r="FJX38" s="3"/>
      <c r="FJY38" s="3"/>
      <c r="FJZ38" s="3"/>
      <c r="FKA38" s="3"/>
      <c r="FKB38" s="3"/>
      <c r="FKC38" s="3"/>
      <c r="FKD38" s="3"/>
      <c r="FKE38" s="3"/>
      <c r="FKF38" s="3"/>
      <c r="FKG38" s="3"/>
      <c r="FKH38" s="3"/>
      <c r="FKI38" s="3"/>
      <c r="FKJ38" s="3"/>
      <c r="FKK38" s="3"/>
      <c r="FKL38" s="3"/>
      <c r="FKM38" s="3"/>
      <c r="FKN38" s="3"/>
      <c r="FKO38" s="3"/>
      <c r="FKP38" s="3"/>
      <c r="FKQ38" s="3"/>
      <c r="FKR38" s="3"/>
      <c r="FKS38" s="3"/>
      <c r="FKT38" s="3"/>
      <c r="FKU38" s="3"/>
      <c r="FKV38" s="3"/>
      <c r="FKW38" s="3"/>
      <c r="FKX38" s="3"/>
      <c r="FKY38" s="3"/>
      <c r="FKZ38" s="3"/>
      <c r="FLA38" s="3"/>
      <c r="FLB38" s="3"/>
      <c r="FLC38" s="3"/>
      <c r="FLD38" s="3"/>
      <c r="FLE38" s="3"/>
      <c r="FLF38" s="3"/>
      <c r="FLG38" s="3"/>
      <c r="FLH38" s="3"/>
      <c r="FLI38" s="3"/>
      <c r="FLJ38" s="3"/>
      <c r="FLK38" s="3"/>
      <c r="FLL38" s="3"/>
      <c r="FLM38" s="3"/>
      <c r="FLN38" s="3"/>
      <c r="FLO38" s="3"/>
      <c r="FLP38" s="3"/>
      <c r="FLQ38" s="3"/>
      <c r="FLR38" s="3"/>
      <c r="FLS38" s="3"/>
      <c r="FLT38" s="3"/>
      <c r="FLU38" s="3"/>
      <c r="FLV38" s="3"/>
      <c r="FLW38" s="3"/>
      <c r="FLX38" s="3"/>
      <c r="FLY38" s="3"/>
      <c r="FLZ38" s="3"/>
      <c r="FMA38" s="3"/>
      <c r="FMB38" s="3"/>
      <c r="FMC38" s="3"/>
      <c r="FMD38" s="3"/>
      <c r="FME38" s="3"/>
      <c r="FMF38" s="3"/>
      <c r="FMG38" s="3"/>
      <c r="FMH38" s="3"/>
      <c r="FMI38" s="3"/>
      <c r="FMJ38" s="3"/>
      <c r="FMK38" s="3"/>
      <c r="FML38" s="3"/>
      <c r="FMM38" s="3"/>
      <c r="FMN38" s="3"/>
      <c r="FMO38" s="3"/>
      <c r="FMP38" s="3"/>
      <c r="FMQ38" s="3"/>
      <c r="FMR38" s="3"/>
      <c r="FMS38" s="3"/>
      <c r="FMT38" s="3"/>
      <c r="FMU38" s="3"/>
      <c r="FMV38" s="3"/>
      <c r="FMW38" s="3"/>
      <c r="FMX38" s="3"/>
      <c r="FMY38" s="3"/>
      <c r="FMZ38" s="3"/>
      <c r="FNA38" s="3"/>
      <c r="FNB38" s="3"/>
      <c r="FNC38" s="3"/>
      <c r="FND38" s="3"/>
      <c r="FNE38" s="3"/>
      <c r="FNF38" s="3"/>
      <c r="FNG38" s="3"/>
      <c r="FNH38" s="3"/>
      <c r="FNI38" s="3"/>
      <c r="FNJ38" s="3"/>
      <c r="FNK38" s="3"/>
      <c r="FNL38" s="3"/>
      <c r="FNM38" s="3"/>
      <c r="FNN38" s="3"/>
      <c r="FNO38" s="3"/>
      <c r="FNP38" s="3"/>
      <c r="FNQ38" s="3"/>
      <c r="FNR38" s="3"/>
      <c r="FNS38" s="3"/>
      <c r="FNT38" s="3"/>
      <c r="FNU38" s="3"/>
      <c r="FNV38" s="3"/>
      <c r="FNW38" s="3"/>
      <c r="FNX38" s="3"/>
      <c r="FNY38" s="3"/>
      <c r="FNZ38" s="3"/>
      <c r="FOA38" s="3"/>
      <c r="FOB38" s="3"/>
      <c r="FOC38" s="3"/>
      <c r="FOD38" s="3"/>
      <c r="FOE38" s="3"/>
      <c r="FOF38" s="3"/>
      <c r="FOG38" s="3"/>
      <c r="FOH38" s="3"/>
      <c r="FOI38" s="3"/>
      <c r="FOJ38" s="3"/>
      <c r="FOK38" s="3"/>
      <c r="FOL38" s="3"/>
      <c r="FOM38" s="3"/>
      <c r="FON38" s="3"/>
      <c r="FOO38" s="3"/>
      <c r="FOP38" s="3"/>
      <c r="FOQ38" s="3"/>
      <c r="FOR38" s="3"/>
      <c r="FOS38" s="3"/>
      <c r="FOT38" s="3"/>
      <c r="FOU38" s="3"/>
      <c r="FOV38" s="3"/>
      <c r="FOW38" s="3"/>
      <c r="FOX38" s="3"/>
      <c r="FOY38" s="3"/>
      <c r="FOZ38" s="3"/>
      <c r="FPA38" s="3"/>
      <c r="FPB38" s="3"/>
      <c r="FPC38" s="3"/>
      <c r="FPD38" s="3"/>
      <c r="FPE38" s="3"/>
      <c r="FPF38" s="3"/>
      <c r="FPG38" s="3"/>
      <c r="FPH38" s="3"/>
      <c r="FPI38" s="3"/>
      <c r="FPJ38" s="3"/>
      <c r="FPK38" s="3"/>
      <c r="FPL38" s="3"/>
      <c r="FPM38" s="3"/>
      <c r="FPN38" s="3"/>
      <c r="FPO38" s="3"/>
      <c r="FPP38" s="3"/>
      <c r="FPQ38" s="3"/>
      <c r="FPR38" s="3"/>
      <c r="FPS38" s="3"/>
      <c r="FPT38" s="3"/>
      <c r="FPU38" s="3"/>
      <c r="FPV38" s="3"/>
      <c r="FPW38" s="3"/>
      <c r="FPX38" s="3"/>
      <c r="FPY38" s="3"/>
      <c r="FPZ38" s="3"/>
      <c r="FQA38" s="3"/>
      <c r="FQB38" s="3"/>
      <c r="FQC38" s="3"/>
      <c r="FQD38" s="3"/>
      <c r="FQE38" s="3"/>
      <c r="FQF38" s="3"/>
      <c r="FQG38" s="3"/>
      <c r="FQH38" s="3"/>
      <c r="FQI38" s="3"/>
      <c r="FQJ38" s="3"/>
      <c r="FQK38" s="3"/>
      <c r="FQL38" s="3"/>
      <c r="FQM38" s="3"/>
      <c r="FQN38" s="3"/>
      <c r="FQO38" s="3"/>
      <c r="FQP38" s="3"/>
      <c r="FQQ38" s="3"/>
      <c r="FQR38" s="3"/>
      <c r="FQS38" s="3"/>
      <c r="FQT38" s="3"/>
      <c r="FQU38" s="3"/>
      <c r="FQV38" s="3"/>
      <c r="FQW38" s="3"/>
      <c r="FQX38" s="3"/>
      <c r="FQY38" s="3"/>
      <c r="FQZ38" s="3"/>
      <c r="FRA38" s="3"/>
      <c r="FRB38" s="3"/>
      <c r="FRC38" s="3"/>
      <c r="FRD38" s="3"/>
      <c r="FRE38" s="3"/>
      <c r="FRF38" s="3"/>
      <c r="FRG38" s="3"/>
      <c r="FRH38" s="3"/>
      <c r="FRI38" s="3"/>
      <c r="FRJ38" s="3"/>
      <c r="FRK38" s="3"/>
      <c r="FRL38" s="3"/>
      <c r="FRM38" s="3"/>
      <c r="FRN38" s="3"/>
      <c r="FRO38" s="3"/>
      <c r="FRP38" s="3"/>
      <c r="FRQ38" s="3"/>
      <c r="FRR38" s="3"/>
      <c r="FRS38" s="3"/>
      <c r="FRT38" s="3"/>
      <c r="FRU38" s="3"/>
      <c r="FRV38" s="3"/>
      <c r="FRW38" s="3"/>
      <c r="FRX38" s="3"/>
      <c r="FRY38" s="3"/>
      <c r="FRZ38" s="3"/>
      <c r="FSA38" s="3"/>
      <c r="FSB38" s="3"/>
      <c r="FSC38" s="3"/>
      <c r="FSD38" s="3"/>
      <c r="FSE38" s="3"/>
      <c r="FSF38" s="3"/>
      <c r="FSG38" s="3"/>
      <c r="FSH38" s="3"/>
      <c r="FSI38" s="3"/>
      <c r="FSJ38" s="3"/>
      <c r="FSK38" s="3"/>
      <c r="FSL38" s="3"/>
      <c r="FSM38" s="3"/>
      <c r="FSN38" s="3"/>
      <c r="FSO38" s="3"/>
      <c r="FSP38" s="3"/>
      <c r="FSQ38" s="3"/>
      <c r="FSR38" s="3"/>
      <c r="FSS38" s="3"/>
      <c r="FST38" s="3"/>
      <c r="FSU38" s="3"/>
      <c r="FSV38" s="3"/>
      <c r="FSW38" s="3"/>
      <c r="FSX38" s="3"/>
      <c r="FSY38" s="3"/>
      <c r="FSZ38" s="3"/>
      <c r="FTA38" s="3"/>
      <c r="FTB38" s="3"/>
      <c r="FTC38" s="3"/>
      <c r="FTD38" s="3"/>
      <c r="FTE38" s="3"/>
      <c r="FTF38" s="3"/>
      <c r="FTG38" s="3"/>
      <c r="FTH38" s="3"/>
      <c r="FTI38" s="3"/>
      <c r="FTJ38" s="3"/>
      <c r="FTK38" s="3"/>
      <c r="FTL38" s="3"/>
      <c r="FTM38" s="3"/>
      <c r="FTN38" s="3"/>
      <c r="FTO38" s="3"/>
      <c r="FTP38" s="3"/>
      <c r="FTQ38" s="3"/>
      <c r="FTR38" s="3"/>
      <c r="FTS38" s="3"/>
      <c r="FTT38" s="3"/>
      <c r="FTU38" s="3"/>
      <c r="FTV38" s="3"/>
      <c r="FTW38" s="3"/>
      <c r="FTX38" s="3"/>
      <c r="FTY38" s="3"/>
      <c r="FTZ38" s="3"/>
      <c r="FUA38" s="3"/>
      <c r="FUB38" s="3"/>
      <c r="FUC38" s="3"/>
      <c r="FUD38" s="3"/>
      <c r="FUE38" s="3"/>
      <c r="FUF38" s="3"/>
      <c r="FUG38" s="3"/>
      <c r="FUH38" s="3"/>
      <c r="FUI38" s="3"/>
      <c r="FUJ38" s="3"/>
      <c r="FUK38" s="3"/>
      <c r="FUL38" s="3"/>
      <c r="FUM38" s="3"/>
      <c r="FUN38" s="3"/>
      <c r="FUO38" s="3"/>
      <c r="FUP38" s="3"/>
      <c r="FUQ38" s="3"/>
      <c r="FUR38" s="3"/>
      <c r="FUS38" s="3"/>
      <c r="FUT38" s="3"/>
      <c r="FUU38" s="3"/>
      <c r="FUV38" s="3"/>
      <c r="FUW38" s="3"/>
      <c r="FUX38" s="3"/>
      <c r="FUY38" s="3"/>
      <c r="FUZ38" s="3"/>
      <c r="FVA38" s="3"/>
      <c r="FVB38" s="3"/>
      <c r="FVC38" s="3"/>
      <c r="FVD38" s="3"/>
      <c r="FVE38" s="3"/>
      <c r="FVF38" s="3"/>
      <c r="FVG38" s="3"/>
      <c r="FVH38" s="3"/>
      <c r="FVI38" s="3"/>
      <c r="FVJ38" s="3"/>
      <c r="FVK38" s="3"/>
      <c r="FVL38" s="3"/>
      <c r="FVM38" s="3"/>
      <c r="FVN38" s="3"/>
      <c r="FVO38" s="3"/>
      <c r="FVP38" s="3"/>
      <c r="FVQ38" s="3"/>
      <c r="FVR38" s="3"/>
      <c r="FVS38" s="3"/>
      <c r="FVT38" s="3"/>
      <c r="FVU38" s="3"/>
      <c r="FVV38" s="3"/>
      <c r="FVW38" s="3"/>
      <c r="FVX38" s="3"/>
      <c r="FVY38" s="3"/>
      <c r="FVZ38" s="3"/>
      <c r="FWA38" s="3"/>
      <c r="FWB38" s="3"/>
      <c r="FWC38" s="3"/>
      <c r="FWD38" s="3"/>
      <c r="FWE38" s="3"/>
      <c r="FWF38" s="3"/>
      <c r="FWG38" s="3"/>
      <c r="FWH38" s="3"/>
      <c r="FWI38" s="3"/>
      <c r="FWJ38" s="3"/>
      <c r="FWK38" s="3"/>
      <c r="FWL38" s="3"/>
      <c r="FWM38" s="3"/>
      <c r="FWN38" s="3"/>
      <c r="FWO38" s="3"/>
      <c r="FWP38" s="3"/>
      <c r="FWQ38" s="3"/>
      <c r="FWR38" s="3"/>
      <c r="FWS38" s="3"/>
      <c r="FWT38" s="3"/>
      <c r="FWU38" s="3"/>
      <c r="FWV38" s="3"/>
      <c r="FWW38" s="3"/>
      <c r="FWX38" s="3"/>
      <c r="FWY38" s="3"/>
      <c r="FWZ38" s="3"/>
      <c r="FXA38" s="3"/>
      <c r="FXB38" s="3"/>
      <c r="FXC38" s="3"/>
      <c r="FXD38" s="3"/>
      <c r="FXE38" s="3"/>
      <c r="FXF38" s="3"/>
      <c r="FXG38" s="3"/>
      <c r="FXH38" s="3"/>
      <c r="FXI38" s="3"/>
      <c r="FXJ38" s="3"/>
      <c r="FXK38" s="3"/>
      <c r="FXL38" s="3"/>
      <c r="FXM38" s="3"/>
      <c r="FXN38" s="3"/>
      <c r="FXO38" s="3"/>
      <c r="FXP38" s="3"/>
      <c r="FXQ38" s="3"/>
      <c r="FXR38" s="3"/>
      <c r="FXS38" s="3"/>
      <c r="FXT38" s="3"/>
      <c r="FXU38" s="3"/>
      <c r="FXV38" s="3"/>
      <c r="FXW38" s="3"/>
      <c r="FXX38" s="3"/>
      <c r="FXY38" s="3"/>
      <c r="FXZ38" s="3"/>
      <c r="FYA38" s="3"/>
      <c r="FYB38" s="3"/>
      <c r="FYC38" s="3"/>
      <c r="FYD38" s="3"/>
      <c r="FYE38" s="3"/>
      <c r="FYF38" s="3"/>
      <c r="FYG38" s="3"/>
      <c r="FYH38" s="3"/>
      <c r="FYI38" s="3"/>
      <c r="FYJ38" s="3"/>
      <c r="FYK38" s="3"/>
      <c r="FYL38" s="3"/>
      <c r="FYM38" s="3"/>
      <c r="FYN38" s="3"/>
      <c r="FYO38" s="3"/>
      <c r="FYP38" s="3"/>
      <c r="FYQ38" s="3"/>
      <c r="FYR38" s="3"/>
      <c r="FYS38" s="3"/>
      <c r="FYT38" s="3"/>
      <c r="FYU38" s="3"/>
      <c r="FYV38" s="3"/>
      <c r="FYW38" s="3"/>
      <c r="FYX38" s="3"/>
      <c r="FYY38" s="3"/>
      <c r="FYZ38" s="3"/>
      <c r="FZA38" s="3"/>
      <c r="FZB38" s="3"/>
      <c r="FZC38" s="3"/>
      <c r="FZD38" s="3"/>
      <c r="FZE38" s="3"/>
      <c r="FZF38" s="3"/>
      <c r="FZG38" s="3"/>
      <c r="FZH38" s="3"/>
      <c r="FZI38" s="3"/>
      <c r="FZJ38" s="3"/>
      <c r="FZK38" s="3"/>
      <c r="FZL38" s="3"/>
      <c r="FZM38" s="3"/>
      <c r="FZN38" s="3"/>
      <c r="FZO38" s="3"/>
      <c r="FZP38" s="3"/>
      <c r="FZQ38" s="3"/>
      <c r="FZR38" s="3"/>
      <c r="FZS38" s="3"/>
      <c r="FZT38" s="3"/>
      <c r="FZU38" s="3"/>
      <c r="FZV38" s="3"/>
      <c r="FZW38" s="3"/>
      <c r="FZX38" s="3"/>
      <c r="FZY38" s="3"/>
      <c r="FZZ38" s="3"/>
      <c r="GAA38" s="3"/>
      <c r="GAB38" s="3"/>
      <c r="GAC38" s="3"/>
      <c r="GAD38" s="3"/>
      <c r="GAE38" s="3"/>
      <c r="GAF38" s="3"/>
      <c r="GAG38" s="3"/>
      <c r="GAH38" s="3"/>
      <c r="GAI38" s="3"/>
      <c r="GAJ38" s="3"/>
      <c r="GAK38" s="3"/>
      <c r="GAL38" s="3"/>
      <c r="GAM38" s="3"/>
      <c r="GAN38" s="3"/>
      <c r="GAO38" s="3"/>
      <c r="GAP38" s="3"/>
      <c r="GAQ38" s="3"/>
      <c r="GAR38" s="3"/>
      <c r="GAS38" s="3"/>
      <c r="GAT38" s="3"/>
      <c r="GAU38" s="3"/>
      <c r="GAV38" s="3"/>
      <c r="GAW38" s="3"/>
      <c r="GAX38" s="3"/>
      <c r="GAY38" s="3"/>
      <c r="GAZ38" s="3"/>
      <c r="GBA38" s="3"/>
      <c r="GBB38" s="3"/>
      <c r="GBC38" s="3"/>
      <c r="GBD38" s="3"/>
      <c r="GBE38" s="3"/>
      <c r="GBF38" s="3"/>
      <c r="GBG38" s="3"/>
      <c r="GBH38" s="3"/>
      <c r="GBI38" s="3"/>
      <c r="GBJ38" s="3"/>
      <c r="GBK38" s="3"/>
      <c r="GBL38" s="3"/>
      <c r="GBM38" s="3"/>
      <c r="GBN38" s="3"/>
      <c r="GBO38" s="3"/>
      <c r="GBP38" s="3"/>
      <c r="GBQ38" s="3"/>
      <c r="GBR38" s="3"/>
      <c r="GBS38" s="3"/>
      <c r="GBT38" s="3"/>
      <c r="GBU38" s="3"/>
      <c r="GBV38" s="3"/>
      <c r="GBW38" s="3"/>
      <c r="GBX38" s="3"/>
      <c r="GBY38" s="3"/>
      <c r="GBZ38" s="3"/>
      <c r="GCA38" s="3"/>
      <c r="GCB38" s="3"/>
      <c r="GCC38" s="3"/>
      <c r="GCD38" s="3"/>
      <c r="GCE38" s="3"/>
      <c r="GCF38" s="3"/>
      <c r="GCG38" s="3"/>
      <c r="GCH38" s="3"/>
      <c r="GCI38" s="3"/>
      <c r="GCJ38" s="3"/>
      <c r="GCK38" s="3"/>
      <c r="GCL38" s="3"/>
      <c r="GCM38" s="3"/>
      <c r="GCN38" s="3"/>
      <c r="GCO38" s="3"/>
      <c r="GCP38" s="3"/>
      <c r="GCQ38" s="3"/>
      <c r="GCR38" s="3"/>
      <c r="GCS38" s="3"/>
      <c r="GCT38" s="3"/>
      <c r="GCU38" s="3"/>
      <c r="GCV38" s="3"/>
      <c r="GCW38" s="3"/>
      <c r="GCX38" s="3"/>
      <c r="GCY38" s="3"/>
      <c r="GCZ38" s="3"/>
      <c r="GDA38" s="3"/>
      <c r="GDB38" s="3"/>
      <c r="GDC38" s="3"/>
      <c r="GDD38" s="3"/>
      <c r="GDE38" s="3"/>
      <c r="GDF38" s="3"/>
      <c r="GDG38" s="3"/>
      <c r="GDH38" s="3"/>
      <c r="GDI38" s="3"/>
      <c r="GDJ38" s="3"/>
      <c r="GDK38" s="3"/>
      <c r="GDL38" s="3"/>
      <c r="GDM38" s="3"/>
      <c r="GDN38" s="3"/>
      <c r="GDO38" s="3"/>
      <c r="GDP38" s="3"/>
      <c r="GDQ38" s="3"/>
      <c r="GDR38" s="3"/>
      <c r="GDS38" s="3"/>
      <c r="GDT38" s="3"/>
      <c r="GDU38" s="3"/>
      <c r="GDV38" s="3"/>
      <c r="GDW38" s="3"/>
      <c r="GDX38" s="3"/>
      <c r="GDY38" s="3"/>
      <c r="GDZ38" s="3"/>
      <c r="GEA38" s="3"/>
      <c r="GEB38" s="3"/>
      <c r="GEC38" s="3"/>
      <c r="GED38" s="3"/>
      <c r="GEE38" s="3"/>
      <c r="GEF38" s="3"/>
      <c r="GEG38" s="3"/>
      <c r="GEH38" s="3"/>
      <c r="GEI38" s="3"/>
      <c r="GEJ38" s="3"/>
      <c r="GEK38" s="3"/>
      <c r="GEL38" s="3"/>
      <c r="GEM38" s="3"/>
      <c r="GEN38" s="3"/>
      <c r="GEO38" s="3"/>
      <c r="GEP38" s="3"/>
      <c r="GEQ38" s="3"/>
      <c r="GER38" s="3"/>
      <c r="GES38" s="3"/>
      <c r="GET38" s="3"/>
      <c r="GEU38" s="3"/>
      <c r="GEV38" s="3"/>
      <c r="GEW38" s="3"/>
      <c r="GEX38" s="3"/>
      <c r="GEY38" s="3"/>
      <c r="GEZ38" s="3"/>
      <c r="GFA38" s="3"/>
      <c r="GFB38" s="3"/>
      <c r="GFC38" s="3"/>
      <c r="GFD38" s="3"/>
      <c r="GFE38" s="3"/>
      <c r="GFF38" s="3"/>
      <c r="GFG38" s="3"/>
      <c r="GFH38" s="3"/>
      <c r="GFI38" s="3"/>
      <c r="GFJ38" s="3"/>
      <c r="GFK38" s="3"/>
      <c r="GFL38" s="3"/>
      <c r="GFM38" s="3"/>
      <c r="GFN38" s="3"/>
      <c r="GFO38" s="3"/>
      <c r="GFP38" s="3"/>
      <c r="GFQ38" s="3"/>
      <c r="GFR38" s="3"/>
      <c r="GFS38" s="3"/>
      <c r="GFT38" s="3"/>
      <c r="GFU38" s="3"/>
      <c r="GFV38" s="3"/>
      <c r="GFW38" s="3"/>
      <c r="GFX38" s="3"/>
      <c r="GFY38" s="3"/>
      <c r="GFZ38" s="3"/>
      <c r="GGA38" s="3"/>
      <c r="GGB38" s="3"/>
      <c r="GGC38" s="3"/>
      <c r="GGD38" s="3"/>
      <c r="GGE38" s="3"/>
      <c r="GGF38" s="3"/>
      <c r="GGG38" s="3"/>
      <c r="GGH38" s="3"/>
      <c r="GGI38" s="3"/>
      <c r="GGJ38" s="3"/>
      <c r="GGK38" s="3"/>
      <c r="GGL38" s="3"/>
      <c r="GGM38" s="3"/>
      <c r="GGN38" s="3"/>
      <c r="GGO38" s="3"/>
      <c r="GGP38" s="3"/>
      <c r="GGQ38" s="3"/>
      <c r="GGR38" s="3"/>
      <c r="GGS38" s="3"/>
      <c r="GGT38" s="3"/>
      <c r="GGU38" s="3"/>
      <c r="GGV38" s="3"/>
      <c r="GGW38" s="3"/>
      <c r="GGX38" s="3"/>
      <c r="GGY38" s="3"/>
      <c r="GGZ38" s="3"/>
      <c r="GHA38" s="3"/>
      <c r="GHB38" s="3"/>
      <c r="GHC38" s="3"/>
      <c r="GHD38" s="3"/>
      <c r="GHE38" s="3"/>
      <c r="GHF38" s="3"/>
      <c r="GHG38" s="3"/>
      <c r="GHH38" s="3"/>
      <c r="GHI38" s="3"/>
      <c r="GHJ38" s="3"/>
      <c r="GHK38" s="3"/>
      <c r="GHL38" s="3"/>
      <c r="GHM38" s="3"/>
      <c r="GHN38" s="3"/>
      <c r="GHO38" s="3"/>
      <c r="GHP38" s="3"/>
      <c r="GHQ38" s="3"/>
      <c r="GHR38" s="3"/>
      <c r="GHS38" s="3"/>
      <c r="GHT38" s="3"/>
      <c r="GHU38" s="3"/>
      <c r="GHV38" s="3"/>
      <c r="GHW38" s="3"/>
      <c r="GHX38" s="3"/>
      <c r="GHY38" s="3"/>
      <c r="GHZ38" s="3"/>
      <c r="GIA38" s="3"/>
      <c r="GIB38" s="3"/>
      <c r="GIC38" s="3"/>
      <c r="GID38" s="3"/>
      <c r="GIE38" s="3"/>
      <c r="GIF38" s="3"/>
      <c r="GIG38" s="3"/>
      <c r="GIH38" s="3"/>
      <c r="GII38" s="3"/>
      <c r="GIJ38" s="3"/>
      <c r="GIK38" s="3"/>
      <c r="GIL38" s="3"/>
      <c r="GIM38" s="3"/>
      <c r="GIN38" s="3"/>
      <c r="GIO38" s="3"/>
      <c r="GIP38" s="3"/>
      <c r="GIQ38" s="3"/>
      <c r="GIR38" s="3"/>
      <c r="GIS38" s="3"/>
      <c r="GIT38" s="3"/>
      <c r="GIU38" s="3"/>
      <c r="GIV38" s="3"/>
      <c r="GIW38" s="3"/>
      <c r="GIX38" s="3"/>
      <c r="GIY38" s="3"/>
      <c r="GIZ38" s="3"/>
      <c r="GJA38" s="3"/>
      <c r="GJB38" s="3"/>
      <c r="GJC38" s="3"/>
      <c r="GJD38" s="3"/>
      <c r="GJE38" s="3"/>
      <c r="GJF38" s="3"/>
      <c r="GJG38" s="3"/>
      <c r="GJH38" s="3"/>
      <c r="GJI38" s="3"/>
      <c r="GJJ38" s="3"/>
      <c r="GJK38" s="3"/>
      <c r="GJL38" s="3"/>
      <c r="GJM38" s="3"/>
      <c r="GJN38" s="3"/>
      <c r="GJO38" s="3"/>
      <c r="GJP38" s="3"/>
      <c r="GJQ38" s="3"/>
      <c r="GJR38" s="3"/>
      <c r="GJS38" s="3"/>
      <c r="GJT38" s="3"/>
      <c r="GJU38" s="3"/>
      <c r="GJV38" s="3"/>
      <c r="GJW38" s="3"/>
      <c r="GJX38" s="3"/>
      <c r="GJY38" s="3"/>
      <c r="GJZ38" s="3"/>
      <c r="GKA38" s="3"/>
      <c r="GKB38" s="3"/>
      <c r="GKC38" s="3"/>
      <c r="GKD38" s="3"/>
      <c r="GKE38" s="3"/>
      <c r="GKF38" s="3"/>
      <c r="GKG38" s="3"/>
      <c r="GKH38" s="3"/>
      <c r="GKI38" s="3"/>
      <c r="GKJ38" s="3"/>
      <c r="GKK38" s="3"/>
      <c r="GKL38" s="3"/>
      <c r="GKM38" s="3"/>
      <c r="GKN38" s="3"/>
      <c r="GKO38" s="3"/>
      <c r="GKP38" s="3"/>
      <c r="GKQ38" s="3"/>
      <c r="GKR38" s="3"/>
      <c r="GKS38" s="3"/>
      <c r="GKT38" s="3"/>
      <c r="GKU38" s="3"/>
      <c r="GKV38" s="3"/>
      <c r="GKW38" s="3"/>
      <c r="GKX38" s="3"/>
      <c r="GKY38" s="3"/>
      <c r="GKZ38" s="3"/>
      <c r="GLA38" s="3"/>
      <c r="GLB38" s="3"/>
      <c r="GLC38" s="3"/>
      <c r="GLD38" s="3"/>
      <c r="GLE38" s="3"/>
      <c r="GLF38" s="3"/>
      <c r="GLG38" s="3"/>
      <c r="GLH38" s="3"/>
      <c r="GLI38" s="3"/>
      <c r="GLJ38" s="3"/>
      <c r="GLK38" s="3"/>
      <c r="GLL38" s="3"/>
      <c r="GLM38" s="3"/>
      <c r="GLN38" s="3"/>
      <c r="GLO38" s="3"/>
      <c r="GLP38" s="3"/>
      <c r="GLQ38" s="3"/>
      <c r="GLR38" s="3"/>
      <c r="GLS38" s="3"/>
      <c r="GLT38" s="3"/>
      <c r="GLU38" s="3"/>
      <c r="GLV38" s="3"/>
      <c r="GLW38" s="3"/>
      <c r="GLX38" s="3"/>
      <c r="GLY38" s="3"/>
      <c r="GLZ38" s="3"/>
      <c r="GMA38" s="3"/>
      <c r="GMB38" s="3"/>
      <c r="GMC38" s="3"/>
      <c r="GMD38" s="3"/>
      <c r="GME38" s="3"/>
      <c r="GMF38" s="3"/>
      <c r="GMG38" s="3"/>
      <c r="GMH38" s="3"/>
      <c r="GMI38" s="3"/>
      <c r="GMJ38" s="3"/>
      <c r="GMK38" s="3"/>
      <c r="GML38" s="3"/>
      <c r="GMM38" s="3"/>
      <c r="GMN38" s="3"/>
      <c r="GMO38" s="3"/>
      <c r="GMP38" s="3"/>
      <c r="GMQ38" s="3"/>
      <c r="GMR38" s="3"/>
      <c r="GMS38" s="3"/>
      <c r="GMT38" s="3"/>
      <c r="GMU38" s="3"/>
      <c r="GMV38" s="3"/>
      <c r="GMW38" s="3"/>
      <c r="GMX38" s="3"/>
      <c r="GMY38" s="3"/>
      <c r="GMZ38" s="3"/>
      <c r="GNA38" s="3"/>
      <c r="GNB38" s="3"/>
      <c r="GNC38" s="3"/>
      <c r="GND38" s="3"/>
      <c r="GNE38" s="3"/>
      <c r="GNF38" s="3"/>
      <c r="GNG38" s="3"/>
      <c r="GNH38" s="3"/>
      <c r="GNI38" s="3"/>
      <c r="GNJ38" s="3"/>
      <c r="GNK38" s="3"/>
      <c r="GNL38" s="3"/>
      <c r="GNM38" s="3"/>
      <c r="GNN38" s="3"/>
      <c r="GNO38" s="3"/>
      <c r="GNP38" s="3"/>
      <c r="GNQ38" s="3"/>
      <c r="GNR38" s="3"/>
      <c r="GNS38" s="3"/>
      <c r="GNT38" s="3"/>
      <c r="GNU38" s="3"/>
      <c r="GNV38" s="3"/>
      <c r="GNW38" s="3"/>
      <c r="GNX38" s="3"/>
      <c r="GNY38" s="3"/>
      <c r="GNZ38" s="3"/>
      <c r="GOA38" s="3"/>
      <c r="GOB38" s="3"/>
      <c r="GOC38" s="3"/>
      <c r="GOD38" s="3"/>
      <c r="GOE38" s="3"/>
      <c r="GOF38" s="3"/>
      <c r="GOG38" s="3"/>
      <c r="GOH38" s="3"/>
      <c r="GOI38" s="3"/>
      <c r="GOJ38" s="3"/>
      <c r="GOK38" s="3"/>
      <c r="GOL38" s="3"/>
      <c r="GOM38" s="3"/>
      <c r="GON38" s="3"/>
      <c r="GOO38" s="3"/>
      <c r="GOP38" s="3"/>
      <c r="GOQ38" s="3"/>
      <c r="GOR38" s="3"/>
      <c r="GOS38" s="3"/>
      <c r="GOT38" s="3"/>
      <c r="GOU38" s="3"/>
      <c r="GOV38" s="3"/>
      <c r="GOW38" s="3"/>
      <c r="GOX38" s="3"/>
      <c r="GOY38" s="3"/>
      <c r="GOZ38" s="3"/>
      <c r="GPA38" s="3"/>
      <c r="GPB38" s="3"/>
      <c r="GPC38" s="3"/>
      <c r="GPD38" s="3"/>
      <c r="GPE38" s="3"/>
      <c r="GPF38" s="3"/>
      <c r="GPG38" s="3"/>
      <c r="GPH38" s="3"/>
      <c r="GPI38" s="3"/>
      <c r="GPJ38" s="3"/>
      <c r="GPK38" s="3"/>
      <c r="GPL38" s="3"/>
      <c r="GPM38" s="3"/>
      <c r="GPN38" s="3"/>
      <c r="GPO38" s="3"/>
      <c r="GPP38" s="3"/>
      <c r="GPQ38" s="3"/>
      <c r="GPR38" s="3"/>
      <c r="GPS38" s="3"/>
      <c r="GPT38" s="3"/>
      <c r="GPU38" s="3"/>
      <c r="GPV38" s="3"/>
      <c r="GPW38" s="3"/>
      <c r="GPX38" s="3"/>
      <c r="GPY38" s="3"/>
      <c r="GPZ38" s="3"/>
      <c r="GQA38" s="3"/>
      <c r="GQB38" s="3"/>
      <c r="GQC38" s="3"/>
      <c r="GQD38" s="3"/>
      <c r="GQE38" s="3"/>
      <c r="GQF38" s="3"/>
      <c r="GQG38" s="3"/>
      <c r="GQH38" s="3"/>
      <c r="GQI38" s="3"/>
      <c r="GQJ38" s="3"/>
      <c r="GQK38" s="3"/>
      <c r="GQL38" s="3"/>
      <c r="GQM38" s="3"/>
      <c r="GQN38" s="3"/>
      <c r="GQO38" s="3"/>
      <c r="GQP38" s="3"/>
      <c r="GQQ38" s="3"/>
      <c r="GQR38" s="3"/>
      <c r="GQS38" s="3"/>
      <c r="GQT38" s="3"/>
      <c r="GQU38" s="3"/>
      <c r="GQV38" s="3"/>
      <c r="GQW38" s="3"/>
      <c r="GQX38" s="3"/>
      <c r="GQY38" s="3"/>
      <c r="GQZ38" s="3"/>
      <c r="GRA38" s="3"/>
      <c r="GRB38" s="3"/>
      <c r="GRC38" s="3"/>
      <c r="GRD38" s="3"/>
      <c r="GRE38" s="3"/>
      <c r="GRF38" s="3"/>
      <c r="GRG38" s="3"/>
      <c r="GRH38" s="3"/>
      <c r="GRI38" s="3"/>
      <c r="GRJ38" s="3"/>
      <c r="GRK38" s="3"/>
      <c r="GRL38" s="3"/>
      <c r="GRM38" s="3"/>
      <c r="GRN38" s="3"/>
      <c r="GRO38" s="3"/>
      <c r="GRP38" s="3"/>
      <c r="GRQ38" s="3"/>
      <c r="GRR38" s="3"/>
      <c r="GRS38" s="3"/>
      <c r="GRT38" s="3"/>
      <c r="GRU38" s="3"/>
      <c r="GRV38" s="3"/>
      <c r="GRW38" s="3"/>
      <c r="GRX38" s="3"/>
      <c r="GRY38" s="3"/>
      <c r="GRZ38" s="3"/>
      <c r="GSA38" s="3"/>
      <c r="GSB38" s="3"/>
      <c r="GSC38" s="3"/>
      <c r="GSD38" s="3"/>
      <c r="GSE38" s="3"/>
      <c r="GSF38" s="3"/>
      <c r="GSG38" s="3"/>
      <c r="GSH38" s="3"/>
      <c r="GSI38" s="3"/>
      <c r="GSJ38" s="3"/>
      <c r="GSK38" s="3"/>
      <c r="GSL38" s="3"/>
      <c r="GSM38" s="3"/>
      <c r="GSN38" s="3"/>
      <c r="GSO38" s="3"/>
      <c r="GSP38" s="3"/>
      <c r="GSQ38" s="3"/>
      <c r="GSR38" s="3"/>
      <c r="GSS38" s="3"/>
      <c r="GST38" s="3"/>
      <c r="GSU38" s="3"/>
      <c r="GSV38" s="3"/>
      <c r="GSW38" s="3"/>
      <c r="GSX38" s="3"/>
      <c r="GSY38" s="3"/>
      <c r="GSZ38" s="3"/>
      <c r="GTA38" s="3"/>
      <c r="GTB38" s="3"/>
      <c r="GTC38" s="3"/>
      <c r="GTD38" s="3"/>
      <c r="GTE38" s="3"/>
      <c r="GTF38" s="3"/>
      <c r="GTG38" s="3"/>
      <c r="GTH38" s="3"/>
      <c r="GTI38" s="3"/>
      <c r="GTJ38" s="3"/>
      <c r="GTK38" s="3"/>
      <c r="GTL38" s="3"/>
      <c r="GTM38" s="3"/>
      <c r="GTN38" s="3"/>
      <c r="GTO38" s="3"/>
      <c r="GTP38" s="3"/>
      <c r="GTQ38" s="3"/>
      <c r="GTR38" s="3"/>
      <c r="GTS38" s="3"/>
      <c r="GTT38" s="3"/>
      <c r="GTU38" s="3"/>
      <c r="GTV38" s="3"/>
      <c r="GTW38" s="3"/>
      <c r="GTX38" s="3"/>
      <c r="GTY38" s="3"/>
      <c r="GTZ38" s="3"/>
      <c r="GUA38" s="3"/>
      <c r="GUB38" s="3"/>
      <c r="GUC38" s="3"/>
      <c r="GUD38" s="3"/>
      <c r="GUE38" s="3"/>
      <c r="GUF38" s="3"/>
      <c r="GUG38" s="3"/>
      <c r="GUH38" s="3"/>
      <c r="GUI38" s="3"/>
      <c r="GUJ38" s="3"/>
      <c r="GUK38" s="3"/>
      <c r="GUL38" s="3"/>
      <c r="GUM38" s="3"/>
      <c r="GUN38" s="3"/>
      <c r="GUO38" s="3"/>
      <c r="GUP38" s="3"/>
      <c r="GUQ38" s="3"/>
      <c r="GUR38" s="3"/>
      <c r="GUS38" s="3"/>
      <c r="GUT38" s="3"/>
      <c r="GUU38" s="3"/>
      <c r="GUV38" s="3"/>
      <c r="GUW38" s="3"/>
      <c r="GUX38" s="3"/>
      <c r="GUY38" s="3"/>
      <c r="GUZ38" s="3"/>
      <c r="GVA38" s="3"/>
      <c r="GVB38" s="3"/>
      <c r="GVC38" s="3"/>
      <c r="GVD38" s="3"/>
      <c r="GVE38" s="3"/>
      <c r="GVF38" s="3"/>
      <c r="GVG38" s="3"/>
      <c r="GVH38" s="3"/>
      <c r="GVI38" s="3"/>
      <c r="GVJ38" s="3"/>
      <c r="GVK38" s="3"/>
      <c r="GVL38" s="3"/>
      <c r="GVM38" s="3"/>
      <c r="GVN38" s="3"/>
      <c r="GVO38" s="3"/>
      <c r="GVP38" s="3"/>
      <c r="GVQ38" s="3"/>
      <c r="GVR38" s="3"/>
      <c r="GVS38" s="3"/>
      <c r="GVT38" s="3"/>
      <c r="GVU38" s="3"/>
      <c r="GVV38" s="3"/>
      <c r="GVW38" s="3"/>
      <c r="GVX38" s="3"/>
      <c r="GVY38" s="3"/>
      <c r="GVZ38" s="3"/>
      <c r="GWA38" s="3"/>
      <c r="GWB38" s="3"/>
      <c r="GWC38" s="3"/>
      <c r="GWD38" s="3"/>
      <c r="GWE38" s="3"/>
      <c r="GWF38" s="3"/>
      <c r="GWG38" s="3"/>
      <c r="GWH38" s="3"/>
      <c r="GWI38" s="3"/>
      <c r="GWJ38" s="3"/>
      <c r="GWK38" s="3"/>
      <c r="GWL38" s="3"/>
      <c r="GWM38" s="3"/>
      <c r="GWN38" s="3"/>
      <c r="GWO38" s="3"/>
      <c r="GWP38" s="3"/>
      <c r="GWQ38" s="3"/>
      <c r="GWR38" s="3"/>
      <c r="GWS38" s="3"/>
      <c r="GWT38" s="3"/>
      <c r="GWU38" s="3"/>
      <c r="GWV38" s="3"/>
      <c r="GWW38" s="3"/>
      <c r="GWX38" s="3"/>
      <c r="GWY38" s="3"/>
      <c r="GWZ38" s="3"/>
      <c r="GXA38" s="3"/>
      <c r="GXB38" s="3"/>
      <c r="GXC38" s="3"/>
      <c r="GXD38" s="3"/>
      <c r="GXE38" s="3"/>
      <c r="GXF38" s="3"/>
      <c r="GXG38" s="3"/>
      <c r="GXH38" s="3"/>
      <c r="GXI38" s="3"/>
      <c r="GXJ38" s="3"/>
      <c r="GXK38" s="3"/>
      <c r="GXL38" s="3"/>
      <c r="GXM38" s="3"/>
      <c r="GXN38" s="3"/>
      <c r="GXO38" s="3"/>
      <c r="GXP38" s="3"/>
      <c r="GXQ38" s="3"/>
      <c r="GXR38" s="3"/>
      <c r="GXS38" s="3"/>
      <c r="GXT38" s="3"/>
      <c r="GXU38" s="3"/>
      <c r="GXV38" s="3"/>
      <c r="GXW38" s="3"/>
      <c r="GXX38" s="3"/>
      <c r="GXY38" s="3"/>
      <c r="GXZ38" s="3"/>
      <c r="GYA38" s="3"/>
      <c r="GYB38" s="3"/>
      <c r="GYC38" s="3"/>
      <c r="GYD38" s="3"/>
      <c r="GYE38" s="3"/>
      <c r="GYF38" s="3"/>
      <c r="GYG38" s="3"/>
      <c r="GYH38" s="3"/>
      <c r="GYI38" s="3"/>
      <c r="GYJ38" s="3"/>
      <c r="GYK38" s="3"/>
      <c r="GYL38" s="3"/>
      <c r="GYM38" s="3"/>
      <c r="GYN38" s="3"/>
      <c r="GYO38" s="3"/>
      <c r="GYP38" s="3"/>
      <c r="GYQ38" s="3"/>
      <c r="GYR38" s="3"/>
      <c r="GYS38" s="3"/>
      <c r="GYT38" s="3"/>
      <c r="GYU38" s="3"/>
      <c r="GYV38" s="3"/>
      <c r="GYW38" s="3"/>
      <c r="GYX38" s="3"/>
      <c r="GYY38" s="3"/>
      <c r="GYZ38" s="3"/>
      <c r="GZA38" s="3"/>
      <c r="GZB38" s="3"/>
      <c r="GZC38" s="3"/>
      <c r="GZD38" s="3"/>
      <c r="GZE38" s="3"/>
      <c r="GZF38" s="3"/>
      <c r="GZG38" s="3"/>
      <c r="GZH38" s="3"/>
      <c r="GZI38" s="3"/>
      <c r="GZJ38" s="3"/>
      <c r="GZK38" s="3"/>
      <c r="GZL38" s="3"/>
      <c r="GZM38" s="3"/>
      <c r="GZN38" s="3"/>
      <c r="GZO38" s="3"/>
      <c r="GZP38" s="3"/>
      <c r="GZQ38" s="3"/>
      <c r="GZR38" s="3"/>
      <c r="GZS38" s="3"/>
      <c r="GZT38" s="3"/>
      <c r="GZU38" s="3"/>
      <c r="GZV38" s="3"/>
      <c r="GZW38" s="3"/>
      <c r="GZX38" s="3"/>
      <c r="GZY38" s="3"/>
      <c r="GZZ38" s="3"/>
      <c r="HAA38" s="3"/>
      <c r="HAB38" s="3"/>
      <c r="HAC38" s="3"/>
      <c r="HAD38" s="3"/>
      <c r="HAE38" s="3"/>
      <c r="HAF38" s="3"/>
      <c r="HAG38" s="3"/>
      <c r="HAH38" s="3"/>
      <c r="HAI38" s="3"/>
      <c r="HAJ38" s="3"/>
      <c r="HAK38" s="3"/>
      <c r="HAL38" s="3"/>
      <c r="HAM38" s="3"/>
      <c r="HAN38" s="3"/>
      <c r="HAO38" s="3"/>
      <c r="HAP38" s="3"/>
      <c r="HAQ38" s="3"/>
      <c r="HAR38" s="3"/>
      <c r="HAS38" s="3"/>
      <c r="HAT38" s="3"/>
      <c r="HAU38" s="3"/>
      <c r="HAV38" s="3"/>
      <c r="HAW38" s="3"/>
      <c r="HAX38" s="3"/>
      <c r="HAY38" s="3"/>
      <c r="HAZ38" s="3"/>
      <c r="HBA38" s="3"/>
      <c r="HBB38" s="3"/>
      <c r="HBC38" s="3"/>
      <c r="HBD38" s="3"/>
      <c r="HBE38" s="3"/>
      <c r="HBF38" s="3"/>
      <c r="HBG38" s="3"/>
      <c r="HBH38" s="3"/>
      <c r="HBI38" s="3"/>
      <c r="HBJ38" s="3"/>
      <c r="HBK38" s="3"/>
      <c r="HBL38" s="3"/>
      <c r="HBM38" s="3"/>
      <c r="HBN38" s="3"/>
      <c r="HBO38" s="3"/>
      <c r="HBP38" s="3"/>
      <c r="HBQ38" s="3"/>
      <c r="HBR38" s="3"/>
      <c r="HBS38" s="3"/>
      <c r="HBT38" s="3"/>
      <c r="HBU38" s="3"/>
      <c r="HBV38" s="3"/>
      <c r="HBW38" s="3"/>
      <c r="HBX38" s="3"/>
      <c r="HBY38" s="3"/>
      <c r="HBZ38" s="3"/>
      <c r="HCA38" s="3"/>
      <c r="HCB38" s="3"/>
      <c r="HCC38" s="3"/>
      <c r="HCD38" s="3"/>
      <c r="HCE38" s="3"/>
      <c r="HCF38" s="3"/>
      <c r="HCG38" s="3"/>
      <c r="HCH38" s="3"/>
      <c r="HCI38" s="3"/>
      <c r="HCJ38" s="3"/>
      <c r="HCK38" s="3"/>
      <c r="HCL38" s="3"/>
      <c r="HCM38" s="3"/>
      <c r="HCN38" s="3"/>
      <c r="HCO38" s="3"/>
      <c r="HCP38" s="3"/>
      <c r="HCQ38" s="3"/>
      <c r="HCR38" s="3"/>
      <c r="HCS38" s="3"/>
      <c r="HCT38" s="3"/>
      <c r="HCU38" s="3"/>
      <c r="HCV38" s="3"/>
      <c r="HCW38" s="3"/>
      <c r="HCX38" s="3"/>
      <c r="HCY38" s="3"/>
      <c r="HCZ38" s="3"/>
      <c r="HDA38" s="3"/>
      <c r="HDB38" s="3"/>
      <c r="HDC38" s="3"/>
      <c r="HDD38" s="3"/>
      <c r="HDE38" s="3"/>
      <c r="HDF38" s="3"/>
      <c r="HDG38" s="3"/>
      <c r="HDH38" s="3"/>
      <c r="HDI38" s="3"/>
      <c r="HDJ38" s="3"/>
      <c r="HDK38" s="3"/>
      <c r="HDL38" s="3"/>
      <c r="HDM38" s="3"/>
      <c r="HDN38" s="3"/>
      <c r="HDO38" s="3"/>
      <c r="HDP38" s="3"/>
      <c r="HDQ38" s="3"/>
      <c r="HDR38" s="3"/>
      <c r="HDS38" s="3"/>
      <c r="HDT38" s="3"/>
      <c r="HDU38" s="3"/>
      <c r="HDV38" s="3"/>
      <c r="HDW38" s="3"/>
      <c r="HDX38" s="3"/>
      <c r="HDY38" s="3"/>
      <c r="HDZ38" s="3"/>
      <c r="HEA38" s="3"/>
      <c r="HEB38" s="3"/>
      <c r="HEC38" s="3"/>
      <c r="HED38" s="3"/>
      <c r="HEE38" s="3"/>
      <c r="HEF38" s="3"/>
      <c r="HEG38" s="3"/>
      <c r="HEH38" s="3"/>
      <c r="HEI38" s="3"/>
      <c r="HEJ38" s="3"/>
      <c r="HEK38" s="3"/>
      <c r="HEL38" s="3"/>
      <c r="HEM38" s="3"/>
      <c r="HEN38" s="3"/>
      <c r="HEO38" s="3"/>
      <c r="HEP38" s="3"/>
      <c r="HEQ38" s="3"/>
      <c r="HER38" s="3"/>
      <c r="HES38" s="3"/>
      <c r="HET38" s="3"/>
      <c r="HEU38" s="3"/>
      <c r="HEV38" s="3"/>
      <c r="HEW38" s="3"/>
      <c r="HEX38" s="3"/>
      <c r="HEY38" s="3"/>
      <c r="HEZ38" s="3"/>
      <c r="HFA38" s="3"/>
      <c r="HFB38" s="3"/>
      <c r="HFC38" s="3"/>
      <c r="HFD38" s="3"/>
      <c r="HFE38" s="3"/>
      <c r="HFF38" s="3"/>
      <c r="HFG38" s="3"/>
      <c r="HFH38" s="3"/>
      <c r="HFI38" s="3"/>
      <c r="HFJ38" s="3"/>
      <c r="HFK38" s="3"/>
      <c r="HFL38" s="3"/>
      <c r="HFM38" s="3"/>
      <c r="HFN38" s="3"/>
      <c r="HFO38" s="3"/>
      <c r="HFP38" s="3"/>
      <c r="HFQ38" s="3"/>
      <c r="HFR38" s="3"/>
      <c r="HFS38" s="3"/>
      <c r="HFT38" s="3"/>
      <c r="HFU38" s="3"/>
      <c r="HFV38" s="3"/>
      <c r="HFW38" s="3"/>
      <c r="HFX38" s="3"/>
      <c r="HFY38" s="3"/>
      <c r="HFZ38" s="3"/>
      <c r="HGA38" s="3"/>
      <c r="HGB38" s="3"/>
      <c r="HGC38" s="3"/>
      <c r="HGD38" s="3"/>
      <c r="HGE38" s="3"/>
      <c r="HGF38" s="3"/>
      <c r="HGG38" s="3"/>
      <c r="HGH38" s="3"/>
      <c r="HGI38" s="3"/>
      <c r="HGJ38" s="3"/>
      <c r="HGK38" s="3"/>
      <c r="HGL38" s="3"/>
      <c r="HGM38" s="3"/>
      <c r="HGN38" s="3"/>
      <c r="HGO38" s="3"/>
      <c r="HGP38" s="3"/>
      <c r="HGQ38" s="3"/>
      <c r="HGR38" s="3"/>
      <c r="HGS38" s="3"/>
      <c r="HGT38" s="3"/>
      <c r="HGU38" s="3"/>
      <c r="HGV38" s="3"/>
      <c r="HGW38" s="3"/>
      <c r="HGX38" s="3"/>
      <c r="HGY38" s="3"/>
      <c r="HGZ38" s="3"/>
      <c r="HHA38" s="3"/>
      <c r="HHB38" s="3"/>
      <c r="HHC38" s="3"/>
      <c r="HHD38" s="3"/>
      <c r="HHE38" s="3"/>
      <c r="HHF38" s="3"/>
      <c r="HHG38" s="3"/>
      <c r="HHH38" s="3"/>
      <c r="HHI38" s="3"/>
      <c r="HHJ38" s="3"/>
      <c r="HHK38" s="3"/>
      <c r="HHL38" s="3"/>
      <c r="HHM38" s="3"/>
      <c r="HHN38" s="3"/>
      <c r="HHO38" s="3"/>
      <c r="HHP38" s="3"/>
      <c r="HHQ38" s="3"/>
      <c r="HHR38" s="3"/>
      <c r="HHS38" s="3"/>
      <c r="HHT38" s="3"/>
      <c r="HHU38" s="3"/>
      <c r="HHV38" s="3"/>
      <c r="HHW38" s="3"/>
      <c r="HHX38" s="3"/>
      <c r="HHY38" s="3"/>
      <c r="HHZ38" s="3"/>
      <c r="HIA38" s="3"/>
      <c r="HIB38" s="3"/>
      <c r="HIC38" s="3"/>
      <c r="HID38" s="3"/>
      <c r="HIE38" s="3"/>
      <c r="HIF38" s="3"/>
      <c r="HIG38" s="3"/>
      <c r="HIH38" s="3"/>
      <c r="HII38" s="3"/>
      <c r="HIJ38" s="3"/>
      <c r="HIK38" s="3"/>
      <c r="HIL38" s="3"/>
      <c r="HIM38" s="3"/>
      <c r="HIN38" s="3"/>
      <c r="HIO38" s="3"/>
      <c r="HIP38" s="3"/>
      <c r="HIQ38" s="3"/>
      <c r="HIR38" s="3"/>
      <c r="HIS38" s="3"/>
      <c r="HIT38" s="3"/>
      <c r="HIU38" s="3"/>
      <c r="HIV38" s="3"/>
      <c r="HIW38" s="3"/>
      <c r="HIX38" s="3"/>
      <c r="HIY38" s="3"/>
      <c r="HIZ38" s="3"/>
      <c r="HJA38" s="3"/>
      <c r="HJB38" s="3"/>
      <c r="HJC38" s="3"/>
      <c r="HJD38" s="3"/>
      <c r="HJE38" s="3"/>
      <c r="HJF38" s="3"/>
      <c r="HJG38" s="3"/>
      <c r="HJH38" s="3"/>
      <c r="HJI38" s="3"/>
      <c r="HJJ38" s="3"/>
      <c r="HJK38" s="3"/>
      <c r="HJL38" s="3"/>
      <c r="HJM38" s="3"/>
      <c r="HJN38" s="3"/>
      <c r="HJO38" s="3"/>
      <c r="HJP38" s="3"/>
      <c r="HJQ38" s="3"/>
      <c r="HJR38" s="3"/>
      <c r="HJS38" s="3"/>
      <c r="HJT38" s="3"/>
      <c r="HJU38" s="3"/>
      <c r="HJV38" s="3"/>
      <c r="HJW38" s="3"/>
      <c r="HJX38" s="3"/>
      <c r="HJY38" s="3"/>
      <c r="HJZ38" s="3"/>
      <c r="HKA38" s="3"/>
      <c r="HKB38" s="3"/>
      <c r="HKC38" s="3"/>
      <c r="HKD38" s="3"/>
      <c r="HKE38" s="3"/>
      <c r="HKF38" s="3"/>
      <c r="HKG38" s="3"/>
      <c r="HKH38" s="3"/>
      <c r="HKI38" s="3"/>
      <c r="HKJ38" s="3"/>
      <c r="HKK38" s="3"/>
      <c r="HKL38" s="3"/>
      <c r="HKM38" s="3"/>
      <c r="HKN38" s="3"/>
      <c r="HKO38" s="3"/>
      <c r="HKP38" s="3"/>
      <c r="HKQ38" s="3"/>
      <c r="HKR38" s="3"/>
      <c r="HKS38" s="3"/>
      <c r="HKT38" s="3"/>
      <c r="HKU38" s="3"/>
      <c r="HKV38" s="3"/>
      <c r="HKW38" s="3"/>
      <c r="HKX38" s="3"/>
      <c r="HKY38" s="3"/>
      <c r="HKZ38" s="3"/>
      <c r="HLA38" s="3"/>
      <c r="HLB38" s="3"/>
      <c r="HLC38" s="3"/>
      <c r="HLD38" s="3"/>
      <c r="HLE38" s="3"/>
      <c r="HLF38" s="3"/>
      <c r="HLG38" s="3"/>
      <c r="HLH38" s="3"/>
      <c r="HLI38" s="3"/>
      <c r="HLJ38" s="3"/>
      <c r="HLK38" s="3"/>
      <c r="HLL38" s="3"/>
      <c r="HLM38" s="3"/>
      <c r="HLN38" s="3"/>
      <c r="HLO38" s="3"/>
      <c r="HLP38" s="3"/>
      <c r="HLQ38" s="3"/>
      <c r="HLR38" s="3"/>
      <c r="HLS38" s="3"/>
      <c r="HLT38" s="3"/>
      <c r="HLU38" s="3"/>
      <c r="HLV38" s="3"/>
      <c r="HLW38" s="3"/>
      <c r="HLX38" s="3"/>
      <c r="HLY38" s="3"/>
      <c r="HLZ38" s="3"/>
      <c r="HMA38" s="3"/>
      <c r="HMB38" s="3"/>
      <c r="HMC38" s="3"/>
      <c r="HMD38" s="3"/>
      <c r="HME38" s="3"/>
      <c r="HMF38" s="3"/>
      <c r="HMG38" s="3"/>
      <c r="HMH38" s="3"/>
      <c r="HMI38" s="3"/>
      <c r="HMJ38" s="3"/>
      <c r="HMK38" s="3"/>
      <c r="HML38" s="3"/>
      <c r="HMM38" s="3"/>
      <c r="HMN38" s="3"/>
      <c r="HMO38" s="3"/>
      <c r="HMP38" s="3"/>
      <c r="HMQ38" s="3"/>
      <c r="HMR38" s="3"/>
      <c r="HMS38" s="3"/>
      <c r="HMT38" s="3"/>
      <c r="HMU38" s="3"/>
      <c r="HMV38" s="3"/>
      <c r="HMW38" s="3"/>
      <c r="HMX38" s="3"/>
      <c r="HMY38" s="3"/>
      <c r="HMZ38" s="3"/>
      <c r="HNA38" s="3"/>
      <c r="HNB38" s="3"/>
      <c r="HNC38" s="3"/>
      <c r="HND38" s="3"/>
      <c r="HNE38" s="3"/>
      <c r="HNF38" s="3"/>
      <c r="HNG38" s="3"/>
      <c r="HNH38" s="3"/>
      <c r="HNI38" s="3"/>
      <c r="HNJ38" s="3"/>
      <c r="HNK38" s="3"/>
      <c r="HNL38" s="3"/>
      <c r="HNM38" s="3"/>
      <c r="HNN38" s="3"/>
      <c r="HNO38" s="3"/>
      <c r="HNP38" s="3"/>
      <c r="HNQ38" s="3"/>
      <c r="HNR38" s="3"/>
      <c r="HNS38" s="3"/>
      <c r="HNT38" s="3"/>
      <c r="HNU38" s="3"/>
      <c r="HNV38" s="3"/>
      <c r="HNW38" s="3"/>
      <c r="HNX38" s="3"/>
      <c r="HNY38" s="3"/>
      <c r="HNZ38" s="3"/>
      <c r="HOA38" s="3"/>
      <c r="HOB38" s="3"/>
      <c r="HOC38" s="3"/>
      <c r="HOD38" s="3"/>
      <c r="HOE38" s="3"/>
      <c r="HOF38" s="3"/>
      <c r="HOG38" s="3"/>
      <c r="HOH38" s="3"/>
      <c r="HOI38" s="3"/>
      <c r="HOJ38" s="3"/>
      <c r="HOK38" s="3"/>
      <c r="HOL38" s="3"/>
      <c r="HOM38" s="3"/>
      <c r="HON38" s="3"/>
      <c r="HOO38" s="3"/>
      <c r="HOP38" s="3"/>
      <c r="HOQ38" s="3"/>
      <c r="HOR38" s="3"/>
      <c r="HOS38" s="3"/>
      <c r="HOT38" s="3"/>
      <c r="HOU38" s="3"/>
      <c r="HOV38" s="3"/>
      <c r="HOW38" s="3"/>
      <c r="HOX38" s="3"/>
      <c r="HOY38" s="3"/>
      <c r="HOZ38" s="3"/>
      <c r="HPA38" s="3"/>
      <c r="HPB38" s="3"/>
      <c r="HPC38" s="3"/>
      <c r="HPD38" s="3"/>
      <c r="HPE38" s="3"/>
      <c r="HPF38" s="3"/>
      <c r="HPG38" s="3"/>
      <c r="HPH38" s="3"/>
      <c r="HPI38" s="3"/>
      <c r="HPJ38" s="3"/>
      <c r="HPK38" s="3"/>
      <c r="HPL38" s="3"/>
      <c r="HPM38" s="3"/>
      <c r="HPN38" s="3"/>
      <c r="HPO38" s="3"/>
      <c r="HPP38" s="3"/>
      <c r="HPQ38" s="3"/>
      <c r="HPR38" s="3"/>
      <c r="HPS38" s="3"/>
      <c r="HPT38" s="3"/>
      <c r="HPU38" s="3"/>
      <c r="HPV38" s="3"/>
      <c r="HPW38" s="3"/>
      <c r="HPX38" s="3"/>
      <c r="HPY38" s="3"/>
      <c r="HPZ38" s="3"/>
      <c r="HQA38" s="3"/>
      <c r="HQB38" s="3"/>
      <c r="HQC38" s="3"/>
      <c r="HQD38" s="3"/>
      <c r="HQE38" s="3"/>
      <c r="HQF38" s="3"/>
      <c r="HQG38" s="3"/>
      <c r="HQH38" s="3"/>
      <c r="HQI38" s="3"/>
      <c r="HQJ38" s="3"/>
      <c r="HQK38" s="3"/>
      <c r="HQL38" s="3"/>
      <c r="HQM38" s="3"/>
      <c r="HQN38" s="3"/>
      <c r="HQO38" s="3"/>
      <c r="HQP38" s="3"/>
      <c r="HQQ38" s="3"/>
      <c r="HQR38" s="3"/>
      <c r="HQS38" s="3"/>
      <c r="HQT38" s="3"/>
      <c r="HQU38" s="3"/>
      <c r="HQV38" s="3"/>
      <c r="HQW38" s="3"/>
      <c r="HQX38" s="3"/>
      <c r="HQY38" s="3"/>
      <c r="HQZ38" s="3"/>
      <c r="HRA38" s="3"/>
      <c r="HRB38" s="3"/>
      <c r="HRC38" s="3"/>
      <c r="HRD38" s="3"/>
      <c r="HRE38" s="3"/>
      <c r="HRF38" s="3"/>
      <c r="HRG38" s="3"/>
      <c r="HRH38" s="3"/>
      <c r="HRI38" s="3"/>
      <c r="HRJ38" s="3"/>
      <c r="HRK38" s="3"/>
      <c r="HRL38" s="3"/>
      <c r="HRM38" s="3"/>
      <c r="HRN38" s="3"/>
      <c r="HRO38" s="3"/>
      <c r="HRP38" s="3"/>
      <c r="HRQ38" s="3"/>
      <c r="HRR38" s="3"/>
      <c r="HRS38" s="3"/>
      <c r="HRT38" s="3"/>
      <c r="HRU38" s="3"/>
      <c r="HRV38" s="3"/>
      <c r="HRW38" s="3"/>
      <c r="HRX38" s="3"/>
      <c r="HRY38" s="3"/>
      <c r="HRZ38" s="3"/>
      <c r="HSA38" s="3"/>
      <c r="HSB38" s="3"/>
      <c r="HSC38" s="3"/>
      <c r="HSD38" s="3"/>
      <c r="HSE38" s="3"/>
      <c r="HSF38" s="3"/>
      <c r="HSG38" s="3"/>
      <c r="HSH38" s="3"/>
      <c r="HSI38" s="3"/>
      <c r="HSJ38" s="3"/>
      <c r="HSK38" s="3"/>
      <c r="HSL38" s="3"/>
      <c r="HSM38" s="3"/>
      <c r="HSN38" s="3"/>
      <c r="HSO38" s="3"/>
      <c r="HSP38" s="3"/>
      <c r="HSQ38" s="3"/>
      <c r="HSR38" s="3"/>
      <c r="HSS38" s="3"/>
      <c r="HST38" s="3"/>
      <c r="HSU38" s="3"/>
      <c r="HSV38" s="3"/>
      <c r="HSW38" s="3"/>
      <c r="HSX38" s="3"/>
      <c r="HSY38" s="3"/>
      <c r="HSZ38" s="3"/>
      <c r="HTA38" s="3"/>
      <c r="HTB38" s="3"/>
      <c r="HTC38" s="3"/>
      <c r="HTD38" s="3"/>
      <c r="HTE38" s="3"/>
      <c r="HTF38" s="3"/>
      <c r="HTG38" s="3"/>
      <c r="HTH38" s="3"/>
      <c r="HTI38" s="3"/>
      <c r="HTJ38" s="3"/>
      <c r="HTK38" s="3"/>
      <c r="HTL38" s="3"/>
      <c r="HTM38" s="3"/>
      <c r="HTN38" s="3"/>
      <c r="HTO38" s="3"/>
      <c r="HTP38" s="3"/>
      <c r="HTQ38" s="3"/>
      <c r="HTR38" s="3"/>
      <c r="HTS38" s="3"/>
      <c r="HTT38" s="3"/>
      <c r="HTU38" s="3"/>
      <c r="HTV38" s="3"/>
      <c r="HTW38" s="3"/>
      <c r="HTX38" s="3"/>
      <c r="HTY38" s="3"/>
      <c r="HTZ38" s="3"/>
      <c r="HUA38" s="3"/>
      <c r="HUB38" s="3"/>
      <c r="HUC38" s="3"/>
      <c r="HUD38" s="3"/>
      <c r="HUE38" s="3"/>
      <c r="HUF38" s="3"/>
      <c r="HUG38" s="3"/>
      <c r="HUH38" s="3"/>
      <c r="HUI38" s="3"/>
      <c r="HUJ38" s="3"/>
      <c r="HUK38" s="3"/>
      <c r="HUL38" s="3"/>
      <c r="HUM38" s="3"/>
      <c r="HUN38" s="3"/>
      <c r="HUO38" s="3"/>
      <c r="HUP38" s="3"/>
      <c r="HUQ38" s="3"/>
      <c r="HUR38" s="3"/>
      <c r="HUS38" s="3"/>
      <c r="HUT38" s="3"/>
      <c r="HUU38" s="3"/>
      <c r="HUV38" s="3"/>
      <c r="HUW38" s="3"/>
      <c r="HUX38" s="3"/>
      <c r="HUY38" s="3"/>
      <c r="HUZ38" s="3"/>
      <c r="HVA38" s="3"/>
      <c r="HVB38" s="3"/>
      <c r="HVC38" s="3"/>
      <c r="HVD38" s="3"/>
      <c r="HVE38" s="3"/>
      <c r="HVF38" s="3"/>
      <c r="HVG38" s="3"/>
      <c r="HVH38" s="3"/>
      <c r="HVI38" s="3"/>
      <c r="HVJ38" s="3"/>
      <c r="HVK38" s="3"/>
      <c r="HVL38" s="3"/>
      <c r="HVM38" s="3"/>
      <c r="HVN38" s="3"/>
      <c r="HVO38" s="3"/>
      <c r="HVP38" s="3"/>
      <c r="HVQ38" s="3"/>
      <c r="HVR38" s="3"/>
      <c r="HVS38" s="3"/>
      <c r="HVT38" s="3"/>
      <c r="HVU38" s="3"/>
      <c r="HVV38" s="3"/>
      <c r="HVW38" s="3"/>
      <c r="HVX38" s="3"/>
      <c r="HVY38" s="3"/>
      <c r="HVZ38" s="3"/>
      <c r="HWA38" s="3"/>
      <c r="HWB38" s="3"/>
      <c r="HWC38" s="3"/>
      <c r="HWD38" s="3"/>
      <c r="HWE38" s="3"/>
      <c r="HWF38" s="3"/>
      <c r="HWG38" s="3"/>
      <c r="HWH38" s="3"/>
      <c r="HWI38" s="3"/>
      <c r="HWJ38" s="3"/>
      <c r="HWK38" s="3"/>
      <c r="HWL38" s="3"/>
      <c r="HWM38" s="3"/>
      <c r="HWN38" s="3"/>
      <c r="HWO38" s="3"/>
      <c r="HWP38" s="3"/>
      <c r="HWQ38" s="3"/>
      <c r="HWR38" s="3"/>
      <c r="HWS38" s="3"/>
      <c r="HWT38" s="3"/>
      <c r="HWU38" s="3"/>
      <c r="HWV38" s="3"/>
      <c r="HWW38" s="3"/>
      <c r="HWX38" s="3"/>
      <c r="HWY38" s="3"/>
      <c r="HWZ38" s="3"/>
      <c r="HXA38" s="3"/>
      <c r="HXB38" s="3"/>
      <c r="HXC38" s="3"/>
      <c r="HXD38" s="3"/>
      <c r="HXE38" s="3"/>
      <c r="HXF38" s="3"/>
      <c r="HXG38" s="3"/>
      <c r="HXH38" s="3"/>
      <c r="HXI38" s="3"/>
      <c r="HXJ38" s="3"/>
      <c r="HXK38" s="3"/>
      <c r="HXL38" s="3"/>
      <c r="HXM38" s="3"/>
      <c r="HXN38" s="3"/>
      <c r="HXO38" s="3"/>
      <c r="HXP38" s="3"/>
      <c r="HXQ38" s="3"/>
      <c r="HXR38" s="3"/>
      <c r="HXS38" s="3"/>
      <c r="HXT38" s="3"/>
      <c r="HXU38" s="3"/>
      <c r="HXV38" s="3"/>
      <c r="HXW38" s="3"/>
      <c r="HXX38" s="3"/>
      <c r="HXY38" s="3"/>
      <c r="HXZ38" s="3"/>
      <c r="HYA38" s="3"/>
      <c r="HYB38" s="3"/>
      <c r="HYC38" s="3"/>
      <c r="HYD38" s="3"/>
      <c r="HYE38" s="3"/>
      <c r="HYF38" s="3"/>
      <c r="HYG38" s="3"/>
      <c r="HYH38" s="3"/>
      <c r="HYI38" s="3"/>
      <c r="HYJ38" s="3"/>
      <c r="HYK38" s="3"/>
      <c r="HYL38" s="3"/>
      <c r="HYM38" s="3"/>
      <c r="HYN38" s="3"/>
      <c r="HYO38" s="3"/>
      <c r="HYP38" s="3"/>
      <c r="HYQ38" s="3"/>
      <c r="HYR38" s="3"/>
      <c r="HYS38" s="3"/>
      <c r="HYT38" s="3"/>
      <c r="HYU38" s="3"/>
      <c r="HYV38" s="3"/>
      <c r="HYW38" s="3"/>
      <c r="HYX38" s="3"/>
      <c r="HYY38" s="3"/>
      <c r="HYZ38" s="3"/>
      <c r="HZA38" s="3"/>
      <c r="HZB38" s="3"/>
      <c r="HZC38" s="3"/>
      <c r="HZD38" s="3"/>
      <c r="HZE38" s="3"/>
      <c r="HZF38" s="3"/>
      <c r="HZG38" s="3"/>
      <c r="HZH38" s="3"/>
      <c r="HZI38" s="3"/>
      <c r="HZJ38" s="3"/>
      <c r="HZK38" s="3"/>
      <c r="HZL38" s="3"/>
      <c r="HZM38" s="3"/>
      <c r="HZN38" s="3"/>
      <c r="HZO38" s="3"/>
      <c r="HZP38" s="3"/>
      <c r="HZQ38" s="3"/>
      <c r="HZR38" s="3"/>
      <c r="HZS38" s="3"/>
      <c r="HZT38" s="3"/>
      <c r="HZU38" s="3"/>
      <c r="HZV38" s="3"/>
      <c r="HZW38" s="3"/>
      <c r="HZX38" s="3"/>
      <c r="HZY38" s="3"/>
      <c r="HZZ38" s="3"/>
      <c r="IAA38" s="3"/>
      <c r="IAB38" s="3"/>
      <c r="IAC38" s="3"/>
      <c r="IAD38" s="3"/>
      <c r="IAE38" s="3"/>
      <c r="IAF38" s="3"/>
      <c r="IAG38" s="3"/>
      <c r="IAH38" s="3"/>
      <c r="IAI38" s="3"/>
      <c r="IAJ38" s="3"/>
      <c r="IAK38" s="3"/>
      <c r="IAL38" s="3"/>
      <c r="IAM38" s="3"/>
      <c r="IAN38" s="3"/>
      <c r="IAO38" s="3"/>
      <c r="IAP38" s="3"/>
      <c r="IAQ38" s="3"/>
      <c r="IAR38" s="3"/>
      <c r="IAS38" s="3"/>
      <c r="IAT38" s="3"/>
      <c r="IAU38" s="3"/>
      <c r="IAV38" s="3"/>
      <c r="IAW38" s="3"/>
      <c r="IAX38" s="3"/>
      <c r="IAY38" s="3"/>
      <c r="IAZ38" s="3"/>
      <c r="IBA38" s="3"/>
      <c r="IBB38" s="3"/>
      <c r="IBC38" s="3"/>
      <c r="IBD38" s="3"/>
      <c r="IBE38" s="3"/>
      <c r="IBF38" s="3"/>
      <c r="IBG38" s="3"/>
      <c r="IBH38" s="3"/>
      <c r="IBI38" s="3"/>
      <c r="IBJ38" s="3"/>
      <c r="IBK38" s="3"/>
      <c r="IBL38" s="3"/>
      <c r="IBM38" s="3"/>
      <c r="IBN38" s="3"/>
      <c r="IBO38" s="3"/>
      <c r="IBP38" s="3"/>
      <c r="IBQ38" s="3"/>
      <c r="IBR38" s="3"/>
      <c r="IBS38" s="3"/>
      <c r="IBT38" s="3"/>
      <c r="IBU38" s="3"/>
      <c r="IBV38" s="3"/>
      <c r="IBW38" s="3"/>
      <c r="IBX38" s="3"/>
      <c r="IBY38" s="3"/>
      <c r="IBZ38" s="3"/>
      <c r="ICA38" s="3"/>
      <c r="ICB38" s="3"/>
      <c r="ICC38" s="3"/>
      <c r="ICD38" s="3"/>
      <c r="ICE38" s="3"/>
      <c r="ICF38" s="3"/>
      <c r="ICG38" s="3"/>
      <c r="ICH38" s="3"/>
      <c r="ICI38" s="3"/>
      <c r="ICJ38" s="3"/>
      <c r="ICK38" s="3"/>
      <c r="ICL38" s="3"/>
      <c r="ICM38" s="3"/>
      <c r="ICN38" s="3"/>
      <c r="ICO38" s="3"/>
      <c r="ICP38" s="3"/>
      <c r="ICQ38" s="3"/>
      <c r="ICR38" s="3"/>
      <c r="ICS38" s="3"/>
      <c r="ICT38" s="3"/>
      <c r="ICU38" s="3"/>
      <c r="ICV38" s="3"/>
      <c r="ICW38" s="3"/>
      <c r="ICX38" s="3"/>
      <c r="ICY38" s="3"/>
      <c r="ICZ38" s="3"/>
      <c r="IDA38" s="3"/>
      <c r="IDB38" s="3"/>
      <c r="IDC38" s="3"/>
      <c r="IDD38" s="3"/>
      <c r="IDE38" s="3"/>
      <c r="IDF38" s="3"/>
      <c r="IDG38" s="3"/>
      <c r="IDH38" s="3"/>
      <c r="IDI38" s="3"/>
      <c r="IDJ38" s="3"/>
      <c r="IDK38" s="3"/>
      <c r="IDL38" s="3"/>
      <c r="IDM38" s="3"/>
      <c r="IDN38" s="3"/>
      <c r="IDO38" s="3"/>
      <c r="IDP38" s="3"/>
      <c r="IDQ38" s="3"/>
      <c r="IDR38" s="3"/>
      <c r="IDS38" s="3"/>
      <c r="IDT38" s="3"/>
      <c r="IDU38" s="3"/>
      <c r="IDV38" s="3"/>
      <c r="IDW38" s="3"/>
      <c r="IDX38" s="3"/>
      <c r="IDY38" s="3"/>
      <c r="IDZ38" s="3"/>
      <c r="IEA38" s="3"/>
      <c r="IEB38" s="3"/>
      <c r="IEC38" s="3"/>
      <c r="IED38" s="3"/>
      <c r="IEE38" s="3"/>
      <c r="IEF38" s="3"/>
      <c r="IEG38" s="3"/>
      <c r="IEH38" s="3"/>
      <c r="IEI38" s="3"/>
      <c r="IEJ38" s="3"/>
      <c r="IEK38" s="3"/>
      <c r="IEL38" s="3"/>
      <c r="IEM38" s="3"/>
      <c r="IEN38" s="3"/>
      <c r="IEO38" s="3"/>
      <c r="IEP38" s="3"/>
      <c r="IEQ38" s="3"/>
      <c r="IER38" s="3"/>
      <c r="IES38" s="3"/>
      <c r="IET38" s="3"/>
      <c r="IEU38" s="3"/>
      <c r="IEV38" s="3"/>
      <c r="IEW38" s="3"/>
      <c r="IEX38" s="3"/>
      <c r="IEY38" s="3"/>
      <c r="IEZ38" s="3"/>
      <c r="IFA38" s="3"/>
      <c r="IFB38" s="3"/>
      <c r="IFC38" s="3"/>
      <c r="IFD38" s="3"/>
      <c r="IFE38" s="3"/>
      <c r="IFF38" s="3"/>
      <c r="IFG38" s="3"/>
      <c r="IFH38" s="3"/>
      <c r="IFI38" s="3"/>
      <c r="IFJ38" s="3"/>
      <c r="IFK38" s="3"/>
      <c r="IFL38" s="3"/>
      <c r="IFM38" s="3"/>
      <c r="IFN38" s="3"/>
      <c r="IFO38" s="3"/>
      <c r="IFP38" s="3"/>
      <c r="IFQ38" s="3"/>
      <c r="IFR38" s="3"/>
      <c r="IFS38" s="3"/>
      <c r="IFT38" s="3"/>
      <c r="IFU38" s="3"/>
      <c r="IFV38" s="3"/>
      <c r="IFW38" s="3"/>
      <c r="IFX38" s="3"/>
      <c r="IFY38" s="3"/>
      <c r="IFZ38" s="3"/>
      <c r="IGA38" s="3"/>
      <c r="IGB38" s="3"/>
      <c r="IGC38" s="3"/>
      <c r="IGD38" s="3"/>
      <c r="IGE38" s="3"/>
      <c r="IGF38" s="3"/>
      <c r="IGG38" s="3"/>
      <c r="IGH38" s="3"/>
      <c r="IGI38" s="3"/>
      <c r="IGJ38" s="3"/>
      <c r="IGK38" s="3"/>
      <c r="IGL38" s="3"/>
      <c r="IGM38" s="3"/>
      <c r="IGN38" s="3"/>
      <c r="IGO38" s="3"/>
      <c r="IGP38" s="3"/>
      <c r="IGQ38" s="3"/>
      <c r="IGR38" s="3"/>
      <c r="IGS38" s="3"/>
      <c r="IGT38" s="3"/>
      <c r="IGU38" s="3"/>
      <c r="IGV38" s="3"/>
      <c r="IGW38" s="3"/>
      <c r="IGX38" s="3"/>
      <c r="IGY38" s="3"/>
      <c r="IGZ38" s="3"/>
      <c r="IHA38" s="3"/>
      <c r="IHB38" s="3"/>
      <c r="IHC38" s="3"/>
      <c r="IHD38" s="3"/>
      <c r="IHE38" s="3"/>
      <c r="IHF38" s="3"/>
      <c r="IHG38" s="3"/>
      <c r="IHH38" s="3"/>
      <c r="IHI38" s="3"/>
      <c r="IHJ38" s="3"/>
      <c r="IHK38" s="3"/>
      <c r="IHL38" s="3"/>
      <c r="IHM38" s="3"/>
      <c r="IHN38" s="3"/>
      <c r="IHO38" s="3"/>
      <c r="IHP38" s="3"/>
      <c r="IHQ38" s="3"/>
      <c r="IHR38" s="3"/>
      <c r="IHS38" s="3"/>
      <c r="IHT38" s="3"/>
      <c r="IHU38" s="3"/>
      <c r="IHV38" s="3"/>
      <c r="IHW38" s="3"/>
      <c r="IHX38" s="3"/>
      <c r="IHY38" s="3"/>
      <c r="IHZ38" s="3"/>
      <c r="IIA38" s="3"/>
      <c r="IIB38" s="3"/>
      <c r="IIC38" s="3"/>
      <c r="IID38" s="3"/>
      <c r="IIE38" s="3"/>
      <c r="IIF38" s="3"/>
      <c r="IIG38" s="3"/>
      <c r="IIH38" s="3"/>
      <c r="III38" s="3"/>
      <c r="IIJ38" s="3"/>
      <c r="IIK38" s="3"/>
      <c r="IIL38" s="3"/>
      <c r="IIM38" s="3"/>
      <c r="IIN38" s="3"/>
      <c r="IIO38" s="3"/>
      <c r="IIP38" s="3"/>
      <c r="IIQ38" s="3"/>
      <c r="IIR38" s="3"/>
      <c r="IIS38" s="3"/>
      <c r="IIT38" s="3"/>
      <c r="IIU38" s="3"/>
      <c r="IIV38" s="3"/>
      <c r="IIW38" s="3"/>
      <c r="IIX38" s="3"/>
      <c r="IIY38" s="3"/>
      <c r="IIZ38" s="3"/>
      <c r="IJA38" s="3"/>
      <c r="IJB38" s="3"/>
      <c r="IJC38" s="3"/>
      <c r="IJD38" s="3"/>
      <c r="IJE38" s="3"/>
      <c r="IJF38" s="3"/>
      <c r="IJG38" s="3"/>
      <c r="IJH38" s="3"/>
      <c r="IJI38" s="3"/>
      <c r="IJJ38" s="3"/>
      <c r="IJK38" s="3"/>
      <c r="IJL38" s="3"/>
      <c r="IJM38" s="3"/>
      <c r="IJN38" s="3"/>
      <c r="IJO38" s="3"/>
      <c r="IJP38" s="3"/>
      <c r="IJQ38" s="3"/>
      <c r="IJR38" s="3"/>
      <c r="IJS38" s="3"/>
      <c r="IJT38" s="3"/>
      <c r="IJU38" s="3"/>
      <c r="IJV38" s="3"/>
      <c r="IJW38" s="3"/>
      <c r="IJX38" s="3"/>
      <c r="IJY38" s="3"/>
      <c r="IJZ38" s="3"/>
      <c r="IKA38" s="3"/>
      <c r="IKB38" s="3"/>
      <c r="IKC38" s="3"/>
      <c r="IKD38" s="3"/>
      <c r="IKE38" s="3"/>
      <c r="IKF38" s="3"/>
      <c r="IKG38" s="3"/>
      <c r="IKH38" s="3"/>
      <c r="IKI38" s="3"/>
      <c r="IKJ38" s="3"/>
      <c r="IKK38" s="3"/>
      <c r="IKL38" s="3"/>
      <c r="IKM38" s="3"/>
      <c r="IKN38" s="3"/>
      <c r="IKO38" s="3"/>
      <c r="IKP38" s="3"/>
      <c r="IKQ38" s="3"/>
      <c r="IKR38" s="3"/>
      <c r="IKS38" s="3"/>
      <c r="IKT38" s="3"/>
      <c r="IKU38" s="3"/>
      <c r="IKV38" s="3"/>
      <c r="IKW38" s="3"/>
      <c r="IKX38" s="3"/>
      <c r="IKY38" s="3"/>
      <c r="IKZ38" s="3"/>
      <c r="ILA38" s="3"/>
      <c r="ILB38" s="3"/>
      <c r="ILC38" s="3"/>
      <c r="ILD38" s="3"/>
      <c r="ILE38" s="3"/>
      <c r="ILF38" s="3"/>
      <c r="ILG38" s="3"/>
      <c r="ILH38" s="3"/>
      <c r="ILI38" s="3"/>
      <c r="ILJ38" s="3"/>
      <c r="ILK38" s="3"/>
      <c r="ILL38" s="3"/>
      <c r="ILM38" s="3"/>
      <c r="ILN38" s="3"/>
      <c r="ILO38" s="3"/>
      <c r="ILP38" s="3"/>
      <c r="ILQ38" s="3"/>
      <c r="ILR38" s="3"/>
      <c r="ILS38" s="3"/>
      <c r="ILT38" s="3"/>
      <c r="ILU38" s="3"/>
      <c r="ILV38" s="3"/>
      <c r="ILW38" s="3"/>
      <c r="ILX38" s="3"/>
      <c r="ILY38" s="3"/>
      <c r="ILZ38" s="3"/>
      <c r="IMA38" s="3"/>
      <c r="IMB38" s="3"/>
      <c r="IMC38" s="3"/>
      <c r="IMD38" s="3"/>
      <c r="IME38" s="3"/>
      <c r="IMF38" s="3"/>
      <c r="IMG38" s="3"/>
      <c r="IMH38" s="3"/>
      <c r="IMI38" s="3"/>
      <c r="IMJ38" s="3"/>
      <c r="IMK38" s="3"/>
      <c r="IML38" s="3"/>
      <c r="IMM38" s="3"/>
      <c r="IMN38" s="3"/>
      <c r="IMO38" s="3"/>
      <c r="IMP38" s="3"/>
      <c r="IMQ38" s="3"/>
      <c r="IMR38" s="3"/>
      <c r="IMS38" s="3"/>
      <c r="IMT38" s="3"/>
      <c r="IMU38" s="3"/>
      <c r="IMV38" s="3"/>
      <c r="IMW38" s="3"/>
      <c r="IMX38" s="3"/>
      <c r="IMY38" s="3"/>
      <c r="IMZ38" s="3"/>
      <c r="INA38" s="3"/>
      <c r="INB38" s="3"/>
      <c r="INC38" s="3"/>
      <c r="IND38" s="3"/>
      <c r="INE38" s="3"/>
      <c r="INF38" s="3"/>
      <c r="ING38" s="3"/>
      <c r="INH38" s="3"/>
      <c r="INI38" s="3"/>
      <c r="INJ38" s="3"/>
      <c r="INK38" s="3"/>
      <c r="INL38" s="3"/>
      <c r="INM38" s="3"/>
      <c r="INN38" s="3"/>
      <c r="INO38" s="3"/>
      <c r="INP38" s="3"/>
      <c r="INQ38" s="3"/>
      <c r="INR38" s="3"/>
      <c r="INS38" s="3"/>
      <c r="INT38" s="3"/>
      <c r="INU38" s="3"/>
      <c r="INV38" s="3"/>
      <c r="INW38" s="3"/>
      <c r="INX38" s="3"/>
      <c r="INY38" s="3"/>
      <c r="INZ38" s="3"/>
      <c r="IOA38" s="3"/>
      <c r="IOB38" s="3"/>
      <c r="IOC38" s="3"/>
      <c r="IOD38" s="3"/>
      <c r="IOE38" s="3"/>
      <c r="IOF38" s="3"/>
      <c r="IOG38" s="3"/>
      <c r="IOH38" s="3"/>
      <c r="IOI38" s="3"/>
      <c r="IOJ38" s="3"/>
      <c r="IOK38" s="3"/>
      <c r="IOL38" s="3"/>
      <c r="IOM38" s="3"/>
      <c r="ION38" s="3"/>
      <c r="IOO38" s="3"/>
      <c r="IOP38" s="3"/>
      <c r="IOQ38" s="3"/>
      <c r="IOR38" s="3"/>
      <c r="IOS38" s="3"/>
      <c r="IOT38" s="3"/>
      <c r="IOU38" s="3"/>
      <c r="IOV38" s="3"/>
      <c r="IOW38" s="3"/>
      <c r="IOX38" s="3"/>
      <c r="IOY38" s="3"/>
      <c r="IOZ38" s="3"/>
      <c r="IPA38" s="3"/>
      <c r="IPB38" s="3"/>
      <c r="IPC38" s="3"/>
      <c r="IPD38" s="3"/>
      <c r="IPE38" s="3"/>
      <c r="IPF38" s="3"/>
      <c r="IPG38" s="3"/>
      <c r="IPH38" s="3"/>
      <c r="IPI38" s="3"/>
      <c r="IPJ38" s="3"/>
      <c r="IPK38" s="3"/>
      <c r="IPL38" s="3"/>
      <c r="IPM38" s="3"/>
      <c r="IPN38" s="3"/>
      <c r="IPO38" s="3"/>
      <c r="IPP38" s="3"/>
      <c r="IPQ38" s="3"/>
      <c r="IPR38" s="3"/>
      <c r="IPS38" s="3"/>
      <c r="IPT38" s="3"/>
      <c r="IPU38" s="3"/>
      <c r="IPV38" s="3"/>
      <c r="IPW38" s="3"/>
      <c r="IPX38" s="3"/>
      <c r="IPY38" s="3"/>
      <c r="IPZ38" s="3"/>
      <c r="IQA38" s="3"/>
      <c r="IQB38" s="3"/>
      <c r="IQC38" s="3"/>
      <c r="IQD38" s="3"/>
      <c r="IQE38" s="3"/>
      <c r="IQF38" s="3"/>
      <c r="IQG38" s="3"/>
      <c r="IQH38" s="3"/>
      <c r="IQI38" s="3"/>
      <c r="IQJ38" s="3"/>
      <c r="IQK38" s="3"/>
      <c r="IQL38" s="3"/>
      <c r="IQM38" s="3"/>
      <c r="IQN38" s="3"/>
      <c r="IQO38" s="3"/>
      <c r="IQP38" s="3"/>
      <c r="IQQ38" s="3"/>
      <c r="IQR38" s="3"/>
      <c r="IQS38" s="3"/>
      <c r="IQT38" s="3"/>
      <c r="IQU38" s="3"/>
      <c r="IQV38" s="3"/>
      <c r="IQW38" s="3"/>
      <c r="IQX38" s="3"/>
      <c r="IQY38" s="3"/>
      <c r="IQZ38" s="3"/>
      <c r="IRA38" s="3"/>
      <c r="IRB38" s="3"/>
      <c r="IRC38" s="3"/>
      <c r="IRD38" s="3"/>
      <c r="IRE38" s="3"/>
      <c r="IRF38" s="3"/>
      <c r="IRG38" s="3"/>
      <c r="IRH38" s="3"/>
      <c r="IRI38" s="3"/>
      <c r="IRJ38" s="3"/>
      <c r="IRK38" s="3"/>
      <c r="IRL38" s="3"/>
      <c r="IRM38" s="3"/>
      <c r="IRN38" s="3"/>
      <c r="IRO38" s="3"/>
      <c r="IRP38" s="3"/>
      <c r="IRQ38" s="3"/>
      <c r="IRR38" s="3"/>
      <c r="IRS38" s="3"/>
      <c r="IRT38" s="3"/>
      <c r="IRU38" s="3"/>
      <c r="IRV38" s="3"/>
      <c r="IRW38" s="3"/>
      <c r="IRX38" s="3"/>
      <c r="IRY38" s="3"/>
      <c r="IRZ38" s="3"/>
      <c r="ISA38" s="3"/>
      <c r="ISB38" s="3"/>
      <c r="ISC38" s="3"/>
      <c r="ISD38" s="3"/>
      <c r="ISE38" s="3"/>
      <c r="ISF38" s="3"/>
      <c r="ISG38" s="3"/>
      <c r="ISH38" s="3"/>
      <c r="ISI38" s="3"/>
      <c r="ISJ38" s="3"/>
      <c r="ISK38" s="3"/>
      <c r="ISL38" s="3"/>
      <c r="ISM38" s="3"/>
      <c r="ISN38" s="3"/>
      <c r="ISO38" s="3"/>
      <c r="ISP38" s="3"/>
      <c r="ISQ38" s="3"/>
      <c r="ISR38" s="3"/>
      <c r="ISS38" s="3"/>
      <c r="IST38" s="3"/>
      <c r="ISU38" s="3"/>
      <c r="ISV38" s="3"/>
      <c r="ISW38" s="3"/>
      <c r="ISX38" s="3"/>
      <c r="ISY38" s="3"/>
      <c r="ISZ38" s="3"/>
      <c r="ITA38" s="3"/>
      <c r="ITB38" s="3"/>
      <c r="ITC38" s="3"/>
      <c r="ITD38" s="3"/>
      <c r="ITE38" s="3"/>
      <c r="ITF38" s="3"/>
      <c r="ITG38" s="3"/>
      <c r="ITH38" s="3"/>
      <c r="ITI38" s="3"/>
      <c r="ITJ38" s="3"/>
      <c r="ITK38" s="3"/>
      <c r="ITL38" s="3"/>
      <c r="ITM38" s="3"/>
      <c r="ITN38" s="3"/>
      <c r="ITO38" s="3"/>
      <c r="ITP38" s="3"/>
      <c r="ITQ38" s="3"/>
      <c r="ITR38" s="3"/>
      <c r="ITS38" s="3"/>
      <c r="ITT38" s="3"/>
      <c r="ITU38" s="3"/>
      <c r="ITV38" s="3"/>
      <c r="ITW38" s="3"/>
      <c r="ITX38" s="3"/>
      <c r="ITY38" s="3"/>
      <c r="ITZ38" s="3"/>
      <c r="IUA38" s="3"/>
      <c r="IUB38" s="3"/>
      <c r="IUC38" s="3"/>
      <c r="IUD38" s="3"/>
      <c r="IUE38" s="3"/>
      <c r="IUF38" s="3"/>
      <c r="IUG38" s="3"/>
      <c r="IUH38" s="3"/>
      <c r="IUI38" s="3"/>
      <c r="IUJ38" s="3"/>
      <c r="IUK38" s="3"/>
      <c r="IUL38" s="3"/>
      <c r="IUM38" s="3"/>
      <c r="IUN38" s="3"/>
      <c r="IUO38" s="3"/>
      <c r="IUP38" s="3"/>
      <c r="IUQ38" s="3"/>
      <c r="IUR38" s="3"/>
      <c r="IUS38" s="3"/>
      <c r="IUT38" s="3"/>
      <c r="IUU38" s="3"/>
      <c r="IUV38" s="3"/>
      <c r="IUW38" s="3"/>
      <c r="IUX38" s="3"/>
      <c r="IUY38" s="3"/>
      <c r="IUZ38" s="3"/>
      <c r="IVA38" s="3"/>
      <c r="IVB38" s="3"/>
      <c r="IVC38" s="3"/>
      <c r="IVD38" s="3"/>
      <c r="IVE38" s="3"/>
      <c r="IVF38" s="3"/>
      <c r="IVG38" s="3"/>
      <c r="IVH38" s="3"/>
      <c r="IVI38" s="3"/>
      <c r="IVJ38" s="3"/>
      <c r="IVK38" s="3"/>
      <c r="IVL38" s="3"/>
      <c r="IVM38" s="3"/>
      <c r="IVN38" s="3"/>
      <c r="IVO38" s="3"/>
      <c r="IVP38" s="3"/>
      <c r="IVQ38" s="3"/>
      <c r="IVR38" s="3"/>
      <c r="IVS38" s="3"/>
      <c r="IVT38" s="3"/>
      <c r="IVU38" s="3"/>
      <c r="IVV38" s="3"/>
      <c r="IVW38" s="3"/>
      <c r="IVX38" s="3"/>
      <c r="IVY38" s="3"/>
      <c r="IVZ38" s="3"/>
      <c r="IWA38" s="3"/>
      <c r="IWB38" s="3"/>
      <c r="IWC38" s="3"/>
      <c r="IWD38" s="3"/>
      <c r="IWE38" s="3"/>
      <c r="IWF38" s="3"/>
      <c r="IWG38" s="3"/>
      <c r="IWH38" s="3"/>
      <c r="IWI38" s="3"/>
      <c r="IWJ38" s="3"/>
      <c r="IWK38" s="3"/>
      <c r="IWL38" s="3"/>
      <c r="IWM38" s="3"/>
      <c r="IWN38" s="3"/>
      <c r="IWO38" s="3"/>
      <c r="IWP38" s="3"/>
      <c r="IWQ38" s="3"/>
      <c r="IWR38" s="3"/>
      <c r="IWS38" s="3"/>
      <c r="IWT38" s="3"/>
      <c r="IWU38" s="3"/>
      <c r="IWV38" s="3"/>
      <c r="IWW38" s="3"/>
      <c r="IWX38" s="3"/>
      <c r="IWY38" s="3"/>
      <c r="IWZ38" s="3"/>
      <c r="IXA38" s="3"/>
      <c r="IXB38" s="3"/>
      <c r="IXC38" s="3"/>
      <c r="IXD38" s="3"/>
      <c r="IXE38" s="3"/>
      <c r="IXF38" s="3"/>
      <c r="IXG38" s="3"/>
      <c r="IXH38" s="3"/>
      <c r="IXI38" s="3"/>
      <c r="IXJ38" s="3"/>
      <c r="IXK38" s="3"/>
      <c r="IXL38" s="3"/>
      <c r="IXM38" s="3"/>
      <c r="IXN38" s="3"/>
      <c r="IXO38" s="3"/>
      <c r="IXP38" s="3"/>
      <c r="IXQ38" s="3"/>
      <c r="IXR38" s="3"/>
      <c r="IXS38" s="3"/>
      <c r="IXT38" s="3"/>
      <c r="IXU38" s="3"/>
      <c r="IXV38" s="3"/>
      <c r="IXW38" s="3"/>
      <c r="IXX38" s="3"/>
      <c r="IXY38" s="3"/>
      <c r="IXZ38" s="3"/>
      <c r="IYA38" s="3"/>
      <c r="IYB38" s="3"/>
      <c r="IYC38" s="3"/>
      <c r="IYD38" s="3"/>
      <c r="IYE38" s="3"/>
      <c r="IYF38" s="3"/>
      <c r="IYG38" s="3"/>
      <c r="IYH38" s="3"/>
      <c r="IYI38" s="3"/>
      <c r="IYJ38" s="3"/>
      <c r="IYK38" s="3"/>
      <c r="IYL38" s="3"/>
      <c r="IYM38" s="3"/>
      <c r="IYN38" s="3"/>
      <c r="IYO38" s="3"/>
      <c r="IYP38" s="3"/>
      <c r="IYQ38" s="3"/>
      <c r="IYR38" s="3"/>
      <c r="IYS38" s="3"/>
      <c r="IYT38" s="3"/>
      <c r="IYU38" s="3"/>
      <c r="IYV38" s="3"/>
      <c r="IYW38" s="3"/>
      <c r="IYX38" s="3"/>
      <c r="IYY38" s="3"/>
      <c r="IYZ38" s="3"/>
      <c r="IZA38" s="3"/>
      <c r="IZB38" s="3"/>
      <c r="IZC38" s="3"/>
      <c r="IZD38" s="3"/>
      <c r="IZE38" s="3"/>
      <c r="IZF38" s="3"/>
      <c r="IZG38" s="3"/>
      <c r="IZH38" s="3"/>
      <c r="IZI38" s="3"/>
      <c r="IZJ38" s="3"/>
      <c r="IZK38" s="3"/>
      <c r="IZL38" s="3"/>
      <c r="IZM38" s="3"/>
      <c r="IZN38" s="3"/>
      <c r="IZO38" s="3"/>
      <c r="IZP38" s="3"/>
      <c r="IZQ38" s="3"/>
      <c r="IZR38" s="3"/>
      <c r="IZS38" s="3"/>
      <c r="IZT38" s="3"/>
      <c r="IZU38" s="3"/>
      <c r="IZV38" s="3"/>
      <c r="IZW38" s="3"/>
      <c r="IZX38" s="3"/>
      <c r="IZY38" s="3"/>
      <c r="IZZ38" s="3"/>
      <c r="JAA38" s="3"/>
      <c r="JAB38" s="3"/>
      <c r="JAC38" s="3"/>
      <c r="JAD38" s="3"/>
      <c r="JAE38" s="3"/>
      <c r="JAF38" s="3"/>
      <c r="JAG38" s="3"/>
      <c r="JAH38" s="3"/>
      <c r="JAI38" s="3"/>
      <c r="JAJ38" s="3"/>
      <c r="JAK38" s="3"/>
      <c r="JAL38" s="3"/>
      <c r="JAM38" s="3"/>
      <c r="JAN38" s="3"/>
      <c r="JAO38" s="3"/>
      <c r="JAP38" s="3"/>
      <c r="JAQ38" s="3"/>
      <c r="JAR38" s="3"/>
      <c r="JAS38" s="3"/>
      <c r="JAT38" s="3"/>
      <c r="JAU38" s="3"/>
      <c r="JAV38" s="3"/>
      <c r="JAW38" s="3"/>
      <c r="JAX38" s="3"/>
      <c r="JAY38" s="3"/>
      <c r="JAZ38" s="3"/>
      <c r="JBA38" s="3"/>
      <c r="JBB38" s="3"/>
      <c r="JBC38" s="3"/>
      <c r="JBD38" s="3"/>
      <c r="JBE38" s="3"/>
      <c r="JBF38" s="3"/>
      <c r="JBG38" s="3"/>
      <c r="JBH38" s="3"/>
      <c r="JBI38" s="3"/>
      <c r="JBJ38" s="3"/>
      <c r="JBK38" s="3"/>
      <c r="JBL38" s="3"/>
      <c r="JBM38" s="3"/>
      <c r="JBN38" s="3"/>
      <c r="JBO38" s="3"/>
      <c r="JBP38" s="3"/>
      <c r="JBQ38" s="3"/>
      <c r="JBR38" s="3"/>
      <c r="JBS38" s="3"/>
      <c r="JBT38" s="3"/>
      <c r="JBU38" s="3"/>
      <c r="JBV38" s="3"/>
      <c r="JBW38" s="3"/>
      <c r="JBX38" s="3"/>
      <c r="JBY38" s="3"/>
      <c r="JBZ38" s="3"/>
      <c r="JCA38" s="3"/>
      <c r="JCB38" s="3"/>
      <c r="JCC38" s="3"/>
      <c r="JCD38" s="3"/>
      <c r="JCE38" s="3"/>
      <c r="JCF38" s="3"/>
      <c r="JCG38" s="3"/>
      <c r="JCH38" s="3"/>
      <c r="JCI38" s="3"/>
      <c r="JCJ38" s="3"/>
      <c r="JCK38" s="3"/>
      <c r="JCL38" s="3"/>
      <c r="JCM38" s="3"/>
      <c r="JCN38" s="3"/>
      <c r="JCO38" s="3"/>
      <c r="JCP38" s="3"/>
      <c r="JCQ38" s="3"/>
      <c r="JCR38" s="3"/>
      <c r="JCS38" s="3"/>
      <c r="JCT38" s="3"/>
      <c r="JCU38" s="3"/>
      <c r="JCV38" s="3"/>
      <c r="JCW38" s="3"/>
      <c r="JCX38" s="3"/>
      <c r="JCY38" s="3"/>
      <c r="JCZ38" s="3"/>
      <c r="JDA38" s="3"/>
      <c r="JDB38" s="3"/>
      <c r="JDC38" s="3"/>
      <c r="JDD38" s="3"/>
      <c r="JDE38" s="3"/>
      <c r="JDF38" s="3"/>
      <c r="JDG38" s="3"/>
      <c r="JDH38" s="3"/>
      <c r="JDI38" s="3"/>
      <c r="JDJ38" s="3"/>
      <c r="JDK38" s="3"/>
      <c r="JDL38" s="3"/>
      <c r="JDM38" s="3"/>
      <c r="JDN38" s="3"/>
      <c r="JDO38" s="3"/>
      <c r="JDP38" s="3"/>
      <c r="JDQ38" s="3"/>
      <c r="JDR38" s="3"/>
      <c r="JDS38" s="3"/>
      <c r="JDT38" s="3"/>
      <c r="JDU38" s="3"/>
      <c r="JDV38" s="3"/>
      <c r="JDW38" s="3"/>
      <c r="JDX38" s="3"/>
      <c r="JDY38" s="3"/>
      <c r="JDZ38" s="3"/>
      <c r="JEA38" s="3"/>
      <c r="JEB38" s="3"/>
      <c r="JEC38" s="3"/>
      <c r="JED38" s="3"/>
      <c r="JEE38" s="3"/>
      <c r="JEF38" s="3"/>
      <c r="JEG38" s="3"/>
      <c r="JEH38" s="3"/>
      <c r="JEI38" s="3"/>
      <c r="JEJ38" s="3"/>
      <c r="JEK38" s="3"/>
      <c r="JEL38" s="3"/>
      <c r="JEM38" s="3"/>
      <c r="JEN38" s="3"/>
      <c r="JEO38" s="3"/>
      <c r="JEP38" s="3"/>
      <c r="JEQ38" s="3"/>
      <c r="JER38" s="3"/>
      <c r="JES38" s="3"/>
      <c r="JET38" s="3"/>
      <c r="JEU38" s="3"/>
      <c r="JEV38" s="3"/>
      <c r="JEW38" s="3"/>
      <c r="JEX38" s="3"/>
      <c r="JEY38" s="3"/>
      <c r="JEZ38" s="3"/>
      <c r="JFA38" s="3"/>
      <c r="JFB38" s="3"/>
      <c r="JFC38" s="3"/>
      <c r="JFD38" s="3"/>
      <c r="JFE38" s="3"/>
      <c r="JFF38" s="3"/>
      <c r="JFG38" s="3"/>
      <c r="JFH38" s="3"/>
      <c r="JFI38" s="3"/>
      <c r="JFJ38" s="3"/>
      <c r="JFK38" s="3"/>
      <c r="JFL38" s="3"/>
      <c r="JFM38" s="3"/>
      <c r="JFN38" s="3"/>
      <c r="JFO38" s="3"/>
      <c r="JFP38" s="3"/>
      <c r="JFQ38" s="3"/>
      <c r="JFR38" s="3"/>
      <c r="JFS38" s="3"/>
      <c r="JFT38" s="3"/>
      <c r="JFU38" s="3"/>
      <c r="JFV38" s="3"/>
      <c r="JFW38" s="3"/>
      <c r="JFX38" s="3"/>
      <c r="JFY38" s="3"/>
      <c r="JFZ38" s="3"/>
      <c r="JGA38" s="3"/>
      <c r="JGB38" s="3"/>
      <c r="JGC38" s="3"/>
      <c r="JGD38" s="3"/>
      <c r="JGE38" s="3"/>
      <c r="JGF38" s="3"/>
      <c r="JGG38" s="3"/>
      <c r="JGH38" s="3"/>
      <c r="JGI38" s="3"/>
      <c r="JGJ38" s="3"/>
      <c r="JGK38" s="3"/>
      <c r="JGL38" s="3"/>
      <c r="JGM38" s="3"/>
      <c r="JGN38" s="3"/>
      <c r="JGO38" s="3"/>
      <c r="JGP38" s="3"/>
      <c r="JGQ38" s="3"/>
      <c r="JGR38" s="3"/>
      <c r="JGS38" s="3"/>
      <c r="JGT38" s="3"/>
      <c r="JGU38" s="3"/>
      <c r="JGV38" s="3"/>
      <c r="JGW38" s="3"/>
      <c r="JGX38" s="3"/>
      <c r="JGY38" s="3"/>
      <c r="JGZ38" s="3"/>
      <c r="JHA38" s="3"/>
      <c r="JHB38" s="3"/>
      <c r="JHC38" s="3"/>
      <c r="JHD38" s="3"/>
      <c r="JHE38" s="3"/>
      <c r="JHF38" s="3"/>
      <c r="JHG38" s="3"/>
      <c r="JHH38" s="3"/>
      <c r="JHI38" s="3"/>
      <c r="JHJ38" s="3"/>
      <c r="JHK38" s="3"/>
      <c r="JHL38" s="3"/>
      <c r="JHM38" s="3"/>
      <c r="JHN38" s="3"/>
      <c r="JHO38" s="3"/>
      <c r="JHP38" s="3"/>
      <c r="JHQ38" s="3"/>
      <c r="JHR38" s="3"/>
      <c r="JHS38" s="3"/>
      <c r="JHT38" s="3"/>
      <c r="JHU38" s="3"/>
      <c r="JHV38" s="3"/>
      <c r="JHW38" s="3"/>
      <c r="JHX38" s="3"/>
      <c r="JHY38" s="3"/>
      <c r="JHZ38" s="3"/>
      <c r="JIA38" s="3"/>
      <c r="JIB38" s="3"/>
      <c r="JIC38" s="3"/>
      <c r="JID38" s="3"/>
      <c r="JIE38" s="3"/>
      <c r="JIF38" s="3"/>
      <c r="JIG38" s="3"/>
      <c r="JIH38" s="3"/>
      <c r="JII38" s="3"/>
      <c r="JIJ38" s="3"/>
      <c r="JIK38" s="3"/>
      <c r="JIL38" s="3"/>
      <c r="JIM38" s="3"/>
      <c r="JIN38" s="3"/>
      <c r="JIO38" s="3"/>
      <c r="JIP38" s="3"/>
      <c r="JIQ38" s="3"/>
      <c r="JIR38" s="3"/>
      <c r="JIS38" s="3"/>
      <c r="JIT38" s="3"/>
      <c r="JIU38" s="3"/>
      <c r="JIV38" s="3"/>
      <c r="JIW38" s="3"/>
      <c r="JIX38" s="3"/>
      <c r="JIY38" s="3"/>
      <c r="JIZ38" s="3"/>
      <c r="JJA38" s="3"/>
      <c r="JJB38" s="3"/>
      <c r="JJC38" s="3"/>
      <c r="JJD38" s="3"/>
      <c r="JJE38" s="3"/>
      <c r="JJF38" s="3"/>
      <c r="JJG38" s="3"/>
      <c r="JJH38" s="3"/>
      <c r="JJI38" s="3"/>
      <c r="JJJ38" s="3"/>
      <c r="JJK38" s="3"/>
      <c r="JJL38" s="3"/>
      <c r="JJM38" s="3"/>
      <c r="JJN38" s="3"/>
      <c r="JJO38" s="3"/>
      <c r="JJP38" s="3"/>
      <c r="JJQ38" s="3"/>
      <c r="JJR38" s="3"/>
      <c r="JJS38" s="3"/>
      <c r="JJT38" s="3"/>
      <c r="JJU38" s="3"/>
      <c r="JJV38" s="3"/>
      <c r="JJW38" s="3"/>
      <c r="JJX38" s="3"/>
      <c r="JJY38" s="3"/>
      <c r="JJZ38" s="3"/>
      <c r="JKA38" s="3"/>
      <c r="JKB38" s="3"/>
      <c r="JKC38" s="3"/>
      <c r="JKD38" s="3"/>
      <c r="JKE38" s="3"/>
      <c r="JKF38" s="3"/>
      <c r="JKG38" s="3"/>
      <c r="JKH38" s="3"/>
      <c r="JKI38" s="3"/>
      <c r="JKJ38" s="3"/>
      <c r="JKK38" s="3"/>
      <c r="JKL38" s="3"/>
      <c r="JKM38" s="3"/>
      <c r="JKN38" s="3"/>
      <c r="JKO38" s="3"/>
      <c r="JKP38" s="3"/>
      <c r="JKQ38" s="3"/>
      <c r="JKR38" s="3"/>
      <c r="JKS38" s="3"/>
      <c r="JKT38" s="3"/>
      <c r="JKU38" s="3"/>
      <c r="JKV38" s="3"/>
      <c r="JKW38" s="3"/>
      <c r="JKX38" s="3"/>
      <c r="JKY38" s="3"/>
      <c r="JKZ38" s="3"/>
      <c r="JLA38" s="3"/>
      <c r="JLB38" s="3"/>
      <c r="JLC38" s="3"/>
      <c r="JLD38" s="3"/>
      <c r="JLE38" s="3"/>
      <c r="JLF38" s="3"/>
      <c r="JLG38" s="3"/>
      <c r="JLH38" s="3"/>
      <c r="JLI38" s="3"/>
      <c r="JLJ38" s="3"/>
      <c r="JLK38" s="3"/>
      <c r="JLL38" s="3"/>
      <c r="JLM38" s="3"/>
      <c r="JLN38" s="3"/>
      <c r="JLO38" s="3"/>
      <c r="JLP38" s="3"/>
      <c r="JLQ38" s="3"/>
      <c r="JLR38" s="3"/>
      <c r="JLS38" s="3"/>
      <c r="JLT38" s="3"/>
      <c r="JLU38" s="3"/>
      <c r="JLV38" s="3"/>
      <c r="JLW38" s="3"/>
      <c r="JLX38" s="3"/>
      <c r="JLY38" s="3"/>
      <c r="JLZ38" s="3"/>
      <c r="JMA38" s="3"/>
      <c r="JMB38" s="3"/>
      <c r="JMC38" s="3"/>
      <c r="JMD38" s="3"/>
      <c r="JME38" s="3"/>
      <c r="JMF38" s="3"/>
      <c r="JMG38" s="3"/>
      <c r="JMH38" s="3"/>
      <c r="JMI38" s="3"/>
      <c r="JMJ38" s="3"/>
      <c r="JMK38" s="3"/>
      <c r="JML38" s="3"/>
      <c r="JMM38" s="3"/>
      <c r="JMN38" s="3"/>
      <c r="JMO38" s="3"/>
      <c r="JMP38" s="3"/>
      <c r="JMQ38" s="3"/>
      <c r="JMR38" s="3"/>
      <c r="JMS38" s="3"/>
      <c r="JMT38" s="3"/>
      <c r="JMU38" s="3"/>
      <c r="JMV38" s="3"/>
      <c r="JMW38" s="3"/>
      <c r="JMX38" s="3"/>
      <c r="JMY38" s="3"/>
      <c r="JMZ38" s="3"/>
      <c r="JNA38" s="3"/>
      <c r="JNB38" s="3"/>
      <c r="JNC38" s="3"/>
      <c r="JND38" s="3"/>
      <c r="JNE38" s="3"/>
      <c r="JNF38" s="3"/>
      <c r="JNG38" s="3"/>
      <c r="JNH38" s="3"/>
      <c r="JNI38" s="3"/>
      <c r="JNJ38" s="3"/>
      <c r="JNK38" s="3"/>
      <c r="JNL38" s="3"/>
      <c r="JNM38" s="3"/>
      <c r="JNN38" s="3"/>
      <c r="JNO38" s="3"/>
      <c r="JNP38" s="3"/>
      <c r="JNQ38" s="3"/>
      <c r="JNR38" s="3"/>
      <c r="JNS38" s="3"/>
      <c r="JNT38" s="3"/>
      <c r="JNU38" s="3"/>
      <c r="JNV38" s="3"/>
      <c r="JNW38" s="3"/>
      <c r="JNX38" s="3"/>
      <c r="JNY38" s="3"/>
      <c r="JNZ38" s="3"/>
      <c r="JOA38" s="3"/>
      <c r="JOB38" s="3"/>
      <c r="JOC38" s="3"/>
      <c r="JOD38" s="3"/>
      <c r="JOE38" s="3"/>
      <c r="JOF38" s="3"/>
      <c r="JOG38" s="3"/>
      <c r="JOH38" s="3"/>
      <c r="JOI38" s="3"/>
      <c r="JOJ38" s="3"/>
      <c r="JOK38" s="3"/>
      <c r="JOL38" s="3"/>
      <c r="JOM38" s="3"/>
      <c r="JON38" s="3"/>
      <c r="JOO38" s="3"/>
      <c r="JOP38" s="3"/>
      <c r="JOQ38" s="3"/>
      <c r="JOR38" s="3"/>
      <c r="JOS38" s="3"/>
      <c r="JOT38" s="3"/>
      <c r="JOU38" s="3"/>
      <c r="JOV38" s="3"/>
      <c r="JOW38" s="3"/>
      <c r="JOX38" s="3"/>
      <c r="JOY38" s="3"/>
      <c r="JOZ38" s="3"/>
      <c r="JPA38" s="3"/>
      <c r="JPB38" s="3"/>
      <c r="JPC38" s="3"/>
      <c r="JPD38" s="3"/>
      <c r="JPE38" s="3"/>
      <c r="JPF38" s="3"/>
      <c r="JPG38" s="3"/>
      <c r="JPH38" s="3"/>
      <c r="JPI38" s="3"/>
      <c r="JPJ38" s="3"/>
      <c r="JPK38" s="3"/>
      <c r="JPL38" s="3"/>
      <c r="JPM38" s="3"/>
      <c r="JPN38" s="3"/>
      <c r="JPO38" s="3"/>
      <c r="JPP38" s="3"/>
      <c r="JPQ38" s="3"/>
      <c r="JPR38" s="3"/>
      <c r="JPS38" s="3"/>
      <c r="JPT38" s="3"/>
      <c r="JPU38" s="3"/>
      <c r="JPV38" s="3"/>
      <c r="JPW38" s="3"/>
      <c r="JPX38" s="3"/>
      <c r="JPY38" s="3"/>
      <c r="JPZ38" s="3"/>
      <c r="JQA38" s="3"/>
      <c r="JQB38" s="3"/>
      <c r="JQC38" s="3"/>
      <c r="JQD38" s="3"/>
      <c r="JQE38" s="3"/>
      <c r="JQF38" s="3"/>
      <c r="JQG38" s="3"/>
      <c r="JQH38" s="3"/>
      <c r="JQI38" s="3"/>
      <c r="JQJ38" s="3"/>
      <c r="JQK38" s="3"/>
      <c r="JQL38" s="3"/>
      <c r="JQM38" s="3"/>
      <c r="JQN38" s="3"/>
      <c r="JQO38" s="3"/>
      <c r="JQP38" s="3"/>
      <c r="JQQ38" s="3"/>
      <c r="JQR38" s="3"/>
      <c r="JQS38" s="3"/>
      <c r="JQT38" s="3"/>
      <c r="JQU38" s="3"/>
      <c r="JQV38" s="3"/>
      <c r="JQW38" s="3"/>
      <c r="JQX38" s="3"/>
      <c r="JQY38" s="3"/>
      <c r="JQZ38" s="3"/>
      <c r="JRA38" s="3"/>
      <c r="JRB38" s="3"/>
      <c r="JRC38" s="3"/>
      <c r="JRD38" s="3"/>
      <c r="JRE38" s="3"/>
      <c r="JRF38" s="3"/>
      <c r="JRG38" s="3"/>
      <c r="JRH38" s="3"/>
      <c r="JRI38" s="3"/>
      <c r="JRJ38" s="3"/>
      <c r="JRK38" s="3"/>
      <c r="JRL38" s="3"/>
      <c r="JRM38" s="3"/>
      <c r="JRN38" s="3"/>
      <c r="JRO38" s="3"/>
      <c r="JRP38" s="3"/>
      <c r="JRQ38" s="3"/>
      <c r="JRR38" s="3"/>
      <c r="JRS38" s="3"/>
      <c r="JRT38" s="3"/>
      <c r="JRU38" s="3"/>
      <c r="JRV38" s="3"/>
      <c r="JRW38" s="3"/>
      <c r="JRX38" s="3"/>
      <c r="JRY38" s="3"/>
      <c r="JRZ38" s="3"/>
      <c r="JSA38" s="3"/>
      <c r="JSB38" s="3"/>
      <c r="JSC38" s="3"/>
      <c r="JSD38" s="3"/>
      <c r="JSE38" s="3"/>
      <c r="JSF38" s="3"/>
      <c r="JSG38" s="3"/>
      <c r="JSH38" s="3"/>
      <c r="JSI38" s="3"/>
      <c r="JSJ38" s="3"/>
      <c r="JSK38" s="3"/>
      <c r="JSL38" s="3"/>
      <c r="JSM38" s="3"/>
      <c r="JSN38" s="3"/>
      <c r="JSO38" s="3"/>
      <c r="JSP38" s="3"/>
      <c r="JSQ38" s="3"/>
      <c r="JSR38" s="3"/>
      <c r="JSS38" s="3"/>
      <c r="JST38" s="3"/>
      <c r="JSU38" s="3"/>
      <c r="JSV38" s="3"/>
      <c r="JSW38" s="3"/>
      <c r="JSX38" s="3"/>
      <c r="JSY38" s="3"/>
      <c r="JSZ38" s="3"/>
      <c r="JTA38" s="3"/>
      <c r="JTB38" s="3"/>
      <c r="JTC38" s="3"/>
      <c r="JTD38" s="3"/>
      <c r="JTE38" s="3"/>
      <c r="JTF38" s="3"/>
      <c r="JTG38" s="3"/>
      <c r="JTH38" s="3"/>
      <c r="JTI38" s="3"/>
      <c r="JTJ38" s="3"/>
      <c r="JTK38" s="3"/>
      <c r="JTL38" s="3"/>
      <c r="JTM38" s="3"/>
      <c r="JTN38" s="3"/>
      <c r="JTO38" s="3"/>
      <c r="JTP38" s="3"/>
      <c r="JTQ38" s="3"/>
      <c r="JTR38" s="3"/>
      <c r="JTS38" s="3"/>
      <c r="JTT38" s="3"/>
      <c r="JTU38" s="3"/>
      <c r="JTV38" s="3"/>
      <c r="JTW38" s="3"/>
      <c r="JTX38" s="3"/>
      <c r="JTY38" s="3"/>
      <c r="JTZ38" s="3"/>
      <c r="JUA38" s="3"/>
      <c r="JUB38" s="3"/>
      <c r="JUC38" s="3"/>
      <c r="JUD38" s="3"/>
      <c r="JUE38" s="3"/>
      <c r="JUF38" s="3"/>
      <c r="JUG38" s="3"/>
      <c r="JUH38" s="3"/>
      <c r="JUI38" s="3"/>
      <c r="JUJ38" s="3"/>
      <c r="JUK38" s="3"/>
      <c r="JUL38" s="3"/>
      <c r="JUM38" s="3"/>
      <c r="JUN38" s="3"/>
      <c r="JUO38" s="3"/>
      <c r="JUP38" s="3"/>
      <c r="JUQ38" s="3"/>
      <c r="JUR38" s="3"/>
      <c r="JUS38" s="3"/>
      <c r="JUT38" s="3"/>
      <c r="JUU38" s="3"/>
      <c r="JUV38" s="3"/>
      <c r="JUW38" s="3"/>
      <c r="JUX38" s="3"/>
      <c r="JUY38" s="3"/>
      <c r="JUZ38" s="3"/>
      <c r="JVA38" s="3"/>
      <c r="JVB38" s="3"/>
      <c r="JVC38" s="3"/>
      <c r="JVD38" s="3"/>
      <c r="JVE38" s="3"/>
      <c r="JVF38" s="3"/>
      <c r="JVG38" s="3"/>
      <c r="JVH38" s="3"/>
      <c r="JVI38" s="3"/>
      <c r="JVJ38" s="3"/>
      <c r="JVK38" s="3"/>
      <c r="JVL38" s="3"/>
      <c r="JVM38" s="3"/>
      <c r="JVN38" s="3"/>
      <c r="JVO38" s="3"/>
      <c r="JVP38" s="3"/>
      <c r="JVQ38" s="3"/>
      <c r="JVR38" s="3"/>
      <c r="JVS38" s="3"/>
      <c r="JVT38" s="3"/>
      <c r="JVU38" s="3"/>
      <c r="JVV38" s="3"/>
      <c r="JVW38" s="3"/>
      <c r="JVX38" s="3"/>
      <c r="JVY38" s="3"/>
      <c r="JVZ38" s="3"/>
      <c r="JWA38" s="3"/>
      <c r="JWB38" s="3"/>
      <c r="JWC38" s="3"/>
      <c r="JWD38" s="3"/>
      <c r="JWE38" s="3"/>
      <c r="JWF38" s="3"/>
      <c r="JWG38" s="3"/>
      <c r="JWH38" s="3"/>
      <c r="JWI38" s="3"/>
      <c r="JWJ38" s="3"/>
      <c r="JWK38" s="3"/>
      <c r="JWL38" s="3"/>
      <c r="JWM38" s="3"/>
      <c r="JWN38" s="3"/>
      <c r="JWO38" s="3"/>
      <c r="JWP38" s="3"/>
      <c r="JWQ38" s="3"/>
      <c r="JWR38" s="3"/>
      <c r="JWS38" s="3"/>
      <c r="JWT38" s="3"/>
      <c r="JWU38" s="3"/>
      <c r="JWV38" s="3"/>
      <c r="JWW38" s="3"/>
      <c r="JWX38" s="3"/>
      <c r="JWY38" s="3"/>
      <c r="JWZ38" s="3"/>
      <c r="JXA38" s="3"/>
      <c r="JXB38" s="3"/>
      <c r="JXC38" s="3"/>
      <c r="JXD38" s="3"/>
      <c r="JXE38" s="3"/>
      <c r="JXF38" s="3"/>
      <c r="JXG38" s="3"/>
      <c r="JXH38" s="3"/>
      <c r="JXI38" s="3"/>
      <c r="JXJ38" s="3"/>
      <c r="JXK38" s="3"/>
      <c r="JXL38" s="3"/>
      <c r="JXM38" s="3"/>
      <c r="JXN38" s="3"/>
      <c r="JXO38" s="3"/>
      <c r="JXP38" s="3"/>
      <c r="JXQ38" s="3"/>
      <c r="JXR38" s="3"/>
      <c r="JXS38" s="3"/>
      <c r="JXT38" s="3"/>
      <c r="JXU38" s="3"/>
      <c r="JXV38" s="3"/>
      <c r="JXW38" s="3"/>
      <c r="JXX38" s="3"/>
      <c r="JXY38" s="3"/>
      <c r="JXZ38" s="3"/>
      <c r="JYA38" s="3"/>
      <c r="JYB38" s="3"/>
      <c r="JYC38" s="3"/>
      <c r="JYD38" s="3"/>
      <c r="JYE38" s="3"/>
      <c r="JYF38" s="3"/>
      <c r="JYG38" s="3"/>
      <c r="JYH38" s="3"/>
      <c r="JYI38" s="3"/>
      <c r="JYJ38" s="3"/>
      <c r="JYK38" s="3"/>
      <c r="JYL38" s="3"/>
      <c r="JYM38" s="3"/>
      <c r="JYN38" s="3"/>
      <c r="JYO38" s="3"/>
      <c r="JYP38" s="3"/>
      <c r="JYQ38" s="3"/>
      <c r="JYR38" s="3"/>
      <c r="JYS38" s="3"/>
      <c r="JYT38" s="3"/>
      <c r="JYU38" s="3"/>
      <c r="JYV38" s="3"/>
      <c r="JYW38" s="3"/>
      <c r="JYX38" s="3"/>
      <c r="JYY38" s="3"/>
      <c r="JYZ38" s="3"/>
      <c r="JZA38" s="3"/>
      <c r="JZB38" s="3"/>
      <c r="JZC38" s="3"/>
      <c r="JZD38" s="3"/>
      <c r="JZE38" s="3"/>
      <c r="JZF38" s="3"/>
      <c r="JZG38" s="3"/>
      <c r="JZH38" s="3"/>
      <c r="JZI38" s="3"/>
      <c r="JZJ38" s="3"/>
      <c r="JZK38" s="3"/>
      <c r="JZL38" s="3"/>
      <c r="JZM38" s="3"/>
      <c r="JZN38" s="3"/>
      <c r="JZO38" s="3"/>
      <c r="JZP38" s="3"/>
      <c r="JZQ38" s="3"/>
      <c r="JZR38" s="3"/>
      <c r="JZS38" s="3"/>
      <c r="JZT38" s="3"/>
      <c r="JZU38" s="3"/>
      <c r="JZV38" s="3"/>
      <c r="JZW38" s="3"/>
      <c r="JZX38" s="3"/>
      <c r="JZY38" s="3"/>
      <c r="JZZ38" s="3"/>
      <c r="KAA38" s="3"/>
      <c r="KAB38" s="3"/>
      <c r="KAC38" s="3"/>
      <c r="KAD38" s="3"/>
      <c r="KAE38" s="3"/>
      <c r="KAF38" s="3"/>
      <c r="KAG38" s="3"/>
      <c r="KAH38" s="3"/>
      <c r="KAI38" s="3"/>
      <c r="KAJ38" s="3"/>
      <c r="KAK38" s="3"/>
      <c r="KAL38" s="3"/>
      <c r="KAM38" s="3"/>
      <c r="KAN38" s="3"/>
      <c r="KAO38" s="3"/>
      <c r="KAP38" s="3"/>
      <c r="KAQ38" s="3"/>
      <c r="KAR38" s="3"/>
      <c r="KAS38" s="3"/>
      <c r="KAT38" s="3"/>
      <c r="KAU38" s="3"/>
      <c r="KAV38" s="3"/>
      <c r="KAW38" s="3"/>
      <c r="KAX38" s="3"/>
      <c r="KAY38" s="3"/>
      <c r="KAZ38" s="3"/>
      <c r="KBA38" s="3"/>
      <c r="KBB38" s="3"/>
      <c r="KBC38" s="3"/>
      <c r="KBD38" s="3"/>
      <c r="KBE38" s="3"/>
      <c r="KBF38" s="3"/>
      <c r="KBG38" s="3"/>
      <c r="KBH38" s="3"/>
      <c r="KBI38" s="3"/>
      <c r="KBJ38" s="3"/>
      <c r="KBK38" s="3"/>
      <c r="KBL38" s="3"/>
      <c r="KBM38" s="3"/>
      <c r="KBN38" s="3"/>
      <c r="KBO38" s="3"/>
      <c r="KBP38" s="3"/>
      <c r="KBQ38" s="3"/>
      <c r="KBR38" s="3"/>
      <c r="KBS38" s="3"/>
      <c r="KBT38" s="3"/>
      <c r="KBU38" s="3"/>
      <c r="KBV38" s="3"/>
      <c r="KBW38" s="3"/>
      <c r="KBX38" s="3"/>
      <c r="KBY38" s="3"/>
      <c r="KBZ38" s="3"/>
      <c r="KCA38" s="3"/>
      <c r="KCB38" s="3"/>
      <c r="KCC38" s="3"/>
      <c r="KCD38" s="3"/>
      <c r="KCE38" s="3"/>
      <c r="KCF38" s="3"/>
      <c r="KCG38" s="3"/>
      <c r="KCH38" s="3"/>
      <c r="KCI38" s="3"/>
      <c r="KCJ38" s="3"/>
      <c r="KCK38" s="3"/>
      <c r="KCL38" s="3"/>
      <c r="KCM38" s="3"/>
      <c r="KCN38" s="3"/>
      <c r="KCO38" s="3"/>
      <c r="KCP38" s="3"/>
      <c r="KCQ38" s="3"/>
      <c r="KCR38" s="3"/>
      <c r="KCS38" s="3"/>
      <c r="KCT38" s="3"/>
      <c r="KCU38" s="3"/>
      <c r="KCV38" s="3"/>
      <c r="KCW38" s="3"/>
      <c r="KCX38" s="3"/>
      <c r="KCY38" s="3"/>
      <c r="KCZ38" s="3"/>
      <c r="KDA38" s="3"/>
      <c r="KDB38" s="3"/>
      <c r="KDC38" s="3"/>
      <c r="KDD38" s="3"/>
      <c r="KDE38" s="3"/>
      <c r="KDF38" s="3"/>
      <c r="KDG38" s="3"/>
      <c r="KDH38" s="3"/>
      <c r="KDI38" s="3"/>
      <c r="KDJ38" s="3"/>
      <c r="KDK38" s="3"/>
      <c r="KDL38" s="3"/>
      <c r="KDM38" s="3"/>
      <c r="KDN38" s="3"/>
      <c r="KDO38" s="3"/>
      <c r="KDP38" s="3"/>
      <c r="KDQ38" s="3"/>
      <c r="KDR38" s="3"/>
      <c r="KDS38" s="3"/>
      <c r="KDT38" s="3"/>
      <c r="KDU38" s="3"/>
      <c r="KDV38" s="3"/>
      <c r="KDW38" s="3"/>
      <c r="KDX38" s="3"/>
      <c r="KDY38" s="3"/>
      <c r="KDZ38" s="3"/>
      <c r="KEA38" s="3"/>
      <c r="KEB38" s="3"/>
      <c r="KEC38" s="3"/>
      <c r="KED38" s="3"/>
      <c r="KEE38" s="3"/>
      <c r="KEF38" s="3"/>
      <c r="KEG38" s="3"/>
      <c r="KEH38" s="3"/>
      <c r="KEI38" s="3"/>
      <c r="KEJ38" s="3"/>
      <c r="KEK38" s="3"/>
      <c r="KEL38" s="3"/>
      <c r="KEM38" s="3"/>
      <c r="KEN38" s="3"/>
      <c r="KEO38" s="3"/>
      <c r="KEP38" s="3"/>
      <c r="KEQ38" s="3"/>
      <c r="KER38" s="3"/>
      <c r="KES38" s="3"/>
      <c r="KET38" s="3"/>
      <c r="KEU38" s="3"/>
      <c r="KEV38" s="3"/>
      <c r="KEW38" s="3"/>
      <c r="KEX38" s="3"/>
      <c r="KEY38" s="3"/>
      <c r="KEZ38" s="3"/>
      <c r="KFA38" s="3"/>
      <c r="KFB38" s="3"/>
      <c r="KFC38" s="3"/>
      <c r="KFD38" s="3"/>
      <c r="KFE38" s="3"/>
      <c r="KFF38" s="3"/>
      <c r="KFG38" s="3"/>
      <c r="KFH38" s="3"/>
      <c r="KFI38" s="3"/>
      <c r="KFJ38" s="3"/>
      <c r="KFK38" s="3"/>
      <c r="KFL38" s="3"/>
      <c r="KFM38" s="3"/>
      <c r="KFN38" s="3"/>
      <c r="KFO38" s="3"/>
      <c r="KFP38" s="3"/>
      <c r="KFQ38" s="3"/>
      <c r="KFR38" s="3"/>
      <c r="KFS38" s="3"/>
      <c r="KFT38" s="3"/>
      <c r="KFU38" s="3"/>
      <c r="KFV38" s="3"/>
      <c r="KFW38" s="3"/>
      <c r="KFX38" s="3"/>
      <c r="KFY38" s="3"/>
      <c r="KFZ38" s="3"/>
      <c r="KGA38" s="3"/>
      <c r="KGB38" s="3"/>
      <c r="KGC38" s="3"/>
      <c r="KGD38" s="3"/>
      <c r="KGE38" s="3"/>
      <c r="KGF38" s="3"/>
      <c r="KGG38" s="3"/>
      <c r="KGH38" s="3"/>
      <c r="KGI38" s="3"/>
      <c r="KGJ38" s="3"/>
      <c r="KGK38" s="3"/>
      <c r="KGL38" s="3"/>
      <c r="KGM38" s="3"/>
      <c r="KGN38" s="3"/>
      <c r="KGO38" s="3"/>
      <c r="KGP38" s="3"/>
      <c r="KGQ38" s="3"/>
      <c r="KGR38" s="3"/>
      <c r="KGS38" s="3"/>
      <c r="KGT38" s="3"/>
      <c r="KGU38" s="3"/>
      <c r="KGV38" s="3"/>
      <c r="KGW38" s="3"/>
      <c r="KGX38" s="3"/>
      <c r="KGY38" s="3"/>
      <c r="KGZ38" s="3"/>
      <c r="KHA38" s="3"/>
      <c r="KHB38" s="3"/>
      <c r="KHC38" s="3"/>
      <c r="KHD38" s="3"/>
      <c r="KHE38" s="3"/>
      <c r="KHF38" s="3"/>
      <c r="KHG38" s="3"/>
      <c r="KHH38" s="3"/>
      <c r="KHI38" s="3"/>
      <c r="KHJ38" s="3"/>
      <c r="KHK38" s="3"/>
      <c r="KHL38" s="3"/>
      <c r="KHM38" s="3"/>
      <c r="KHN38" s="3"/>
      <c r="KHO38" s="3"/>
      <c r="KHP38" s="3"/>
      <c r="KHQ38" s="3"/>
      <c r="KHR38" s="3"/>
      <c r="KHS38" s="3"/>
      <c r="KHT38" s="3"/>
      <c r="KHU38" s="3"/>
      <c r="KHV38" s="3"/>
      <c r="KHW38" s="3"/>
      <c r="KHX38" s="3"/>
      <c r="KHY38" s="3"/>
      <c r="KHZ38" s="3"/>
      <c r="KIA38" s="3"/>
      <c r="KIB38" s="3"/>
      <c r="KIC38" s="3"/>
      <c r="KID38" s="3"/>
      <c r="KIE38" s="3"/>
      <c r="KIF38" s="3"/>
      <c r="KIG38" s="3"/>
      <c r="KIH38" s="3"/>
      <c r="KII38" s="3"/>
      <c r="KIJ38" s="3"/>
      <c r="KIK38" s="3"/>
      <c r="KIL38" s="3"/>
      <c r="KIM38" s="3"/>
      <c r="KIN38" s="3"/>
      <c r="KIO38" s="3"/>
      <c r="KIP38" s="3"/>
      <c r="KIQ38" s="3"/>
      <c r="KIR38" s="3"/>
      <c r="KIS38" s="3"/>
      <c r="KIT38" s="3"/>
      <c r="KIU38" s="3"/>
      <c r="KIV38" s="3"/>
      <c r="KIW38" s="3"/>
      <c r="KIX38" s="3"/>
      <c r="KIY38" s="3"/>
      <c r="KIZ38" s="3"/>
      <c r="KJA38" s="3"/>
      <c r="KJB38" s="3"/>
      <c r="KJC38" s="3"/>
      <c r="KJD38" s="3"/>
      <c r="KJE38" s="3"/>
      <c r="KJF38" s="3"/>
      <c r="KJG38" s="3"/>
      <c r="KJH38" s="3"/>
      <c r="KJI38" s="3"/>
      <c r="KJJ38" s="3"/>
      <c r="KJK38" s="3"/>
      <c r="KJL38" s="3"/>
      <c r="KJM38" s="3"/>
      <c r="KJN38" s="3"/>
      <c r="KJO38" s="3"/>
      <c r="KJP38" s="3"/>
      <c r="KJQ38" s="3"/>
      <c r="KJR38" s="3"/>
      <c r="KJS38" s="3"/>
      <c r="KJT38" s="3"/>
      <c r="KJU38" s="3"/>
      <c r="KJV38" s="3"/>
      <c r="KJW38" s="3"/>
      <c r="KJX38" s="3"/>
      <c r="KJY38" s="3"/>
      <c r="KJZ38" s="3"/>
      <c r="KKA38" s="3"/>
      <c r="KKB38" s="3"/>
      <c r="KKC38" s="3"/>
      <c r="KKD38" s="3"/>
      <c r="KKE38" s="3"/>
      <c r="KKF38" s="3"/>
      <c r="KKG38" s="3"/>
      <c r="KKH38" s="3"/>
      <c r="KKI38" s="3"/>
      <c r="KKJ38" s="3"/>
      <c r="KKK38" s="3"/>
      <c r="KKL38" s="3"/>
      <c r="KKM38" s="3"/>
      <c r="KKN38" s="3"/>
      <c r="KKO38" s="3"/>
      <c r="KKP38" s="3"/>
      <c r="KKQ38" s="3"/>
      <c r="KKR38" s="3"/>
      <c r="KKS38" s="3"/>
      <c r="KKT38" s="3"/>
      <c r="KKU38" s="3"/>
      <c r="KKV38" s="3"/>
      <c r="KKW38" s="3"/>
      <c r="KKX38" s="3"/>
      <c r="KKY38" s="3"/>
      <c r="KKZ38" s="3"/>
      <c r="KLA38" s="3"/>
      <c r="KLB38" s="3"/>
      <c r="KLC38" s="3"/>
      <c r="KLD38" s="3"/>
      <c r="KLE38" s="3"/>
      <c r="KLF38" s="3"/>
      <c r="KLG38" s="3"/>
      <c r="KLH38" s="3"/>
      <c r="KLI38" s="3"/>
      <c r="KLJ38" s="3"/>
      <c r="KLK38" s="3"/>
      <c r="KLL38" s="3"/>
      <c r="KLM38" s="3"/>
      <c r="KLN38" s="3"/>
      <c r="KLO38" s="3"/>
      <c r="KLP38" s="3"/>
      <c r="KLQ38" s="3"/>
      <c r="KLR38" s="3"/>
      <c r="KLS38" s="3"/>
      <c r="KLT38" s="3"/>
      <c r="KLU38" s="3"/>
      <c r="KLV38" s="3"/>
      <c r="KLW38" s="3"/>
      <c r="KLX38" s="3"/>
      <c r="KLY38" s="3"/>
      <c r="KLZ38" s="3"/>
      <c r="KMA38" s="3"/>
      <c r="KMB38" s="3"/>
      <c r="KMC38" s="3"/>
      <c r="KMD38" s="3"/>
      <c r="KME38" s="3"/>
      <c r="KMF38" s="3"/>
      <c r="KMG38" s="3"/>
      <c r="KMH38" s="3"/>
      <c r="KMI38" s="3"/>
      <c r="KMJ38" s="3"/>
      <c r="KMK38" s="3"/>
      <c r="KML38" s="3"/>
      <c r="KMM38" s="3"/>
      <c r="KMN38" s="3"/>
      <c r="KMO38" s="3"/>
      <c r="KMP38" s="3"/>
      <c r="KMQ38" s="3"/>
      <c r="KMR38" s="3"/>
      <c r="KMS38" s="3"/>
      <c r="KMT38" s="3"/>
      <c r="KMU38" s="3"/>
      <c r="KMV38" s="3"/>
      <c r="KMW38" s="3"/>
      <c r="KMX38" s="3"/>
      <c r="KMY38" s="3"/>
      <c r="KMZ38" s="3"/>
      <c r="KNA38" s="3"/>
      <c r="KNB38" s="3"/>
      <c r="KNC38" s="3"/>
      <c r="KND38" s="3"/>
      <c r="KNE38" s="3"/>
      <c r="KNF38" s="3"/>
      <c r="KNG38" s="3"/>
      <c r="KNH38" s="3"/>
      <c r="KNI38" s="3"/>
      <c r="KNJ38" s="3"/>
      <c r="KNK38" s="3"/>
      <c r="KNL38" s="3"/>
      <c r="KNM38" s="3"/>
      <c r="KNN38" s="3"/>
      <c r="KNO38" s="3"/>
      <c r="KNP38" s="3"/>
      <c r="KNQ38" s="3"/>
      <c r="KNR38" s="3"/>
      <c r="KNS38" s="3"/>
      <c r="KNT38" s="3"/>
      <c r="KNU38" s="3"/>
      <c r="KNV38" s="3"/>
      <c r="KNW38" s="3"/>
      <c r="KNX38" s="3"/>
      <c r="KNY38" s="3"/>
      <c r="KNZ38" s="3"/>
      <c r="KOA38" s="3"/>
      <c r="KOB38" s="3"/>
      <c r="KOC38" s="3"/>
      <c r="KOD38" s="3"/>
      <c r="KOE38" s="3"/>
      <c r="KOF38" s="3"/>
      <c r="KOG38" s="3"/>
      <c r="KOH38" s="3"/>
      <c r="KOI38" s="3"/>
      <c r="KOJ38" s="3"/>
      <c r="KOK38" s="3"/>
      <c r="KOL38" s="3"/>
      <c r="KOM38" s="3"/>
      <c r="KON38" s="3"/>
      <c r="KOO38" s="3"/>
      <c r="KOP38" s="3"/>
      <c r="KOQ38" s="3"/>
      <c r="KOR38" s="3"/>
      <c r="KOS38" s="3"/>
      <c r="KOT38" s="3"/>
      <c r="KOU38" s="3"/>
      <c r="KOV38" s="3"/>
      <c r="KOW38" s="3"/>
      <c r="KOX38" s="3"/>
      <c r="KOY38" s="3"/>
      <c r="KOZ38" s="3"/>
      <c r="KPA38" s="3"/>
      <c r="KPB38" s="3"/>
      <c r="KPC38" s="3"/>
      <c r="KPD38" s="3"/>
      <c r="KPE38" s="3"/>
      <c r="KPF38" s="3"/>
      <c r="KPG38" s="3"/>
      <c r="KPH38" s="3"/>
      <c r="KPI38" s="3"/>
      <c r="KPJ38" s="3"/>
      <c r="KPK38" s="3"/>
      <c r="KPL38" s="3"/>
      <c r="KPM38" s="3"/>
      <c r="KPN38" s="3"/>
      <c r="KPO38" s="3"/>
      <c r="KPP38" s="3"/>
      <c r="KPQ38" s="3"/>
      <c r="KPR38" s="3"/>
      <c r="KPS38" s="3"/>
      <c r="KPT38" s="3"/>
      <c r="KPU38" s="3"/>
      <c r="KPV38" s="3"/>
      <c r="KPW38" s="3"/>
      <c r="KPX38" s="3"/>
      <c r="KPY38" s="3"/>
      <c r="KPZ38" s="3"/>
      <c r="KQA38" s="3"/>
      <c r="KQB38" s="3"/>
      <c r="KQC38" s="3"/>
      <c r="KQD38" s="3"/>
      <c r="KQE38" s="3"/>
      <c r="KQF38" s="3"/>
      <c r="KQG38" s="3"/>
      <c r="KQH38" s="3"/>
      <c r="KQI38" s="3"/>
      <c r="KQJ38" s="3"/>
      <c r="KQK38" s="3"/>
      <c r="KQL38" s="3"/>
      <c r="KQM38" s="3"/>
      <c r="KQN38" s="3"/>
      <c r="KQO38" s="3"/>
      <c r="KQP38" s="3"/>
      <c r="KQQ38" s="3"/>
      <c r="KQR38" s="3"/>
      <c r="KQS38" s="3"/>
      <c r="KQT38" s="3"/>
      <c r="KQU38" s="3"/>
      <c r="KQV38" s="3"/>
      <c r="KQW38" s="3"/>
      <c r="KQX38" s="3"/>
      <c r="KQY38" s="3"/>
      <c r="KQZ38" s="3"/>
      <c r="KRA38" s="3"/>
      <c r="KRB38" s="3"/>
      <c r="KRC38" s="3"/>
      <c r="KRD38" s="3"/>
      <c r="KRE38" s="3"/>
      <c r="KRF38" s="3"/>
      <c r="KRG38" s="3"/>
      <c r="KRH38" s="3"/>
      <c r="KRI38" s="3"/>
      <c r="KRJ38" s="3"/>
      <c r="KRK38" s="3"/>
      <c r="KRL38" s="3"/>
      <c r="KRM38" s="3"/>
      <c r="KRN38" s="3"/>
      <c r="KRO38" s="3"/>
      <c r="KRP38" s="3"/>
      <c r="KRQ38" s="3"/>
      <c r="KRR38" s="3"/>
      <c r="KRS38" s="3"/>
      <c r="KRT38" s="3"/>
      <c r="KRU38" s="3"/>
      <c r="KRV38" s="3"/>
      <c r="KRW38" s="3"/>
      <c r="KRX38" s="3"/>
      <c r="KRY38" s="3"/>
      <c r="KRZ38" s="3"/>
      <c r="KSA38" s="3"/>
      <c r="KSB38" s="3"/>
      <c r="KSC38" s="3"/>
      <c r="KSD38" s="3"/>
      <c r="KSE38" s="3"/>
      <c r="KSF38" s="3"/>
      <c r="KSG38" s="3"/>
      <c r="KSH38" s="3"/>
      <c r="KSI38" s="3"/>
      <c r="KSJ38" s="3"/>
      <c r="KSK38" s="3"/>
      <c r="KSL38" s="3"/>
      <c r="KSM38" s="3"/>
      <c r="KSN38" s="3"/>
      <c r="KSO38" s="3"/>
      <c r="KSP38" s="3"/>
      <c r="KSQ38" s="3"/>
      <c r="KSR38" s="3"/>
      <c r="KSS38" s="3"/>
      <c r="KST38" s="3"/>
      <c r="KSU38" s="3"/>
      <c r="KSV38" s="3"/>
      <c r="KSW38" s="3"/>
      <c r="KSX38" s="3"/>
      <c r="KSY38" s="3"/>
      <c r="KSZ38" s="3"/>
      <c r="KTA38" s="3"/>
      <c r="KTB38" s="3"/>
      <c r="KTC38" s="3"/>
      <c r="KTD38" s="3"/>
      <c r="KTE38" s="3"/>
      <c r="KTF38" s="3"/>
      <c r="KTG38" s="3"/>
      <c r="KTH38" s="3"/>
      <c r="KTI38" s="3"/>
      <c r="KTJ38" s="3"/>
      <c r="KTK38" s="3"/>
      <c r="KTL38" s="3"/>
      <c r="KTM38" s="3"/>
      <c r="KTN38" s="3"/>
      <c r="KTO38" s="3"/>
      <c r="KTP38" s="3"/>
      <c r="KTQ38" s="3"/>
      <c r="KTR38" s="3"/>
      <c r="KTS38" s="3"/>
      <c r="KTT38" s="3"/>
      <c r="KTU38" s="3"/>
      <c r="KTV38" s="3"/>
      <c r="KTW38" s="3"/>
      <c r="KTX38" s="3"/>
      <c r="KTY38" s="3"/>
      <c r="KTZ38" s="3"/>
      <c r="KUA38" s="3"/>
      <c r="KUB38" s="3"/>
      <c r="KUC38" s="3"/>
      <c r="KUD38" s="3"/>
      <c r="KUE38" s="3"/>
      <c r="KUF38" s="3"/>
      <c r="KUG38" s="3"/>
      <c r="KUH38" s="3"/>
      <c r="KUI38" s="3"/>
      <c r="KUJ38" s="3"/>
      <c r="KUK38" s="3"/>
      <c r="KUL38" s="3"/>
      <c r="KUM38" s="3"/>
      <c r="KUN38" s="3"/>
      <c r="KUO38" s="3"/>
      <c r="KUP38" s="3"/>
      <c r="KUQ38" s="3"/>
      <c r="KUR38" s="3"/>
      <c r="KUS38" s="3"/>
      <c r="KUT38" s="3"/>
      <c r="KUU38" s="3"/>
      <c r="KUV38" s="3"/>
      <c r="KUW38" s="3"/>
      <c r="KUX38" s="3"/>
      <c r="KUY38" s="3"/>
      <c r="KUZ38" s="3"/>
      <c r="KVA38" s="3"/>
      <c r="KVB38" s="3"/>
      <c r="KVC38" s="3"/>
      <c r="KVD38" s="3"/>
      <c r="KVE38" s="3"/>
      <c r="KVF38" s="3"/>
      <c r="KVG38" s="3"/>
      <c r="KVH38" s="3"/>
      <c r="KVI38" s="3"/>
      <c r="KVJ38" s="3"/>
      <c r="KVK38" s="3"/>
      <c r="KVL38" s="3"/>
      <c r="KVM38" s="3"/>
      <c r="KVN38" s="3"/>
      <c r="KVO38" s="3"/>
      <c r="KVP38" s="3"/>
      <c r="KVQ38" s="3"/>
      <c r="KVR38" s="3"/>
      <c r="KVS38" s="3"/>
      <c r="KVT38" s="3"/>
      <c r="KVU38" s="3"/>
      <c r="KVV38" s="3"/>
      <c r="KVW38" s="3"/>
      <c r="KVX38" s="3"/>
      <c r="KVY38" s="3"/>
      <c r="KVZ38" s="3"/>
      <c r="KWA38" s="3"/>
      <c r="KWB38" s="3"/>
      <c r="KWC38" s="3"/>
      <c r="KWD38" s="3"/>
      <c r="KWE38" s="3"/>
      <c r="KWF38" s="3"/>
      <c r="KWG38" s="3"/>
      <c r="KWH38" s="3"/>
      <c r="KWI38" s="3"/>
      <c r="KWJ38" s="3"/>
      <c r="KWK38" s="3"/>
      <c r="KWL38" s="3"/>
      <c r="KWM38" s="3"/>
      <c r="KWN38" s="3"/>
      <c r="KWO38" s="3"/>
      <c r="KWP38" s="3"/>
      <c r="KWQ38" s="3"/>
      <c r="KWR38" s="3"/>
      <c r="KWS38" s="3"/>
      <c r="KWT38" s="3"/>
      <c r="KWU38" s="3"/>
      <c r="KWV38" s="3"/>
      <c r="KWW38" s="3"/>
      <c r="KWX38" s="3"/>
      <c r="KWY38" s="3"/>
      <c r="KWZ38" s="3"/>
      <c r="KXA38" s="3"/>
      <c r="KXB38" s="3"/>
      <c r="KXC38" s="3"/>
      <c r="KXD38" s="3"/>
      <c r="KXE38" s="3"/>
      <c r="KXF38" s="3"/>
      <c r="KXG38" s="3"/>
      <c r="KXH38" s="3"/>
      <c r="KXI38" s="3"/>
      <c r="KXJ38" s="3"/>
      <c r="KXK38" s="3"/>
      <c r="KXL38" s="3"/>
      <c r="KXM38" s="3"/>
      <c r="KXN38" s="3"/>
      <c r="KXO38" s="3"/>
      <c r="KXP38" s="3"/>
      <c r="KXQ38" s="3"/>
      <c r="KXR38" s="3"/>
      <c r="KXS38" s="3"/>
      <c r="KXT38" s="3"/>
      <c r="KXU38" s="3"/>
      <c r="KXV38" s="3"/>
      <c r="KXW38" s="3"/>
      <c r="KXX38" s="3"/>
      <c r="KXY38" s="3"/>
      <c r="KXZ38" s="3"/>
      <c r="KYA38" s="3"/>
      <c r="KYB38" s="3"/>
      <c r="KYC38" s="3"/>
      <c r="KYD38" s="3"/>
      <c r="KYE38" s="3"/>
      <c r="KYF38" s="3"/>
      <c r="KYG38" s="3"/>
      <c r="KYH38" s="3"/>
      <c r="KYI38" s="3"/>
      <c r="KYJ38" s="3"/>
      <c r="KYK38" s="3"/>
      <c r="KYL38" s="3"/>
      <c r="KYM38" s="3"/>
      <c r="KYN38" s="3"/>
      <c r="KYO38" s="3"/>
      <c r="KYP38" s="3"/>
      <c r="KYQ38" s="3"/>
      <c r="KYR38" s="3"/>
      <c r="KYS38" s="3"/>
      <c r="KYT38" s="3"/>
      <c r="KYU38" s="3"/>
      <c r="KYV38" s="3"/>
      <c r="KYW38" s="3"/>
      <c r="KYX38" s="3"/>
      <c r="KYY38" s="3"/>
      <c r="KYZ38" s="3"/>
      <c r="KZA38" s="3"/>
      <c r="KZB38" s="3"/>
      <c r="KZC38" s="3"/>
      <c r="KZD38" s="3"/>
      <c r="KZE38" s="3"/>
      <c r="KZF38" s="3"/>
      <c r="KZG38" s="3"/>
      <c r="KZH38" s="3"/>
      <c r="KZI38" s="3"/>
      <c r="KZJ38" s="3"/>
      <c r="KZK38" s="3"/>
      <c r="KZL38" s="3"/>
      <c r="KZM38" s="3"/>
      <c r="KZN38" s="3"/>
      <c r="KZO38" s="3"/>
      <c r="KZP38" s="3"/>
      <c r="KZQ38" s="3"/>
      <c r="KZR38" s="3"/>
      <c r="KZS38" s="3"/>
      <c r="KZT38" s="3"/>
      <c r="KZU38" s="3"/>
      <c r="KZV38" s="3"/>
      <c r="KZW38" s="3"/>
      <c r="KZX38" s="3"/>
      <c r="KZY38" s="3"/>
      <c r="KZZ38" s="3"/>
      <c r="LAA38" s="3"/>
      <c r="LAB38" s="3"/>
      <c r="LAC38" s="3"/>
      <c r="LAD38" s="3"/>
      <c r="LAE38" s="3"/>
      <c r="LAF38" s="3"/>
      <c r="LAG38" s="3"/>
      <c r="LAH38" s="3"/>
      <c r="LAI38" s="3"/>
      <c r="LAJ38" s="3"/>
      <c r="LAK38" s="3"/>
      <c r="LAL38" s="3"/>
      <c r="LAM38" s="3"/>
      <c r="LAN38" s="3"/>
      <c r="LAO38" s="3"/>
      <c r="LAP38" s="3"/>
      <c r="LAQ38" s="3"/>
      <c r="LAR38" s="3"/>
      <c r="LAS38" s="3"/>
      <c r="LAT38" s="3"/>
      <c r="LAU38" s="3"/>
      <c r="LAV38" s="3"/>
      <c r="LAW38" s="3"/>
      <c r="LAX38" s="3"/>
      <c r="LAY38" s="3"/>
      <c r="LAZ38" s="3"/>
      <c r="LBA38" s="3"/>
      <c r="LBB38" s="3"/>
      <c r="LBC38" s="3"/>
      <c r="LBD38" s="3"/>
      <c r="LBE38" s="3"/>
      <c r="LBF38" s="3"/>
      <c r="LBG38" s="3"/>
      <c r="LBH38" s="3"/>
      <c r="LBI38" s="3"/>
      <c r="LBJ38" s="3"/>
      <c r="LBK38" s="3"/>
      <c r="LBL38" s="3"/>
      <c r="LBM38" s="3"/>
      <c r="LBN38" s="3"/>
      <c r="LBO38" s="3"/>
      <c r="LBP38" s="3"/>
      <c r="LBQ38" s="3"/>
      <c r="LBR38" s="3"/>
      <c r="LBS38" s="3"/>
      <c r="LBT38" s="3"/>
      <c r="LBU38" s="3"/>
      <c r="LBV38" s="3"/>
      <c r="LBW38" s="3"/>
      <c r="LBX38" s="3"/>
      <c r="LBY38" s="3"/>
      <c r="LBZ38" s="3"/>
      <c r="LCA38" s="3"/>
      <c r="LCB38" s="3"/>
      <c r="LCC38" s="3"/>
      <c r="LCD38" s="3"/>
      <c r="LCE38" s="3"/>
      <c r="LCF38" s="3"/>
      <c r="LCG38" s="3"/>
      <c r="LCH38" s="3"/>
      <c r="LCI38" s="3"/>
      <c r="LCJ38" s="3"/>
      <c r="LCK38" s="3"/>
      <c r="LCL38" s="3"/>
      <c r="LCM38" s="3"/>
      <c r="LCN38" s="3"/>
      <c r="LCO38" s="3"/>
      <c r="LCP38" s="3"/>
      <c r="LCQ38" s="3"/>
      <c r="LCR38" s="3"/>
      <c r="LCS38" s="3"/>
      <c r="LCT38" s="3"/>
      <c r="LCU38" s="3"/>
      <c r="LCV38" s="3"/>
      <c r="LCW38" s="3"/>
      <c r="LCX38" s="3"/>
      <c r="LCY38" s="3"/>
      <c r="LCZ38" s="3"/>
      <c r="LDA38" s="3"/>
      <c r="LDB38" s="3"/>
      <c r="LDC38" s="3"/>
      <c r="LDD38" s="3"/>
      <c r="LDE38" s="3"/>
      <c r="LDF38" s="3"/>
      <c r="LDG38" s="3"/>
      <c r="LDH38" s="3"/>
      <c r="LDI38" s="3"/>
      <c r="LDJ38" s="3"/>
      <c r="LDK38" s="3"/>
      <c r="LDL38" s="3"/>
      <c r="LDM38" s="3"/>
      <c r="LDN38" s="3"/>
      <c r="LDO38" s="3"/>
      <c r="LDP38" s="3"/>
      <c r="LDQ38" s="3"/>
      <c r="LDR38" s="3"/>
      <c r="LDS38" s="3"/>
      <c r="LDT38" s="3"/>
      <c r="LDU38" s="3"/>
      <c r="LDV38" s="3"/>
      <c r="LDW38" s="3"/>
      <c r="LDX38" s="3"/>
      <c r="LDY38" s="3"/>
      <c r="LDZ38" s="3"/>
      <c r="LEA38" s="3"/>
      <c r="LEB38" s="3"/>
      <c r="LEC38" s="3"/>
      <c r="LED38" s="3"/>
      <c r="LEE38" s="3"/>
      <c r="LEF38" s="3"/>
      <c r="LEG38" s="3"/>
      <c r="LEH38" s="3"/>
      <c r="LEI38" s="3"/>
      <c r="LEJ38" s="3"/>
      <c r="LEK38" s="3"/>
      <c r="LEL38" s="3"/>
      <c r="LEM38" s="3"/>
      <c r="LEN38" s="3"/>
      <c r="LEO38" s="3"/>
      <c r="LEP38" s="3"/>
      <c r="LEQ38" s="3"/>
      <c r="LER38" s="3"/>
      <c r="LES38" s="3"/>
      <c r="LET38" s="3"/>
      <c r="LEU38" s="3"/>
      <c r="LEV38" s="3"/>
      <c r="LEW38" s="3"/>
      <c r="LEX38" s="3"/>
      <c r="LEY38" s="3"/>
      <c r="LEZ38" s="3"/>
      <c r="LFA38" s="3"/>
      <c r="LFB38" s="3"/>
      <c r="LFC38" s="3"/>
      <c r="LFD38" s="3"/>
      <c r="LFE38" s="3"/>
      <c r="LFF38" s="3"/>
      <c r="LFG38" s="3"/>
      <c r="LFH38" s="3"/>
      <c r="LFI38" s="3"/>
      <c r="LFJ38" s="3"/>
      <c r="LFK38" s="3"/>
      <c r="LFL38" s="3"/>
      <c r="LFM38" s="3"/>
      <c r="LFN38" s="3"/>
      <c r="LFO38" s="3"/>
      <c r="LFP38" s="3"/>
      <c r="LFQ38" s="3"/>
      <c r="LFR38" s="3"/>
      <c r="LFS38" s="3"/>
      <c r="LFT38" s="3"/>
      <c r="LFU38" s="3"/>
      <c r="LFV38" s="3"/>
      <c r="LFW38" s="3"/>
      <c r="LFX38" s="3"/>
      <c r="LFY38" s="3"/>
      <c r="LFZ38" s="3"/>
      <c r="LGA38" s="3"/>
      <c r="LGB38" s="3"/>
      <c r="LGC38" s="3"/>
      <c r="LGD38" s="3"/>
      <c r="LGE38" s="3"/>
      <c r="LGF38" s="3"/>
      <c r="LGG38" s="3"/>
      <c r="LGH38" s="3"/>
      <c r="LGI38" s="3"/>
      <c r="LGJ38" s="3"/>
      <c r="LGK38" s="3"/>
      <c r="LGL38" s="3"/>
      <c r="LGM38" s="3"/>
      <c r="LGN38" s="3"/>
      <c r="LGO38" s="3"/>
      <c r="LGP38" s="3"/>
      <c r="LGQ38" s="3"/>
      <c r="LGR38" s="3"/>
      <c r="LGS38" s="3"/>
      <c r="LGT38" s="3"/>
      <c r="LGU38" s="3"/>
      <c r="LGV38" s="3"/>
      <c r="LGW38" s="3"/>
      <c r="LGX38" s="3"/>
      <c r="LGY38" s="3"/>
      <c r="LGZ38" s="3"/>
      <c r="LHA38" s="3"/>
      <c r="LHB38" s="3"/>
      <c r="LHC38" s="3"/>
      <c r="LHD38" s="3"/>
      <c r="LHE38" s="3"/>
      <c r="LHF38" s="3"/>
      <c r="LHG38" s="3"/>
      <c r="LHH38" s="3"/>
      <c r="LHI38" s="3"/>
      <c r="LHJ38" s="3"/>
      <c r="LHK38" s="3"/>
      <c r="LHL38" s="3"/>
      <c r="LHM38" s="3"/>
      <c r="LHN38" s="3"/>
      <c r="LHO38" s="3"/>
      <c r="LHP38" s="3"/>
      <c r="LHQ38" s="3"/>
      <c r="LHR38" s="3"/>
      <c r="LHS38" s="3"/>
      <c r="LHT38" s="3"/>
      <c r="LHU38" s="3"/>
      <c r="LHV38" s="3"/>
      <c r="LHW38" s="3"/>
      <c r="LHX38" s="3"/>
      <c r="LHY38" s="3"/>
      <c r="LHZ38" s="3"/>
      <c r="LIA38" s="3"/>
      <c r="LIB38" s="3"/>
      <c r="LIC38" s="3"/>
      <c r="LID38" s="3"/>
      <c r="LIE38" s="3"/>
      <c r="LIF38" s="3"/>
      <c r="LIG38" s="3"/>
      <c r="LIH38" s="3"/>
      <c r="LII38" s="3"/>
      <c r="LIJ38" s="3"/>
      <c r="LIK38" s="3"/>
      <c r="LIL38" s="3"/>
      <c r="LIM38" s="3"/>
      <c r="LIN38" s="3"/>
      <c r="LIO38" s="3"/>
      <c r="LIP38" s="3"/>
      <c r="LIQ38" s="3"/>
      <c r="LIR38" s="3"/>
      <c r="LIS38" s="3"/>
      <c r="LIT38" s="3"/>
      <c r="LIU38" s="3"/>
      <c r="LIV38" s="3"/>
      <c r="LIW38" s="3"/>
      <c r="LIX38" s="3"/>
      <c r="LIY38" s="3"/>
      <c r="LIZ38" s="3"/>
      <c r="LJA38" s="3"/>
      <c r="LJB38" s="3"/>
      <c r="LJC38" s="3"/>
      <c r="LJD38" s="3"/>
      <c r="LJE38" s="3"/>
      <c r="LJF38" s="3"/>
      <c r="LJG38" s="3"/>
      <c r="LJH38" s="3"/>
      <c r="LJI38" s="3"/>
      <c r="LJJ38" s="3"/>
      <c r="LJK38" s="3"/>
      <c r="LJL38" s="3"/>
      <c r="LJM38" s="3"/>
      <c r="LJN38" s="3"/>
      <c r="LJO38" s="3"/>
      <c r="LJP38" s="3"/>
      <c r="LJQ38" s="3"/>
      <c r="LJR38" s="3"/>
      <c r="LJS38" s="3"/>
      <c r="LJT38" s="3"/>
      <c r="LJU38" s="3"/>
      <c r="LJV38" s="3"/>
      <c r="LJW38" s="3"/>
      <c r="LJX38" s="3"/>
      <c r="LJY38" s="3"/>
      <c r="LJZ38" s="3"/>
      <c r="LKA38" s="3"/>
      <c r="LKB38" s="3"/>
      <c r="LKC38" s="3"/>
      <c r="LKD38" s="3"/>
      <c r="LKE38" s="3"/>
      <c r="LKF38" s="3"/>
      <c r="LKG38" s="3"/>
      <c r="LKH38" s="3"/>
      <c r="LKI38" s="3"/>
      <c r="LKJ38" s="3"/>
      <c r="LKK38" s="3"/>
      <c r="LKL38" s="3"/>
      <c r="LKM38" s="3"/>
      <c r="LKN38" s="3"/>
      <c r="LKO38" s="3"/>
      <c r="LKP38" s="3"/>
      <c r="LKQ38" s="3"/>
      <c r="LKR38" s="3"/>
      <c r="LKS38" s="3"/>
      <c r="LKT38" s="3"/>
      <c r="LKU38" s="3"/>
      <c r="LKV38" s="3"/>
      <c r="LKW38" s="3"/>
      <c r="LKX38" s="3"/>
      <c r="LKY38" s="3"/>
      <c r="LKZ38" s="3"/>
      <c r="LLA38" s="3"/>
      <c r="LLB38" s="3"/>
      <c r="LLC38" s="3"/>
      <c r="LLD38" s="3"/>
      <c r="LLE38" s="3"/>
      <c r="LLF38" s="3"/>
      <c r="LLG38" s="3"/>
      <c r="LLH38" s="3"/>
      <c r="LLI38" s="3"/>
      <c r="LLJ38" s="3"/>
      <c r="LLK38" s="3"/>
      <c r="LLL38" s="3"/>
      <c r="LLM38" s="3"/>
      <c r="LLN38" s="3"/>
      <c r="LLO38" s="3"/>
      <c r="LLP38" s="3"/>
      <c r="LLQ38" s="3"/>
      <c r="LLR38" s="3"/>
      <c r="LLS38" s="3"/>
      <c r="LLT38" s="3"/>
      <c r="LLU38" s="3"/>
      <c r="LLV38" s="3"/>
      <c r="LLW38" s="3"/>
      <c r="LLX38" s="3"/>
      <c r="LLY38" s="3"/>
      <c r="LLZ38" s="3"/>
      <c r="LMA38" s="3"/>
      <c r="LMB38" s="3"/>
      <c r="LMC38" s="3"/>
      <c r="LMD38" s="3"/>
      <c r="LME38" s="3"/>
      <c r="LMF38" s="3"/>
      <c r="LMG38" s="3"/>
      <c r="LMH38" s="3"/>
      <c r="LMI38" s="3"/>
      <c r="LMJ38" s="3"/>
      <c r="LMK38" s="3"/>
      <c r="LML38" s="3"/>
      <c r="LMM38" s="3"/>
      <c r="LMN38" s="3"/>
      <c r="LMO38" s="3"/>
      <c r="LMP38" s="3"/>
      <c r="LMQ38" s="3"/>
      <c r="LMR38" s="3"/>
      <c r="LMS38" s="3"/>
      <c r="LMT38" s="3"/>
      <c r="LMU38" s="3"/>
      <c r="LMV38" s="3"/>
      <c r="LMW38" s="3"/>
      <c r="LMX38" s="3"/>
      <c r="LMY38" s="3"/>
      <c r="LMZ38" s="3"/>
      <c r="LNA38" s="3"/>
      <c r="LNB38" s="3"/>
      <c r="LNC38" s="3"/>
      <c r="LND38" s="3"/>
      <c r="LNE38" s="3"/>
      <c r="LNF38" s="3"/>
      <c r="LNG38" s="3"/>
      <c r="LNH38" s="3"/>
      <c r="LNI38" s="3"/>
      <c r="LNJ38" s="3"/>
      <c r="LNK38" s="3"/>
      <c r="LNL38" s="3"/>
      <c r="LNM38" s="3"/>
      <c r="LNN38" s="3"/>
      <c r="LNO38" s="3"/>
      <c r="LNP38" s="3"/>
      <c r="LNQ38" s="3"/>
      <c r="LNR38" s="3"/>
      <c r="LNS38" s="3"/>
      <c r="LNT38" s="3"/>
      <c r="LNU38" s="3"/>
      <c r="LNV38" s="3"/>
      <c r="LNW38" s="3"/>
      <c r="LNX38" s="3"/>
      <c r="LNY38" s="3"/>
      <c r="LNZ38" s="3"/>
      <c r="LOA38" s="3"/>
      <c r="LOB38" s="3"/>
      <c r="LOC38" s="3"/>
      <c r="LOD38" s="3"/>
      <c r="LOE38" s="3"/>
      <c r="LOF38" s="3"/>
      <c r="LOG38" s="3"/>
      <c r="LOH38" s="3"/>
      <c r="LOI38" s="3"/>
      <c r="LOJ38" s="3"/>
      <c r="LOK38" s="3"/>
      <c r="LOL38" s="3"/>
      <c r="LOM38" s="3"/>
      <c r="LON38" s="3"/>
      <c r="LOO38" s="3"/>
      <c r="LOP38" s="3"/>
      <c r="LOQ38" s="3"/>
      <c r="LOR38" s="3"/>
      <c r="LOS38" s="3"/>
      <c r="LOT38" s="3"/>
      <c r="LOU38" s="3"/>
      <c r="LOV38" s="3"/>
      <c r="LOW38" s="3"/>
      <c r="LOX38" s="3"/>
      <c r="LOY38" s="3"/>
      <c r="LOZ38" s="3"/>
      <c r="LPA38" s="3"/>
      <c r="LPB38" s="3"/>
      <c r="LPC38" s="3"/>
      <c r="LPD38" s="3"/>
      <c r="LPE38" s="3"/>
      <c r="LPF38" s="3"/>
      <c r="LPG38" s="3"/>
      <c r="LPH38" s="3"/>
      <c r="LPI38" s="3"/>
      <c r="LPJ38" s="3"/>
      <c r="LPK38" s="3"/>
      <c r="LPL38" s="3"/>
      <c r="LPM38" s="3"/>
      <c r="LPN38" s="3"/>
      <c r="LPO38" s="3"/>
      <c r="LPP38" s="3"/>
      <c r="LPQ38" s="3"/>
      <c r="LPR38" s="3"/>
      <c r="LPS38" s="3"/>
      <c r="LPT38" s="3"/>
      <c r="LPU38" s="3"/>
      <c r="LPV38" s="3"/>
      <c r="LPW38" s="3"/>
      <c r="LPX38" s="3"/>
      <c r="LPY38" s="3"/>
      <c r="LPZ38" s="3"/>
      <c r="LQA38" s="3"/>
      <c r="LQB38" s="3"/>
      <c r="LQC38" s="3"/>
      <c r="LQD38" s="3"/>
      <c r="LQE38" s="3"/>
      <c r="LQF38" s="3"/>
      <c r="LQG38" s="3"/>
      <c r="LQH38" s="3"/>
      <c r="LQI38" s="3"/>
      <c r="LQJ38" s="3"/>
      <c r="LQK38" s="3"/>
      <c r="LQL38" s="3"/>
      <c r="LQM38" s="3"/>
      <c r="LQN38" s="3"/>
      <c r="LQO38" s="3"/>
      <c r="LQP38" s="3"/>
      <c r="LQQ38" s="3"/>
      <c r="LQR38" s="3"/>
      <c r="LQS38" s="3"/>
      <c r="LQT38" s="3"/>
      <c r="LQU38" s="3"/>
      <c r="LQV38" s="3"/>
      <c r="LQW38" s="3"/>
      <c r="LQX38" s="3"/>
      <c r="LQY38" s="3"/>
      <c r="LQZ38" s="3"/>
      <c r="LRA38" s="3"/>
      <c r="LRB38" s="3"/>
      <c r="LRC38" s="3"/>
      <c r="LRD38" s="3"/>
      <c r="LRE38" s="3"/>
      <c r="LRF38" s="3"/>
      <c r="LRG38" s="3"/>
      <c r="LRH38" s="3"/>
      <c r="LRI38" s="3"/>
      <c r="LRJ38" s="3"/>
      <c r="LRK38" s="3"/>
      <c r="LRL38" s="3"/>
      <c r="LRM38" s="3"/>
      <c r="LRN38" s="3"/>
      <c r="LRO38" s="3"/>
      <c r="LRP38" s="3"/>
      <c r="LRQ38" s="3"/>
      <c r="LRR38" s="3"/>
      <c r="LRS38" s="3"/>
      <c r="LRT38" s="3"/>
      <c r="LRU38" s="3"/>
      <c r="LRV38" s="3"/>
      <c r="LRW38" s="3"/>
      <c r="LRX38" s="3"/>
      <c r="LRY38" s="3"/>
      <c r="LRZ38" s="3"/>
      <c r="LSA38" s="3"/>
      <c r="LSB38" s="3"/>
      <c r="LSC38" s="3"/>
      <c r="LSD38" s="3"/>
      <c r="LSE38" s="3"/>
      <c r="LSF38" s="3"/>
      <c r="LSG38" s="3"/>
      <c r="LSH38" s="3"/>
      <c r="LSI38" s="3"/>
      <c r="LSJ38" s="3"/>
      <c r="LSK38" s="3"/>
      <c r="LSL38" s="3"/>
      <c r="LSM38" s="3"/>
      <c r="LSN38" s="3"/>
      <c r="LSO38" s="3"/>
      <c r="LSP38" s="3"/>
      <c r="LSQ38" s="3"/>
      <c r="LSR38" s="3"/>
      <c r="LSS38" s="3"/>
      <c r="LST38" s="3"/>
      <c r="LSU38" s="3"/>
      <c r="LSV38" s="3"/>
      <c r="LSW38" s="3"/>
      <c r="LSX38" s="3"/>
      <c r="LSY38" s="3"/>
      <c r="LSZ38" s="3"/>
      <c r="LTA38" s="3"/>
      <c r="LTB38" s="3"/>
      <c r="LTC38" s="3"/>
      <c r="LTD38" s="3"/>
      <c r="LTE38" s="3"/>
      <c r="LTF38" s="3"/>
      <c r="LTG38" s="3"/>
      <c r="LTH38" s="3"/>
      <c r="LTI38" s="3"/>
      <c r="LTJ38" s="3"/>
      <c r="LTK38" s="3"/>
      <c r="LTL38" s="3"/>
      <c r="LTM38" s="3"/>
      <c r="LTN38" s="3"/>
      <c r="LTO38" s="3"/>
      <c r="LTP38" s="3"/>
      <c r="LTQ38" s="3"/>
      <c r="LTR38" s="3"/>
      <c r="LTS38" s="3"/>
      <c r="LTT38" s="3"/>
      <c r="LTU38" s="3"/>
      <c r="LTV38" s="3"/>
      <c r="LTW38" s="3"/>
      <c r="LTX38" s="3"/>
      <c r="LTY38" s="3"/>
      <c r="LTZ38" s="3"/>
      <c r="LUA38" s="3"/>
      <c r="LUB38" s="3"/>
      <c r="LUC38" s="3"/>
      <c r="LUD38" s="3"/>
      <c r="LUE38" s="3"/>
      <c r="LUF38" s="3"/>
      <c r="LUG38" s="3"/>
      <c r="LUH38" s="3"/>
      <c r="LUI38" s="3"/>
      <c r="LUJ38" s="3"/>
      <c r="LUK38" s="3"/>
      <c r="LUL38" s="3"/>
      <c r="LUM38" s="3"/>
      <c r="LUN38" s="3"/>
      <c r="LUO38" s="3"/>
      <c r="LUP38" s="3"/>
      <c r="LUQ38" s="3"/>
      <c r="LUR38" s="3"/>
      <c r="LUS38" s="3"/>
      <c r="LUT38" s="3"/>
      <c r="LUU38" s="3"/>
      <c r="LUV38" s="3"/>
      <c r="LUW38" s="3"/>
      <c r="LUX38" s="3"/>
      <c r="LUY38" s="3"/>
      <c r="LUZ38" s="3"/>
      <c r="LVA38" s="3"/>
      <c r="LVB38" s="3"/>
      <c r="LVC38" s="3"/>
      <c r="LVD38" s="3"/>
      <c r="LVE38" s="3"/>
      <c r="LVF38" s="3"/>
      <c r="LVG38" s="3"/>
      <c r="LVH38" s="3"/>
      <c r="LVI38" s="3"/>
      <c r="LVJ38" s="3"/>
      <c r="LVK38" s="3"/>
      <c r="LVL38" s="3"/>
      <c r="LVM38" s="3"/>
      <c r="LVN38" s="3"/>
      <c r="LVO38" s="3"/>
      <c r="LVP38" s="3"/>
      <c r="LVQ38" s="3"/>
      <c r="LVR38" s="3"/>
      <c r="LVS38" s="3"/>
      <c r="LVT38" s="3"/>
      <c r="LVU38" s="3"/>
      <c r="LVV38" s="3"/>
      <c r="LVW38" s="3"/>
      <c r="LVX38" s="3"/>
      <c r="LVY38" s="3"/>
      <c r="LVZ38" s="3"/>
      <c r="LWA38" s="3"/>
      <c r="LWB38" s="3"/>
      <c r="LWC38" s="3"/>
      <c r="LWD38" s="3"/>
      <c r="LWE38" s="3"/>
      <c r="LWF38" s="3"/>
      <c r="LWG38" s="3"/>
      <c r="LWH38" s="3"/>
      <c r="LWI38" s="3"/>
      <c r="LWJ38" s="3"/>
      <c r="LWK38" s="3"/>
      <c r="LWL38" s="3"/>
      <c r="LWM38" s="3"/>
      <c r="LWN38" s="3"/>
      <c r="LWO38" s="3"/>
      <c r="LWP38" s="3"/>
      <c r="LWQ38" s="3"/>
      <c r="LWR38" s="3"/>
      <c r="LWS38" s="3"/>
      <c r="LWT38" s="3"/>
      <c r="LWU38" s="3"/>
      <c r="LWV38" s="3"/>
      <c r="LWW38" s="3"/>
      <c r="LWX38" s="3"/>
      <c r="LWY38" s="3"/>
      <c r="LWZ38" s="3"/>
      <c r="LXA38" s="3"/>
      <c r="LXB38" s="3"/>
      <c r="LXC38" s="3"/>
      <c r="LXD38" s="3"/>
      <c r="LXE38" s="3"/>
      <c r="LXF38" s="3"/>
      <c r="LXG38" s="3"/>
      <c r="LXH38" s="3"/>
      <c r="LXI38" s="3"/>
      <c r="LXJ38" s="3"/>
      <c r="LXK38" s="3"/>
      <c r="LXL38" s="3"/>
      <c r="LXM38" s="3"/>
      <c r="LXN38" s="3"/>
      <c r="LXO38" s="3"/>
      <c r="LXP38" s="3"/>
      <c r="LXQ38" s="3"/>
      <c r="LXR38" s="3"/>
      <c r="LXS38" s="3"/>
      <c r="LXT38" s="3"/>
      <c r="LXU38" s="3"/>
      <c r="LXV38" s="3"/>
      <c r="LXW38" s="3"/>
      <c r="LXX38" s="3"/>
      <c r="LXY38" s="3"/>
      <c r="LXZ38" s="3"/>
      <c r="LYA38" s="3"/>
      <c r="LYB38" s="3"/>
      <c r="LYC38" s="3"/>
      <c r="LYD38" s="3"/>
      <c r="LYE38" s="3"/>
      <c r="LYF38" s="3"/>
      <c r="LYG38" s="3"/>
      <c r="LYH38" s="3"/>
      <c r="LYI38" s="3"/>
      <c r="LYJ38" s="3"/>
      <c r="LYK38" s="3"/>
      <c r="LYL38" s="3"/>
      <c r="LYM38" s="3"/>
      <c r="LYN38" s="3"/>
      <c r="LYO38" s="3"/>
      <c r="LYP38" s="3"/>
      <c r="LYQ38" s="3"/>
      <c r="LYR38" s="3"/>
      <c r="LYS38" s="3"/>
      <c r="LYT38" s="3"/>
      <c r="LYU38" s="3"/>
      <c r="LYV38" s="3"/>
      <c r="LYW38" s="3"/>
      <c r="LYX38" s="3"/>
      <c r="LYY38" s="3"/>
      <c r="LYZ38" s="3"/>
      <c r="LZA38" s="3"/>
      <c r="LZB38" s="3"/>
      <c r="LZC38" s="3"/>
      <c r="LZD38" s="3"/>
      <c r="LZE38" s="3"/>
      <c r="LZF38" s="3"/>
      <c r="LZG38" s="3"/>
      <c r="LZH38" s="3"/>
      <c r="LZI38" s="3"/>
      <c r="LZJ38" s="3"/>
      <c r="LZK38" s="3"/>
      <c r="LZL38" s="3"/>
      <c r="LZM38" s="3"/>
      <c r="LZN38" s="3"/>
      <c r="LZO38" s="3"/>
      <c r="LZP38" s="3"/>
      <c r="LZQ38" s="3"/>
      <c r="LZR38" s="3"/>
      <c r="LZS38" s="3"/>
      <c r="LZT38" s="3"/>
      <c r="LZU38" s="3"/>
      <c r="LZV38" s="3"/>
      <c r="LZW38" s="3"/>
      <c r="LZX38" s="3"/>
      <c r="LZY38" s="3"/>
      <c r="LZZ38" s="3"/>
      <c r="MAA38" s="3"/>
      <c r="MAB38" s="3"/>
      <c r="MAC38" s="3"/>
      <c r="MAD38" s="3"/>
      <c r="MAE38" s="3"/>
      <c r="MAF38" s="3"/>
      <c r="MAG38" s="3"/>
      <c r="MAH38" s="3"/>
      <c r="MAI38" s="3"/>
      <c r="MAJ38" s="3"/>
      <c r="MAK38" s="3"/>
      <c r="MAL38" s="3"/>
      <c r="MAM38" s="3"/>
      <c r="MAN38" s="3"/>
      <c r="MAO38" s="3"/>
      <c r="MAP38" s="3"/>
      <c r="MAQ38" s="3"/>
      <c r="MAR38" s="3"/>
      <c r="MAS38" s="3"/>
      <c r="MAT38" s="3"/>
      <c r="MAU38" s="3"/>
      <c r="MAV38" s="3"/>
      <c r="MAW38" s="3"/>
      <c r="MAX38" s="3"/>
      <c r="MAY38" s="3"/>
      <c r="MAZ38" s="3"/>
      <c r="MBA38" s="3"/>
      <c r="MBB38" s="3"/>
      <c r="MBC38" s="3"/>
      <c r="MBD38" s="3"/>
      <c r="MBE38" s="3"/>
      <c r="MBF38" s="3"/>
      <c r="MBG38" s="3"/>
      <c r="MBH38" s="3"/>
      <c r="MBI38" s="3"/>
      <c r="MBJ38" s="3"/>
      <c r="MBK38" s="3"/>
      <c r="MBL38" s="3"/>
      <c r="MBM38" s="3"/>
      <c r="MBN38" s="3"/>
      <c r="MBO38" s="3"/>
      <c r="MBP38" s="3"/>
      <c r="MBQ38" s="3"/>
      <c r="MBR38" s="3"/>
      <c r="MBS38" s="3"/>
      <c r="MBT38" s="3"/>
      <c r="MBU38" s="3"/>
      <c r="MBV38" s="3"/>
      <c r="MBW38" s="3"/>
      <c r="MBX38" s="3"/>
      <c r="MBY38" s="3"/>
      <c r="MBZ38" s="3"/>
      <c r="MCA38" s="3"/>
      <c r="MCB38" s="3"/>
      <c r="MCC38" s="3"/>
      <c r="MCD38" s="3"/>
      <c r="MCE38" s="3"/>
      <c r="MCF38" s="3"/>
      <c r="MCG38" s="3"/>
      <c r="MCH38" s="3"/>
      <c r="MCI38" s="3"/>
      <c r="MCJ38" s="3"/>
      <c r="MCK38" s="3"/>
      <c r="MCL38" s="3"/>
      <c r="MCM38" s="3"/>
      <c r="MCN38" s="3"/>
      <c r="MCO38" s="3"/>
      <c r="MCP38" s="3"/>
      <c r="MCQ38" s="3"/>
      <c r="MCR38" s="3"/>
      <c r="MCS38" s="3"/>
      <c r="MCT38" s="3"/>
      <c r="MCU38" s="3"/>
      <c r="MCV38" s="3"/>
      <c r="MCW38" s="3"/>
      <c r="MCX38" s="3"/>
      <c r="MCY38" s="3"/>
      <c r="MCZ38" s="3"/>
      <c r="MDA38" s="3"/>
      <c r="MDB38" s="3"/>
      <c r="MDC38" s="3"/>
      <c r="MDD38" s="3"/>
      <c r="MDE38" s="3"/>
      <c r="MDF38" s="3"/>
      <c r="MDG38" s="3"/>
      <c r="MDH38" s="3"/>
      <c r="MDI38" s="3"/>
      <c r="MDJ38" s="3"/>
      <c r="MDK38" s="3"/>
      <c r="MDL38" s="3"/>
      <c r="MDM38" s="3"/>
      <c r="MDN38" s="3"/>
      <c r="MDO38" s="3"/>
      <c r="MDP38" s="3"/>
      <c r="MDQ38" s="3"/>
      <c r="MDR38" s="3"/>
      <c r="MDS38" s="3"/>
      <c r="MDT38" s="3"/>
      <c r="MDU38" s="3"/>
      <c r="MDV38" s="3"/>
      <c r="MDW38" s="3"/>
      <c r="MDX38" s="3"/>
      <c r="MDY38" s="3"/>
      <c r="MDZ38" s="3"/>
      <c r="MEA38" s="3"/>
      <c r="MEB38" s="3"/>
      <c r="MEC38" s="3"/>
      <c r="MED38" s="3"/>
      <c r="MEE38" s="3"/>
      <c r="MEF38" s="3"/>
      <c r="MEG38" s="3"/>
      <c r="MEH38" s="3"/>
      <c r="MEI38" s="3"/>
      <c r="MEJ38" s="3"/>
      <c r="MEK38" s="3"/>
      <c r="MEL38" s="3"/>
      <c r="MEM38" s="3"/>
      <c r="MEN38" s="3"/>
      <c r="MEO38" s="3"/>
      <c r="MEP38" s="3"/>
      <c r="MEQ38" s="3"/>
      <c r="MER38" s="3"/>
      <c r="MES38" s="3"/>
      <c r="MET38" s="3"/>
      <c r="MEU38" s="3"/>
      <c r="MEV38" s="3"/>
      <c r="MEW38" s="3"/>
      <c r="MEX38" s="3"/>
      <c r="MEY38" s="3"/>
      <c r="MEZ38" s="3"/>
      <c r="MFA38" s="3"/>
      <c r="MFB38" s="3"/>
      <c r="MFC38" s="3"/>
      <c r="MFD38" s="3"/>
      <c r="MFE38" s="3"/>
      <c r="MFF38" s="3"/>
      <c r="MFG38" s="3"/>
      <c r="MFH38" s="3"/>
      <c r="MFI38" s="3"/>
      <c r="MFJ38" s="3"/>
      <c r="MFK38" s="3"/>
      <c r="MFL38" s="3"/>
      <c r="MFM38" s="3"/>
      <c r="MFN38" s="3"/>
      <c r="MFO38" s="3"/>
      <c r="MFP38" s="3"/>
      <c r="MFQ38" s="3"/>
      <c r="MFR38" s="3"/>
      <c r="MFS38" s="3"/>
      <c r="MFT38" s="3"/>
      <c r="MFU38" s="3"/>
      <c r="MFV38" s="3"/>
      <c r="MFW38" s="3"/>
      <c r="MFX38" s="3"/>
      <c r="MFY38" s="3"/>
      <c r="MFZ38" s="3"/>
      <c r="MGA38" s="3"/>
      <c r="MGB38" s="3"/>
      <c r="MGC38" s="3"/>
      <c r="MGD38" s="3"/>
      <c r="MGE38" s="3"/>
      <c r="MGF38" s="3"/>
      <c r="MGG38" s="3"/>
      <c r="MGH38" s="3"/>
      <c r="MGI38" s="3"/>
      <c r="MGJ38" s="3"/>
      <c r="MGK38" s="3"/>
      <c r="MGL38" s="3"/>
      <c r="MGM38" s="3"/>
      <c r="MGN38" s="3"/>
      <c r="MGO38" s="3"/>
      <c r="MGP38" s="3"/>
      <c r="MGQ38" s="3"/>
      <c r="MGR38" s="3"/>
      <c r="MGS38" s="3"/>
      <c r="MGT38" s="3"/>
      <c r="MGU38" s="3"/>
      <c r="MGV38" s="3"/>
      <c r="MGW38" s="3"/>
      <c r="MGX38" s="3"/>
      <c r="MGY38" s="3"/>
      <c r="MGZ38" s="3"/>
      <c r="MHA38" s="3"/>
      <c r="MHB38" s="3"/>
      <c r="MHC38" s="3"/>
      <c r="MHD38" s="3"/>
      <c r="MHE38" s="3"/>
      <c r="MHF38" s="3"/>
      <c r="MHG38" s="3"/>
      <c r="MHH38" s="3"/>
      <c r="MHI38" s="3"/>
      <c r="MHJ38" s="3"/>
      <c r="MHK38" s="3"/>
      <c r="MHL38" s="3"/>
      <c r="MHM38" s="3"/>
      <c r="MHN38" s="3"/>
      <c r="MHO38" s="3"/>
      <c r="MHP38" s="3"/>
      <c r="MHQ38" s="3"/>
      <c r="MHR38" s="3"/>
      <c r="MHS38" s="3"/>
      <c r="MHT38" s="3"/>
      <c r="MHU38" s="3"/>
      <c r="MHV38" s="3"/>
      <c r="MHW38" s="3"/>
      <c r="MHX38" s="3"/>
      <c r="MHY38" s="3"/>
      <c r="MHZ38" s="3"/>
      <c r="MIA38" s="3"/>
      <c r="MIB38" s="3"/>
      <c r="MIC38" s="3"/>
      <c r="MID38" s="3"/>
      <c r="MIE38" s="3"/>
      <c r="MIF38" s="3"/>
      <c r="MIG38" s="3"/>
      <c r="MIH38" s="3"/>
      <c r="MII38" s="3"/>
      <c r="MIJ38" s="3"/>
      <c r="MIK38" s="3"/>
      <c r="MIL38" s="3"/>
      <c r="MIM38" s="3"/>
      <c r="MIN38" s="3"/>
      <c r="MIO38" s="3"/>
      <c r="MIP38" s="3"/>
      <c r="MIQ38" s="3"/>
      <c r="MIR38" s="3"/>
      <c r="MIS38" s="3"/>
      <c r="MIT38" s="3"/>
      <c r="MIU38" s="3"/>
      <c r="MIV38" s="3"/>
      <c r="MIW38" s="3"/>
      <c r="MIX38" s="3"/>
      <c r="MIY38" s="3"/>
      <c r="MIZ38" s="3"/>
      <c r="MJA38" s="3"/>
      <c r="MJB38" s="3"/>
      <c r="MJC38" s="3"/>
      <c r="MJD38" s="3"/>
      <c r="MJE38" s="3"/>
      <c r="MJF38" s="3"/>
      <c r="MJG38" s="3"/>
      <c r="MJH38" s="3"/>
      <c r="MJI38" s="3"/>
      <c r="MJJ38" s="3"/>
      <c r="MJK38" s="3"/>
      <c r="MJL38" s="3"/>
      <c r="MJM38" s="3"/>
      <c r="MJN38" s="3"/>
      <c r="MJO38" s="3"/>
      <c r="MJP38" s="3"/>
      <c r="MJQ38" s="3"/>
      <c r="MJR38" s="3"/>
      <c r="MJS38" s="3"/>
      <c r="MJT38" s="3"/>
      <c r="MJU38" s="3"/>
      <c r="MJV38" s="3"/>
      <c r="MJW38" s="3"/>
      <c r="MJX38" s="3"/>
      <c r="MJY38" s="3"/>
      <c r="MJZ38" s="3"/>
      <c r="MKA38" s="3"/>
      <c r="MKB38" s="3"/>
      <c r="MKC38" s="3"/>
      <c r="MKD38" s="3"/>
      <c r="MKE38" s="3"/>
      <c r="MKF38" s="3"/>
      <c r="MKG38" s="3"/>
      <c r="MKH38" s="3"/>
      <c r="MKI38" s="3"/>
      <c r="MKJ38" s="3"/>
      <c r="MKK38" s="3"/>
      <c r="MKL38" s="3"/>
      <c r="MKM38" s="3"/>
      <c r="MKN38" s="3"/>
      <c r="MKO38" s="3"/>
      <c r="MKP38" s="3"/>
      <c r="MKQ38" s="3"/>
      <c r="MKR38" s="3"/>
      <c r="MKS38" s="3"/>
      <c r="MKT38" s="3"/>
      <c r="MKU38" s="3"/>
      <c r="MKV38" s="3"/>
      <c r="MKW38" s="3"/>
      <c r="MKX38" s="3"/>
      <c r="MKY38" s="3"/>
      <c r="MKZ38" s="3"/>
      <c r="MLA38" s="3"/>
      <c r="MLB38" s="3"/>
      <c r="MLC38" s="3"/>
      <c r="MLD38" s="3"/>
      <c r="MLE38" s="3"/>
      <c r="MLF38" s="3"/>
      <c r="MLG38" s="3"/>
      <c r="MLH38" s="3"/>
      <c r="MLI38" s="3"/>
      <c r="MLJ38" s="3"/>
      <c r="MLK38" s="3"/>
      <c r="MLL38" s="3"/>
      <c r="MLM38" s="3"/>
      <c r="MLN38" s="3"/>
      <c r="MLO38" s="3"/>
      <c r="MLP38" s="3"/>
      <c r="MLQ38" s="3"/>
      <c r="MLR38" s="3"/>
      <c r="MLS38" s="3"/>
      <c r="MLT38" s="3"/>
      <c r="MLU38" s="3"/>
      <c r="MLV38" s="3"/>
      <c r="MLW38" s="3"/>
      <c r="MLX38" s="3"/>
      <c r="MLY38" s="3"/>
      <c r="MLZ38" s="3"/>
      <c r="MMA38" s="3"/>
      <c r="MMB38" s="3"/>
      <c r="MMC38" s="3"/>
      <c r="MMD38" s="3"/>
      <c r="MME38" s="3"/>
      <c r="MMF38" s="3"/>
      <c r="MMG38" s="3"/>
      <c r="MMH38" s="3"/>
      <c r="MMI38" s="3"/>
      <c r="MMJ38" s="3"/>
      <c r="MMK38" s="3"/>
      <c r="MML38" s="3"/>
      <c r="MMM38" s="3"/>
      <c r="MMN38" s="3"/>
      <c r="MMO38" s="3"/>
      <c r="MMP38" s="3"/>
      <c r="MMQ38" s="3"/>
      <c r="MMR38" s="3"/>
      <c r="MMS38" s="3"/>
      <c r="MMT38" s="3"/>
      <c r="MMU38" s="3"/>
      <c r="MMV38" s="3"/>
      <c r="MMW38" s="3"/>
      <c r="MMX38" s="3"/>
      <c r="MMY38" s="3"/>
      <c r="MMZ38" s="3"/>
      <c r="MNA38" s="3"/>
      <c r="MNB38" s="3"/>
      <c r="MNC38" s="3"/>
      <c r="MND38" s="3"/>
      <c r="MNE38" s="3"/>
      <c r="MNF38" s="3"/>
      <c r="MNG38" s="3"/>
      <c r="MNH38" s="3"/>
      <c r="MNI38" s="3"/>
      <c r="MNJ38" s="3"/>
      <c r="MNK38" s="3"/>
      <c r="MNL38" s="3"/>
      <c r="MNM38" s="3"/>
      <c r="MNN38" s="3"/>
      <c r="MNO38" s="3"/>
      <c r="MNP38" s="3"/>
      <c r="MNQ38" s="3"/>
      <c r="MNR38" s="3"/>
      <c r="MNS38" s="3"/>
      <c r="MNT38" s="3"/>
      <c r="MNU38" s="3"/>
      <c r="MNV38" s="3"/>
      <c r="MNW38" s="3"/>
      <c r="MNX38" s="3"/>
      <c r="MNY38" s="3"/>
      <c r="MNZ38" s="3"/>
      <c r="MOA38" s="3"/>
      <c r="MOB38" s="3"/>
      <c r="MOC38" s="3"/>
      <c r="MOD38" s="3"/>
      <c r="MOE38" s="3"/>
      <c r="MOF38" s="3"/>
      <c r="MOG38" s="3"/>
      <c r="MOH38" s="3"/>
      <c r="MOI38" s="3"/>
      <c r="MOJ38" s="3"/>
      <c r="MOK38" s="3"/>
      <c r="MOL38" s="3"/>
      <c r="MOM38" s="3"/>
      <c r="MON38" s="3"/>
      <c r="MOO38" s="3"/>
      <c r="MOP38" s="3"/>
      <c r="MOQ38" s="3"/>
      <c r="MOR38" s="3"/>
      <c r="MOS38" s="3"/>
      <c r="MOT38" s="3"/>
      <c r="MOU38" s="3"/>
      <c r="MOV38" s="3"/>
      <c r="MOW38" s="3"/>
      <c r="MOX38" s="3"/>
      <c r="MOY38" s="3"/>
      <c r="MOZ38" s="3"/>
      <c r="MPA38" s="3"/>
      <c r="MPB38" s="3"/>
      <c r="MPC38" s="3"/>
      <c r="MPD38" s="3"/>
      <c r="MPE38" s="3"/>
      <c r="MPF38" s="3"/>
      <c r="MPG38" s="3"/>
      <c r="MPH38" s="3"/>
      <c r="MPI38" s="3"/>
      <c r="MPJ38" s="3"/>
      <c r="MPK38" s="3"/>
      <c r="MPL38" s="3"/>
      <c r="MPM38" s="3"/>
      <c r="MPN38" s="3"/>
      <c r="MPO38" s="3"/>
      <c r="MPP38" s="3"/>
      <c r="MPQ38" s="3"/>
      <c r="MPR38" s="3"/>
      <c r="MPS38" s="3"/>
      <c r="MPT38" s="3"/>
      <c r="MPU38" s="3"/>
      <c r="MPV38" s="3"/>
      <c r="MPW38" s="3"/>
      <c r="MPX38" s="3"/>
      <c r="MPY38" s="3"/>
      <c r="MPZ38" s="3"/>
      <c r="MQA38" s="3"/>
      <c r="MQB38" s="3"/>
      <c r="MQC38" s="3"/>
      <c r="MQD38" s="3"/>
      <c r="MQE38" s="3"/>
      <c r="MQF38" s="3"/>
      <c r="MQG38" s="3"/>
      <c r="MQH38" s="3"/>
      <c r="MQI38" s="3"/>
      <c r="MQJ38" s="3"/>
      <c r="MQK38" s="3"/>
      <c r="MQL38" s="3"/>
      <c r="MQM38" s="3"/>
      <c r="MQN38" s="3"/>
      <c r="MQO38" s="3"/>
      <c r="MQP38" s="3"/>
      <c r="MQQ38" s="3"/>
      <c r="MQR38" s="3"/>
      <c r="MQS38" s="3"/>
      <c r="MQT38" s="3"/>
      <c r="MQU38" s="3"/>
      <c r="MQV38" s="3"/>
      <c r="MQW38" s="3"/>
      <c r="MQX38" s="3"/>
      <c r="MQY38" s="3"/>
      <c r="MQZ38" s="3"/>
      <c r="MRA38" s="3"/>
      <c r="MRB38" s="3"/>
      <c r="MRC38" s="3"/>
      <c r="MRD38" s="3"/>
      <c r="MRE38" s="3"/>
      <c r="MRF38" s="3"/>
      <c r="MRG38" s="3"/>
      <c r="MRH38" s="3"/>
      <c r="MRI38" s="3"/>
      <c r="MRJ38" s="3"/>
      <c r="MRK38" s="3"/>
      <c r="MRL38" s="3"/>
      <c r="MRM38" s="3"/>
      <c r="MRN38" s="3"/>
      <c r="MRO38" s="3"/>
      <c r="MRP38" s="3"/>
      <c r="MRQ38" s="3"/>
      <c r="MRR38" s="3"/>
      <c r="MRS38" s="3"/>
      <c r="MRT38" s="3"/>
      <c r="MRU38" s="3"/>
      <c r="MRV38" s="3"/>
      <c r="MRW38" s="3"/>
      <c r="MRX38" s="3"/>
      <c r="MRY38" s="3"/>
      <c r="MRZ38" s="3"/>
      <c r="MSA38" s="3"/>
      <c r="MSB38" s="3"/>
      <c r="MSC38" s="3"/>
      <c r="MSD38" s="3"/>
      <c r="MSE38" s="3"/>
      <c r="MSF38" s="3"/>
      <c r="MSG38" s="3"/>
      <c r="MSH38" s="3"/>
      <c r="MSI38" s="3"/>
      <c r="MSJ38" s="3"/>
      <c r="MSK38" s="3"/>
      <c r="MSL38" s="3"/>
      <c r="MSM38" s="3"/>
      <c r="MSN38" s="3"/>
      <c r="MSO38" s="3"/>
      <c r="MSP38" s="3"/>
      <c r="MSQ38" s="3"/>
      <c r="MSR38" s="3"/>
      <c r="MSS38" s="3"/>
      <c r="MST38" s="3"/>
      <c r="MSU38" s="3"/>
      <c r="MSV38" s="3"/>
      <c r="MSW38" s="3"/>
      <c r="MSX38" s="3"/>
      <c r="MSY38" s="3"/>
      <c r="MSZ38" s="3"/>
      <c r="MTA38" s="3"/>
      <c r="MTB38" s="3"/>
      <c r="MTC38" s="3"/>
      <c r="MTD38" s="3"/>
      <c r="MTE38" s="3"/>
      <c r="MTF38" s="3"/>
      <c r="MTG38" s="3"/>
      <c r="MTH38" s="3"/>
      <c r="MTI38" s="3"/>
      <c r="MTJ38" s="3"/>
      <c r="MTK38" s="3"/>
      <c r="MTL38" s="3"/>
      <c r="MTM38" s="3"/>
      <c r="MTN38" s="3"/>
      <c r="MTO38" s="3"/>
      <c r="MTP38" s="3"/>
      <c r="MTQ38" s="3"/>
      <c r="MTR38" s="3"/>
      <c r="MTS38" s="3"/>
      <c r="MTT38" s="3"/>
      <c r="MTU38" s="3"/>
      <c r="MTV38" s="3"/>
      <c r="MTW38" s="3"/>
      <c r="MTX38" s="3"/>
      <c r="MTY38" s="3"/>
      <c r="MTZ38" s="3"/>
      <c r="MUA38" s="3"/>
      <c r="MUB38" s="3"/>
      <c r="MUC38" s="3"/>
      <c r="MUD38" s="3"/>
      <c r="MUE38" s="3"/>
      <c r="MUF38" s="3"/>
      <c r="MUG38" s="3"/>
      <c r="MUH38" s="3"/>
      <c r="MUI38" s="3"/>
      <c r="MUJ38" s="3"/>
      <c r="MUK38" s="3"/>
      <c r="MUL38" s="3"/>
      <c r="MUM38" s="3"/>
      <c r="MUN38" s="3"/>
      <c r="MUO38" s="3"/>
      <c r="MUP38" s="3"/>
      <c r="MUQ38" s="3"/>
      <c r="MUR38" s="3"/>
      <c r="MUS38" s="3"/>
      <c r="MUT38" s="3"/>
      <c r="MUU38" s="3"/>
      <c r="MUV38" s="3"/>
      <c r="MUW38" s="3"/>
      <c r="MUX38" s="3"/>
      <c r="MUY38" s="3"/>
      <c r="MUZ38" s="3"/>
      <c r="MVA38" s="3"/>
      <c r="MVB38" s="3"/>
      <c r="MVC38" s="3"/>
      <c r="MVD38" s="3"/>
      <c r="MVE38" s="3"/>
      <c r="MVF38" s="3"/>
      <c r="MVG38" s="3"/>
      <c r="MVH38" s="3"/>
      <c r="MVI38" s="3"/>
      <c r="MVJ38" s="3"/>
      <c r="MVK38" s="3"/>
      <c r="MVL38" s="3"/>
      <c r="MVM38" s="3"/>
      <c r="MVN38" s="3"/>
      <c r="MVO38" s="3"/>
      <c r="MVP38" s="3"/>
      <c r="MVQ38" s="3"/>
      <c r="MVR38" s="3"/>
      <c r="MVS38" s="3"/>
      <c r="MVT38" s="3"/>
      <c r="MVU38" s="3"/>
      <c r="MVV38" s="3"/>
      <c r="MVW38" s="3"/>
      <c r="MVX38" s="3"/>
      <c r="MVY38" s="3"/>
      <c r="MVZ38" s="3"/>
      <c r="MWA38" s="3"/>
      <c r="MWB38" s="3"/>
      <c r="MWC38" s="3"/>
      <c r="MWD38" s="3"/>
      <c r="MWE38" s="3"/>
      <c r="MWF38" s="3"/>
      <c r="MWG38" s="3"/>
      <c r="MWH38" s="3"/>
      <c r="MWI38" s="3"/>
      <c r="MWJ38" s="3"/>
      <c r="MWK38" s="3"/>
      <c r="MWL38" s="3"/>
      <c r="MWM38" s="3"/>
      <c r="MWN38" s="3"/>
      <c r="MWO38" s="3"/>
      <c r="MWP38" s="3"/>
      <c r="MWQ38" s="3"/>
      <c r="MWR38" s="3"/>
      <c r="MWS38" s="3"/>
      <c r="MWT38" s="3"/>
      <c r="MWU38" s="3"/>
      <c r="MWV38" s="3"/>
      <c r="MWW38" s="3"/>
      <c r="MWX38" s="3"/>
      <c r="MWY38" s="3"/>
      <c r="MWZ38" s="3"/>
      <c r="MXA38" s="3"/>
      <c r="MXB38" s="3"/>
      <c r="MXC38" s="3"/>
      <c r="MXD38" s="3"/>
      <c r="MXE38" s="3"/>
      <c r="MXF38" s="3"/>
      <c r="MXG38" s="3"/>
      <c r="MXH38" s="3"/>
      <c r="MXI38" s="3"/>
      <c r="MXJ38" s="3"/>
      <c r="MXK38" s="3"/>
      <c r="MXL38" s="3"/>
      <c r="MXM38" s="3"/>
      <c r="MXN38" s="3"/>
      <c r="MXO38" s="3"/>
      <c r="MXP38" s="3"/>
      <c r="MXQ38" s="3"/>
      <c r="MXR38" s="3"/>
      <c r="MXS38" s="3"/>
      <c r="MXT38" s="3"/>
      <c r="MXU38" s="3"/>
      <c r="MXV38" s="3"/>
      <c r="MXW38" s="3"/>
      <c r="MXX38" s="3"/>
      <c r="MXY38" s="3"/>
      <c r="MXZ38" s="3"/>
      <c r="MYA38" s="3"/>
      <c r="MYB38" s="3"/>
      <c r="MYC38" s="3"/>
      <c r="MYD38" s="3"/>
      <c r="MYE38" s="3"/>
      <c r="MYF38" s="3"/>
      <c r="MYG38" s="3"/>
      <c r="MYH38" s="3"/>
      <c r="MYI38" s="3"/>
      <c r="MYJ38" s="3"/>
      <c r="MYK38" s="3"/>
      <c r="MYL38" s="3"/>
      <c r="MYM38" s="3"/>
      <c r="MYN38" s="3"/>
      <c r="MYO38" s="3"/>
      <c r="MYP38" s="3"/>
      <c r="MYQ38" s="3"/>
      <c r="MYR38" s="3"/>
      <c r="MYS38" s="3"/>
      <c r="MYT38" s="3"/>
      <c r="MYU38" s="3"/>
      <c r="MYV38" s="3"/>
      <c r="MYW38" s="3"/>
      <c r="MYX38" s="3"/>
      <c r="MYY38" s="3"/>
      <c r="MYZ38" s="3"/>
      <c r="MZA38" s="3"/>
      <c r="MZB38" s="3"/>
      <c r="MZC38" s="3"/>
      <c r="MZD38" s="3"/>
      <c r="MZE38" s="3"/>
      <c r="MZF38" s="3"/>
      <c r="MZG38" s="3"/>
      <c r="MZH38" s="3"/>
      <c r="MZI38" s="3"/>
      <c r="MZJ38" s="3"/>
      <c r="MZK38" s="3"/>
      <c r="MZL38" s="3"/>
      <c r="MZM38" s="3"/>
      <c r="MZN38" s="3"/>
      <c r="MZO38" s="3"/>
      <c r="MZP38" s="3"/>
      <c r="MZQ38" s="3"/>
      <c r="MZR38" s="3"/>
      <c r="MZS38" s="3"/>
      <c r="MZT38" s="3"/>
      <c r="MZU38" s="3"/>
      <c r="MZV38" s="3"/>
      <c r="MZW38" s="3"/>
      <c r="MZX38" s="3"/>
      <c r="MZY38" s="3"/>
      <c r="MZZ38" s="3"/>
      <c r="NAA38" s="3"/>
      <c r="NAB38" s="3"/>
      <c r="NAC38" s="3"/>
      <c r="NAD38" s="3"/>
      <c r="NAE38" s="3"/>
      <c r="NAF38" s="3"/>
      <c r="NAG38" s="3"/>
      <c r="NAH38" s="3"/>
      <c r="NAI38" s="3"/>
      <c r="NAJ38" s="3"/>
      <c r="NAK38" s="3"/>
      <c r="NAL38" s="3"/>
      <c r="NAM38" s="3"/>
      <c r="NAN38" s="3"/>
      <c r="NAO38" s="3"/>
      <c r="NAP38" s="3"/>
      <c r="NAQ38" s="3"/>
      <c r="NAR38" s="3"/>
      <c r="NAS38" s="3"/>
      <c r="NAT38" s="3"/>
      <c r="NAU38" s="3"/>
      <c r="NAV38" s="3"/>
      <c r="NAW38" s="3"/>
      <c r="NAX38" s="3"/>
      <c r="NAY38" s="3"/>
      <c r="NAZ38" s="3"/>
      <c r="NBA38" s="3"/>
      <c r="NBB38" s="3"/>
      <c r="NBC38" s="3"/>
      <c r="NBD38" s="3"/>
      <c r="NBE38" s="3"/>
      <c r="NBF38" s="3"/>
      <c r="NBG38" s="3"/>
      <c r="NBH38" s="3"/>
      <c r="NBI38" s="3"/>
      <c r="NBJ38" s="3"/>
      <c r="NBK38" s="3"/>
      <c r="NBL38" s="3"/>
      <c r="NBM38" s="3"/>
      <c r="NBN38" s="3"/>
      <c r="NBO38" s="3"/>
      <c r="NBP38" s="3"/>
      <c r="NBQ38" s="3"/>
      <c r="NBR38" s="3"/>
      <c r="NBS38" s="3"/>
      <c r="NBT38" s="3"/>
      <c r="NBU38" s="3"/>
      <c r="NBV38" s="3"/>
      <c r="NBW38" s="3"/>
      <c r="NBX38" s="3"/>
      <c r="NBY38" s="3"/>
      <c r="NBZ38" s="3"/>
      <c r="NCA38" s="3"/>
      <c r="NCB38" s="3"/>
      <c r="NCC38" s="3"/>
      <c r="NCD38" s="3"/>
      <c r="NCE38" s="3"/>
      <c r="NCF38" s="3"/>
      <c r="NCG38" s="3"/>
      <c r="NCH38" s="3"/>
      <c r="NCI38" s="3"/>
      <c r="NCJ38" s="3"/>
      <c r="NCK38" s="3"/>
      <c r="NCL38" s="3"/>
      <c r="NCM38" s="3"/>
      <c r="NCN38" s="3"/>
      <c r="NCO38" s="3"/>
      <c r="NCP38" s="3"/>
      <c r="NCQ38" s="3"/>
      <c r="NCR38" s="3"/>
      <c r="NCS38" s="3"/>
      <c r="NCT38" s="3"/>
      <c r="NCU38" s="3"/>
      <c r="NCV38" s="3"/>
      <c r="NCW38" s="3"/>
      <c r="NCX38" s="3"/>
      <c r="NCY38" s="3"/>
      <c r="NCZ38" s="3"/>
      <c r="NDA38" s="3"/>
      <c r="NDB38" s="3"/>
      <c r="NDC38" s="3"/>
      <c r="NDD38" s="3"/>
      <c r="NDE38" s="3"/>
      <c r="NDF38" s="3"/>
      <c r="NDG38" s="3"/>
      <c r="NDH38" s="3"/>
      <c r="NDI38" s="3"/>
      <c r="NDJ38" s="3"/>
      <c r="NDK38" s="3"/>
      <c r="NDL38" s="3"/>
      <c r="NDM38" s="3"/>
      <c r="NDN38" s="3"/>
      <c r="NDO38" s="3"/>
      <c r="NDP38" s="3"/>
      <c r="NDQ38" s="3"/>
      <c r="NDR38" s="3"/>
      <c r="NDS38" s="3"/>
      <c r="NDT38" s="3"/>
      <c r="NDU38" s="3"/>
      <c r="NDV38" s="3"/>
      <c r="NDW38" s="3"/>
      <c r="NDX38" s="3"/>
      <c r="NDY38" s="3"/>
      <c r="NDZ38" s="3"/>
      <c r="NEA38" s="3"/>
      <c r="NEB38" s="3"/>
      <c r="NEC38" s="3"/>
      <c r="NED38" s="3"/>
      <c r="NEE38" s="3"/>
      <c r="NEF38" s="3"/>
      <c r="NEG38" s="3"/>
      <c r="NEH38" s="3"/>
      <c r="NEI38" s="3"/>
      <c r="NEJ38" s="3"/>
      <c r="NEK38" s="3"/>
      <c r="NEL38" s="3"/>
      <c r="NEM38" s="3"/>
      <c r="NEN38" s="3"/>
      <c r="NEO38" s="3"/>
      <c r="NEP38" s="3"/>
      <c r="NEQ38" s="3"/>
      <c r="NER38" s="3"/>
      <c r="NES38" s="3"/>
      <c r="NET38" s="3"/>
      <c r="NEU38" s="3"/>
      <c r="NEV38" s="3"/>
      <c r="NEW38" s="3"/>
      <c r="NEX38" s="3"/>
      <c r="NEY38" s="3"/>
      <c r="NEZ38" s="3"/>
      <c r="NFA38" s="3"/>
      <c r="NFB38" s="3"/>
      <c r="NFC38" s="3"/>
      <c r="NFD38" s="3"/>
      <c r="NFE38" s="3"/>
      <c r="NFF38" s="3"/>
      <c r="NFG38" s="3"/>
      <c r="NFH38" s="3"/>
      <c r="NFI38" s="3"/>
      <c r="NFJ38" s="3"/>
      <c r="NFK38" s="3"/>
      <c r="NFL38" s="3"/>
      <c r="NFM38" s="3"/>
      <c r="NFN38" s="3"/>
      <c r="NFO38" s="3"/>
      <c r="NFP38" s="3"/>
      <c r="NFQ38" s="3"/>
      <c r="NFR38" s="3"/>
      <c r="NFS38" s="3"/>
      <c r="NFT38" s="3"/>
      <c r="NFU38" s="3"/>
      <c r="NFV38" s="3"/>
      <c r="NFW38" s="3"/>
      <c r="NFX38" s="3"/>
      <c r="NFY38" s="3"/>
      <c r="NFZ38" s="3"/>
      <c r="NGA38" s="3"/>
      <c r="NGB38" s="3"/>
      <c r="NGC38" s="3"/>
      <c r="NGD38" s="3"/>
      <c r="NGE38" s="3"/>
      <c r="NGF38" s="3"/>
      <c r="NGG38" s="3"/>
      <c r="NGH38" s="3"/>
      <c r="NGI38" s="3"/>
      <c r="NGJ38" s="3"/>
      <c r="NGK38" s="3"/>
      <c r="NGL38" s="3"/>
      <c r="NGM38" s="3"/>
      <c r="NGN38" s="3"/>
      <c r="NGO38" s="3"/>
      <c r="NGP38" s="3"/>
      <c r="NGQ38" s="3"/>
      <c r="NGR38" s="3"/>
      <c r="NGS38" s="3"/>
      <c r="NGT38" s="3"/>
      <c r="NGU38" s="3"/>
      <c r="NGV38" s="3"/>
      <c r="NGW38" s="3"/>
      <c r="NGX38" s="3"/>
      <c r="NGY38" s="3"/>
      <c r="NGZ38" s="3"/>
      <c r="NHA38" s="3"/>
      <c r="NHB38" s="3"/>
      <c r="NHC38" s="3"/>
      <c r="NHD38" s="3"/>
      <c r="NHE38" s="3"/>
      <c r="NHF38" s="3"/>
      <c r="NHG38" s="3"/>
      <c r="NHH38" s="3"/>
      <c r="NHI38" s="3"/>
      <c r="NHJ38" s="3"/>
      <c r="NHK38" s="3"/>
      <c r="NHL38" s="3"/>
      <c r="NHM38" s="3"/>
      <c r="NHN38" s="3"/>
      <c r="NHO38" s="3"/>
      <c r="NHP38" s="3"/>
      <c r="NHQ38" s="3"/>
      <c r="NHR38" s="3"/>
      <c r="NHS38" s="3"/>
      <c r="NHT38" s="3"/>
      <c r="NHU38" s="3"/>
      <c r="NHV38" s="3"/>
      <c r="NHW38" s="3"/>
      <c r="NHX38" s="3"/>
      <c r="NHY38" s="3"/>
      <c r="NHZ38" s="3"/>
      <c r="NIA38" s="3"/>
      <c r="NIB38" s="3"/>
      <c r="NIC38" s="3"/>
      <c r="NID38" s="3"/>
      <c r="NIE38" s="3"/>
      <c r="NIF38" s="3"/>
      <c r="NIG38" s="3"/>
      <c r="NIH38" s="3"/>
      <c r="NII38" s="3"/>
      <c r="NIJ38" s="3"/>
      <c r="NIK38" s="3"/>
      <c r="NIL38" s="3"/>
      <c r="NIM38" s="3"/>
      <c r="NIN38" s="3"/>
      <c r="NIO38" s="3"/>
      <c r="NIP38" s="3"/>
      <c r="NIQ38" s="3"/>
      <c r="NIR38" s="3"/>
      <c r="NIS38" s="3"/>
      <c r="NIT38" s="3"/>
      <c r="NIU38" s="3"/>
      <c r="NIV38" s="3"/>
      <c r="NIW38" s="3"/>
      <c r="NIX38" s="3"/>
      <c r="NIY38" s="3"/>
      <c r="NIZ38" s="3"/>
      <c r="NJA38" s="3"/>
      <c r="NJB38" s="3"/>
      <c r="NJC38" s="3"/>
      <c r="NJD38" s="3"/>
      <c r="NJE38" s="3"/>
      <c r="NJF38" s="3"/>
      <c r="NJG38" s="3"/>
      <c r="NJH38" s="3"/>
      <c r="NJI38" s="3"/>
      <c r="NJJ38" s="3"/>
      <c r="NJK38" s="3"/>
      <c r="NJL38" s="3"/>
      <c r="NJM38" s="3"/>
      <c r="NJN38" s="3"/>
      <c r="NJO38" s="3"/>
      <c r="NJP38" s="3"/>
      <c r="NJQ38" s="3"/>
      <c r="NJR38" s="3"/>
      <c r="NJS38" s="3"/>
      <c r="NJT38" s="3"/>
      <c r="NJU38" s="3"/>
      <c r="NJV38" s="3"/>
      <c r="NJW38" s="3"/>
      <c r="NJX38" s="3"/>
      <c r="NJY38" s="3"/>
      <c r="NJZ38" s="3"/>
      <c r="NKA38" s="3"/>
      <c r="NKB38" s="3"/>
      <c r="NKC38" s="3"/>
      <c r="NKD38" s="3"/>
      <c r="NKE38" s="3"/>
      <c r="NKF38" s="3"/>
      <c r="NKG38" s="3"/>
      <c r="NKH38" s="3"/>
      <c r="NKI38" s="3"/>
      <c r="NKJ38" s="3"/>
      <c r="NKK38" s="3"/>
      <c r="NKL38" s="3"/>
      <c r="NKM38" s="3"/>
      <c r="NKN38" s="3"/>
      <c r="NKO38" s="3"/>
      <c r="NKP38" s="3"/>
      <c r="NKQ38" s="3"/>
      <c r="NKR38" s="3"/>
      <c r="NKS38" s="3"/>
      <c r="NKT38" s="3"/>
      <c r="NKU38" s="3"/>
      <c r="NKV38" s="3"/>
      <c r="NKW38" s="3"/>
      <c r="NKX38" s="3"/>
      <c r="NKY38" s="3"/>
      <c r="NKZ38" s="3"/>
      <c r="NLA38" s="3"/>
      <c r="NLB38" s="3"/>
      <c r="NLC38" s="3"/>
      <c r="NLD38" s="3"/>
      <c r="NLE38" s="3"/>
      <c r="NLF38" s="3"/>
      <c r="NLG38" s="3"/>
      <c r="NLH38" s="3"/>
      <c r="NLI38" s="3"/>
      <c r="NLJ38" s="3"/>
      <c r="NLK38" s="3"/>
      <c r="NLL38" s="3"/>
      <c r="NLM38" s="3"/>
      <c r="NLN38" s="3"/>
      <c r="NLO38" s="3"/>
      <c r="NLP38" s="3"/>
      <c r="NLQ38" s="3"/>
      <c r="NLR38" s="3"/>
      <c r="NLS38" s="3"/>
      <c r="NLT38" s="3"/>
      <c r="NLU38" s="3"/>
      <c r="NLV38" s="3"/>
      <c r="NLW38" s="3"/>
      <c r="NLX38" s="3"/>
      <c r="NLY38" s="3"/>
      <c r="NLZ38" s="3"/>
      <c r="NMA38" s="3"/>
      <c r="NMB38" s="3"/>
      <c r="NMC38" s="3"/>
      <c r="NMD38" s="3"/>
      <c r="NME38" s="3"/>
      <c r="NMF38" s="3"/>
      <c r="NMG38" s="3"/>
      <c r="NMH38" s="3"/>
      <c r="NMI38" s="3"/>
      <c r="NMJ38" s="3"/>
      <c r="NMK38" s="3"/>
      <c r="NML38" s="3"/>
      <c r="NMM38" s="3"/>
      <c r="NMN38" s="3"/>
      <c r="NMO38" s="3"/>
      <c r="NMP38" s="3"/>
      <c r="NMQ38" s="3"/>
      <c r="NMR38" s="3"/>
      <c r="NMS38" s="3"/>
      <c r="NMT38" s="3"/>
      <c r="NMU38" s="3"/>
      <c r="NMV38" s="3"/>
      <c r="NMW38" s="3"/>
      <c r="NMX38" s="3"/>
      <c r="NMY38" s="3"/>
      <c r="NMZ38" s="3"/>
      <c r="NNA38" s="3"/>
      <c r="NNB38" s="3"/>
      <c r="NNC38" s="3"/>
      <c r="NND38" s="3"/>
      <c r="NNE38" s="3"/>
      <c r="NNF38" s="3"/>
      <c r="NNG38" s="3"/>
      <c r="NNH38" s="3"/>
      <c r="NNI38" s="3"/>
      <c r="NNJ38" s="3"/>
      <c r="NNK38" s="3"/>
      <c r="NNL38" s="3"/>
      <c r="NNM38" s="3"/>
      <c r="NNN38" s="3"/>
      <c r="NNO38" s="3"/>
      <c r="NNP38" s="3"/>
      <c r="NNQ38" s="3"/>
      <c r="NNR38" s="3"/>
      <c r="NNS38" s="3"/>
      <c r="NNT38" s="3"/>
      <c r="NNU38" s="3"/>
      <c r="NNV38" s="3"/>
      <c r="NNW38" s="3"/>
      <c r="NNX38" s="3"/>
      <c r="NNY38" s="3"/>
      <c r="NNZ38" s="3"/>
      <c r="NOA38" s="3"/>
      <c r="NOB38" s="3"/>
      <c r="NOC38" s="3"/>
      <c r="NOD38" s="3"/>
      <c r="NOE38" s="3"/>
      <c r="NOF38" s="3"/>
      <c r="NOG38" s="3"/>
      <c r="NOH38" s="3"/>
      <c r="NOI38" s="3"/>
      <c r="NOJ38" s="3"/>
      <c r="NOK38" s="3"/>
      <c r="NOL38" s="3"/>
      <c r="NOM38" s="3"/>
      <c r="NON38" s="3"/>
      <c r="NOO38" s="3"/>
      <c r="NOP38" s="3"/>
      <c r="NOQ38" s="3"/>
      <c r="NOR38" s="3"/>
      <c r="NOS38" s="3"/>
      <c r="NOT38" s="3"/>
      <c r="NOU38" s="3"/>
      <c r="NOV38" s="3"/>
      <c r="NOW38" s="3"/>
      <c r="NOX38" s="3"/>
      <c r="NOY38" s="3"/>
      <c r="NOZ38" s="3"/>
      <c r="NPA38" s="3"/>
      <c r="NPB38" s="3"/>
      <c r="NPC38" s="3"/>
      <c r="NPD38" s="3"/>
      <c r="NPE38" s="3"/>
      <c r="NPF38" s="3"/>
      <c r="NPG38" s="3"/>
      <c r="NPH38" s="3"/>
      <c r="NPI38" s="3"/>
      <c r="NPJ38" s="3"/>
      <c r="NPK38" s="3"/>
      <c r="NPL38" s="3"/>
      <c r="NPM38" s="3"/>
      <c r="NPN38" s="3"/>
      <c r="NPO38" s="3"/>
      <c r="NPP38" s="3"/>
      <c r="NPQ38" s="3"/>
      <c r="NPR38" s="3"/>
      <c r="NPS38" s="3"/>
      <c r="NPT38" s="3"/>
      <c r="NPU38" s="3"/>
      <c r="NPV38" s="3"/>
      <c r="NPW38" s="3"/>
      <c r="NPX38" s="3"/>
      <c r="NPY38" s="3"/>
      <c r="NPZ38" s="3"/>
      <c r="NQA38" s="3"/>
      <c r="NQB38" s="3"/>
      <c r="NQC38" s="3"/>
      <c r="NQD38" s="3"/>
      <c r="NQE38" s="3"/>
      <c r="NQF38" s="3"/>
      <c r="NQG38" s="3"/>
      <c r="NQH38" s="3"/>
      <c r="NQI38" s="3"/>
      <c r="NQJ38" s="3"/>
      <c r="NQK38" s="3"/>
      <c r="NQL38" s="3"/>
      <c r="NQM38" s="3"/>
      <c r="NQN38" s="3"/>
      <c r="NQO38" s="3"/>
      <c r="NQP38" s="3"/>
      <c r="NQQ38" s="3"/>
      <c r="NQR38" s="3"/>
      <c r="NQS38" s="3"/>
      <c r="NQT38" s="3"/>
      <c r="NQU38" s="3"/>
      <c r="NQV38" s="3"/>
      <c r="NQW38" s="3"/>
      <c r="NQX38" s="3"/>
      <c r="NQY38" s="3"/>
      <c r="NQZ38" s="3"/>
      <c r="NRA38" s="3"/>
      <c r="NRB38" s="3"/>
      <c r="NRC38" s="3"/>
      <c r="NRD38" s="3"/>
      <c r="NRE38" s="3"/>
      <c r="NRF38" s="3"/>
      <c r="NRG38" s="3"/>
      <c r="NRH38" s="3"/>
      <c r="NRI38" s="3"/>
      <c r="NRJ38" s="3"/>
      <c r="NRK38" s="3"/>
      <c r="NRL38" s="3"/>
      <c r="NRM38" s="3"/>
      <c r="NRN38" s="3"/>
      <c r="NRO38" s="3"/>
      <c r="NRP38" s="3"/>
      <c r="NRQ38" s="3"/>
      <c r="NRR38" s="3"/>
      <c r="NRS38" s="3"/>
      <c r="NRT38" s="3"/>
      <c r="NRU38" s="3"/>
      <c r="NRV38" s="3"/>
      <c r="NRW38" s="3"/>
      <c r="NRX38" s="3"/>
      <c r="NRY38" s="3"/>
      <c r="NRZ38" s="3"/>
      <c r="NSA38" s="3"/>
      <c r="NSB38" s="3"/>
      <c r="NSC38" s="3"/>
      <c r="NSD38" s="3"/>
      <c r="NSE38" s="3"/>
      <c r="NSF38" s="3"/>
      <c r="NSG38" s="3"/>
      <c r="NSH38" s="3"/>
      <c r="NSI38" s="3"/>
      <c r="NSJ38" s="3"/>
      <c r="NSK38" s="3"/>
      <c r="NSL38" s="3"/>
      <c r="NSM38" s="3"/>
      <c r="NSN38" s="3"/>
      <c r="NSO38" s="3"/>
      <c r="NSP38" s="3"/>
      <c r="NSQ38" s="3"/>
      <c r="NSR38" s="3"/>
      <c r="NSS38" s="3"/>
      <c r="NST38" s="3"/>
      <c r="NSU38" s="3"/>
      <c r="NSV38" s="3"/>
      <c r="NSW38" s="3"/>
      <c r="NSX38" s="3"/>
      <c r="NSY38" s="3"/>
      <c r="NSZ38" s="3"/>
      <c r="NTA38" s="3"/>
      <c r="NTB38" s="3"/>
      <c r="NTC38" s="3"/>
      <c r="NTD38" s="3"/>
      <c r="NTE38" s="3"/>
      <c r="NTF38" s="3"/>
      <c r="NTG38" s="3"/>
      <c r="NTH38" s="3"/>
      <c r="NTI38" s="3"/>
      <c r="NTJ38" s="3"/>
      <c r="NTK38" s="3"/>
      <c r="NTL38" s="3"/>
      <c r="NTM38" s="3"/>
      <c r="NTN38" s="3"/>
      <c r="NTO38" s="3"/>
      <c r="NTP38" s="3"/>
      <c r="NTQ38" s="3"/>
      <c r="NTR38" s="3"/>
      <c r="NTS38" s="3"/>
      <c r="NTT38" s="3"/>
      <c r="NTU38" s="3"/>
      <c r="NTV38" s="3"/>
      <c r="NTW38" s="3"/>
      <c r="NTX38" s="3"/>
      <c r="NTY38" s="3"/>
      <c r="NTZ38" s="3"/>
      <c r="NUA38" s="3"/>
      <c r="NUB38" s="3"/>
      <c r="NUC38" s="3"/>
      <c r="NUD38" s="3"/>
      <c r="NUE38" s="3"/>
      <c r="NUF38" s="3"/>
      <c r="NUG38" s="3"/>
      <c r="NUH38" s="3"/>
      <c r="NUI38" s="3"/>
      <c r="NUJ38" s="3"/>
      <c r="NUK38" s="3"/>
      <c r="NUL38" s="3"/>
      <c r="NUM38" s="3"/>
      <c r="NUN38" s="3"/>
      <c r="NUO38" s="3"/>
      <c r="NUP38" s="3"/>
      <c r="NUQ38" s="3"/>
      <c r="NUR38" s="3"/>
      <c r="NUS38" s="3"/>
      <c r="NUT38" s="3"/>
      <c r="NUU38" s="3"/>
      <c r="NUV38" s="3"/>
      <c r="NUW38" s="3"/>
      <c r="NUX38" s="3"/>
      <c r="NUY38" s="3"/>
      <c r="NUZ38" s="3"/>
      <c r="NVA38" s="3"/>
      <c r="NVB38" s="3"/>
      <c r="NVC38" s="3"/>
      <c r="NVD38" s="3"/>
      <c r="NVE38" s="3"/>
      <c r="NVF38" s="3"/>
      <c r="NVG38" s="3"/>
      <c r="NVH38" s="3"/>
      <c r="NVI38" s="3"/>
      <c r="NVJ38" s="3"/>
      <c r="NVK38" s="3"/>
      <c r="NVL38" s="3"/>
      <c r="NVM38" s="3"/>
      <c r="NVN38" s="3"/>
      <c r="NVO38" s="3"/>
      <c r="NVP38" s="3"/>
      <c r="NVQ38" s="3"/>
      <c r="NVR38" s="3"/>
      <c r="NVS38" s="3"/>
      <c r="NVT38" s="3"/>
      <c r="NVU38" s="3"/>
      <c r="NVV38" s="3"/>
      <c r="NVW38" s="3"/>
      <c r="NVX38" s="3"/>
      <c r="NVY38" s="3"/>
      <c r="NVZ38" s="3"/>
      <c r="NWA38" s="3"/>
      <c r="NWB38" s="3"/>
      <c r="NWC38" s="3"/>
      <c r="NWD38" s="3"/>
      <c r="NWE38" s="3"/>
      <c r="NWF38" s="3"/>
      <c r="NWG38" s="3"/>
      <c r="NWH38" s="3"/>
      <c r="NWI38" s="3"/>
      <c r="NWJ38" s="3"/>
      <c r="NWK38" s="3"/>
      <c r="NWL38" s="3"/>
      <c r="NWM38" s="3"/>
      <c r="NWN38" s="3"/>
      <c r="NWO38" s="3"/>
      <c r="NWP38" s="3"/>
      <c r="NWQ38" s="3"/>
      <c r="NWR38" s="3"/>
      <c r="NWS38" s="3"/>
      <c r="NWT38" s="3"/>
      <c r="NWU38" s="3"/>
      <c r="NWV38" s="3"/>
      <c r="NWW38" s="3"/>
      <c r="NWX38" s="3"/>
      <c r="NWY38" s="3"/>
      <c r="NWZ38" s="3"/>
      <c r="NXA38" s="3"/>
      <c r="NXB38" s="3"/>
      <c r="NXC38" s="3"/>
      <c r="NXD38" s="3"/>
      <c r="NXE38" s="3"/>
      <c r="NXF38" s="3"/>
      <c r="NXG38" s="3"/>
      <c r="NXH38" s="3"/>
      <c r="NXI38" s="3"/>
      <c r="NXJ38" s="3"/>
      <c r="NXK38" s="3"/>
      <c r="NXL38" s="3"/>
      <c r="NXM38" s="3"/>
      <c r="NXN38" s="3"/>
      <c r="NXO38" s="3"/>
      <c r="NXP38" s="3"/>
      <c r="NXQ38" s="3"/>
      <c r="NXR38" s="3"/>
      <c r="NXS38" s="3"/>
      <c r="NXT38" s="3"/>
      <c r="NXU38" s="3"/>
      <c r="NXV38" s="3"/>
      <c r="NXW38" s="3"/>
      <c r="NXX38" s="3"/>
      <c r="NXY38" s="3"/>
      <c r="NXZ38" s="3"/>
      <c r="NYA38" s="3"/>
      <c r="NYB38" s="3"/>
      <c r="NYC38" s="3"/>
      <c r="NYD38" s="3"/>
      <c r="NYE38" s="3"/>
      <c r="NYF38" s="3"/>
      <c r="NYG38" s="3"/>
      <c r="NYH38" s="3"/>
      <c r="NYI38" s="3"/>
      <c r="NYJ38" s="3"/>
      <c r="NYK38" s="3"/>
      <c r="NYL38" s="3"/>
      <c r="NYM38" s="3"/>
      <c r="NYN38" s="3"/>
      <c r="NYO38" s="3"/>
      <c r="NYP38" s="3"/>
      <c r="NYQ38" s="3"/>
      <c r="NYR38" s="3"/>
      <c r="NYS38" s="3"/>
      <c r="NYT38" s="3"/>
      <c r="NYU38" s="3"/>
      <c r="NYV38" s="3"/>
      <c r="NYW38" s="3"/>
      <c r="NYX38" s="3"/>
      <c r="NYY38" s="3"/>
      <c r="NYZ38" s="3"/>
      <c r="NZA38" s="3"/>
      <c r="NZB38" s="3"/>
      <c r="NZC38" s="3"/>
      <c r="NZD38" s="3"/>
      <c r="NZE38" s="3"/>
      <c r="NZF38" s="3"/>
      <c r="NZG38" s="3"/>
      <c r="NZH38" s="3"/>
      <c r="NZI38" s="3"/>
      <c r="NZJ38" s="3"/>
      <c r="NZK38" s="3"/>
      <c r="NZL38" s="3"/>
      <c r="NZM38" s="3"/>
      <c r="NZN38" s="3"/>
      <c r="NZO38" s="3"/>
      <c r="NZP38" s="3"/>
      <c r="NZQ38" s="3"/>
      <c r="NZR38" s="3"/>
      <c r="NZS38" s="3"/>
      <c r="NZT38" s="3"/>
      <c r="NZU38" s="3"/>
      <c r="NZV38" s="3"/>
      <c r="NZW38" s="3"/>
      <c r="NZX38" s="3"/>
      <c r="NZY38" s="3"/>
      <c r="NZZ38" s="3"/>
      <c r="OAA38" s="3"/>
      <c r="OAB38" s="3"/>
      <c r="OAC38" s="3"/>
      <c r="OAD38" s="3"/>
      <c r="OAE38" s="3"/>
      <c r="OAF38" s="3"/>
      <c r="OAG38" s="3"/>
      <c r="OAH38" s="3"/>
      <c r="OAI38" s="3"/>
      <c r="OAJ38" s="3"/>
      <c r="OAK38" s="3"/>
      <c r="OAL38" s="3"/>
      <c r="OAM38" s="3"/>
      <c r="OAN38" s="3"/>
      <c r="OAO38" s="3"/>
      <c r="OAP38" s="3"/>
      <c r="OAQ38" s="3"/>
      <c r="OAR38" s="3"/>
      <c r="OAS38" s="3"/>
      <c r="OAT38" s="3"/>
      <c r="OAU38" s="3"/>
      <c r="OAV38" s="3"/>
      <c r="OAW38" s="3"/>
      <c r="OAX38" s="3"/>
      <c r="OAY38" s="3"/>
      <c r="OAZ38" s="3"/>
      <c r="OBA38" s="3"/>
      <c r="OBB38" s="3"/>
      <c r="OBC38" s="3"/>
      <c r="OBD38" s="3"/>
      <c r="OBE38" s="3"/>
      <c r="OBF38" s="3"/>
      <c r="OBG38" s="3"/>
      <c r="OBH38" s="3"/>
      <c r="OBI38" s="3"/>
      <c r="OBJ38" s="3"/>
      <c r="OBK38" s="3"/>
      <c r="OBL38" s="3"/>
      <c r="OBM38" s="3"/>
      <c r="OBN38" s="3"/>
      <c r="OBO38" s="3"/>
      <c r="OBP38" s="3"/>
      <c r="OBQ38" s="3"/>
      <c r="OBR38" s="3"/>
      <c r="OBS38" s="3"/>
      <c r="OBT38" s="3"/>
      <c r="OBU38" s="3"/>
      <c r="OBV38" s="3"/>
      <c r="OBW38" s="3"/>
      <c r="OBX38" s="3"/>
      <c r="OBY38" s="3"/>
      <c r="OBZ38" s="3"/>
      <c r="OCA38" s="3"/>
      <c r="OCB38" s="3"/>
      <c r="OCC38" s="3"/>
      <c r="OCD38" s="3"/>
      <c r="OCE38" s="3"/>
      <c r="OCF38" s="3"/>
      <c r="OCG38" s="3"/>
      <c r="OCH38" s="3"/>
      <c r="OCI38" s="3"/>
      <c r="OCJ38" s="3"/>
      <c r="OCK38" s="3"/>
      <c r="OCL38" s="3"/>
      <c r="OCM38" s="3"/>
      <c r="OCN38" s="3"/>
      <c r="OCO38" s="3"/>
      <c r="OCP38" s="3"/>
      <c r="OCQ38" s="3"/>
      <c r="OCR38" s="3"/>
      <c r="OCS38" s="3"/>
      <c r="OCT38" s="3"/>
      <c r="OCU38" s="3"/>
      <c r="OCV38" s="3"/>
      <c r="OCW38" s="3"/>
      <c r="OCX38" s="3"/>
      <c r="OCY38" s="3"/>
      <c r="OCZ38" s="3"/>
      <c r="ODA38" s="3"/>
      <c r="ODB38" s="3"/>
      <c r="ODC38" s="3"/>
      <c r="ODD38" s="3"/>
      <c r="ODE38" s="3"/>
      <c r="ODF38" s="3"/>
      <c r="ODG38" s="3"/>
      <c r="ODH38" s="3"/>
      <c r="ODI38" s="3"/>
      <c r="ODJ38" s="3"/>
      <c r="ODK38" s="3"/>
      <c r="ODL38" s="3"/>
      <c r="ODM38" s="3"/>
      <c r="ODN38" s="3"/>
      <c r="ODO38" s="3"/>
      <c r="ODP38" s="3"/>
      <c r="ODQ38" s="3"/>
      <c r="ODR38" s="3"/>
      <c r="ODS38" s="3"/>
      <c r="ODT38" s="3"/>
      <c r="ODU38" s="3"/>
      <c r="ODV38" s="3"/>
      <c r="ODW38" s="3"/>
      <c r="ODX38" s="3"/>
      <c r="ODY38" s="3"/>
      <c r="ODZ38" s="3"/>
      <c r="OEA38" s="3"/>
      <c r="OEB38" s="3"/>
      <c r="OEC38" s="3"/>
      <c r="OED38" s="3"/>
      <c r="OEE38" s="3"/>
      <c r="OEF38" s="3"/>
      <c r="OEG38" s="3"/>
      <c r="OEH38" s="3"/>
      <c r="OEI38" s="3"/>
      <c r="OEJ38" s="3"/>
      <c r="OEK38" s="3"/>
      <c r="OEL38" s="3"/>
      <c r="OEM38" s="3"/>
      <c r="OEN38" s="3"/>
      <c r="OEO38" s="3"/>
      <c r="OEP38" s="3"/>
      <c r="OEQ38" s="3"/>
      <c r="OER38" s="3"/>
      <c r="OES38" s="3"/>
      <c r="OET38" s="3"/>
      <c r="OEU38" s="3"/>
      <c r="OEV38" s="3"/>
      <c r="OEW38" s="3"/>
      <c r="OEX38" s="3"/>
      <c r="OEY38" s="3"/>
      <c r="OEZ38" s="3"/>
      <c r="OFA38" s="3"/>
      <c r="OFB38" s="3"/>
      <c r="OFC38" s="3"/>
      <c r="OFD38" s="3"/>
      <c r="OFE38" s="3"/>
      <c r="OFF38" s="3"/>
      <c r="OFG38" s="3"/>
      <c r="OFH38" s="3"/>
      <c r="OFI38" s="3"/>
      <c r="OFJ38" s="3"/>
      <c r="OFK38" s="3"/>
      <c r="OFL38" s="3"/>
      <c r="OFM38" s="3"/>
      <c r="OFN38" s="3"/>
      <c r="OFO38" s="3"/>
      <c r="OFP38" s="3"/>
      <c r="OFQ38" s="3"/>
      <c r="OFR38" s="3"/>
      <c r="OFS38" s="3"/>
      <c r="OFT38" s="3"/>
      <c r="OFU38" s="3"/>
      <c r="OFV38" s="3"/>
      <c r="OFW38" s="3"/>
      <c r="OFX38" s="3"/>
      <c r="OFY38" s="3"/>
      <c r="OFZ38" s="3"/>
      <c r="OGA38" s="3"/>
      <c r="OGB38" s="3"/>
      <c r="OGC38" s="3"/>
      <c r="OGD38" s="3"/>
      <c r="OGE38" s="3"/>
      <c r="OGF38" s="3"/>
      <c r="OGG38" s="3"/>
      <c r="OGH38" s="3"/>
      <c r="OGI38" s="3"/>
      <c r="OGJ38" s="3"/>
      <c r="OGK38" s="3"/>
      <c r="OGL38" s="3"/>
      <c r="OGM38" s="3"/>
      <c r="OGN38" s="3"/>
      <c r="OGO38" s="3"/>
      <c r="OGP38" s="3"/>
      <c r="OGQ38" s="3"/>
      <c r="OGR38" s="3"/>
      <c r="OGS38" s="3"/>
      <c r="OGT38" s="3"/>
      <c r="OGU38" s="3"/>
      <c r="OGV38" s="3"/>
      <c r="OGW38" s="3"/>
      <c r="OGX38" s="3"/>
      <c r="OGY38" s="3"/>
      <c r="OGZ38" s="3"/>
      <c r="OHA38" s="3"/>
      <c r="OHB38" s="3"/>
      <c r="OHC38" s="3"/>
      <c r="OHD38" s="3"/>
      <c r="OHE38" s="3"/>
      <c r="OHF38" s="3"/>
      <c r="OHG38" s="3"/>
      <c r="OHH38" s="3"/>
      <c r="OHI38" s="3"/>
      <c r="OHJ38" s="3"/>
      <c r="OHK38" s="3"/>
      <c r="OHL38" s="3"/>
      <c r="OHM38" s="3"/>
      <c r="OHN38" s="3"/>
      <c r="OHO38" s="3"/>
      <c r="OHP38" s="3"/>
      <c r="OHQ38" s="3"/>
      <c r="OHR38" s="3"/>
      <c r="OHS38" s="3"/>
      <c r="OHT38" s="3"/>
      <c r="OHU38" s="3"/>
      <c r="OHV38" s="3"/>
      <c r="OHW38" s="3"/>
      <c r="OHX38" s="3"/>
      <c r="OHY38" s="3"/>
      <c r="OHZ38" s="3"/>
      <c r="OIA38" s="3"/>
      <c r="OIB38" s="3"/>
      <c r="OIC38" s="3"/>
      <c r="OID38" s="3"/>
      <c r="OIE38" s="3"/>
      <c r="OIF38" s="3"/>
      <c r="OIG38" s="3"/>
      <c r="OIH38" s="3"/>
      <c r="OII38" s="3"/>
      <c r="OIJ38" s="3"/>
      <c r="OIK38" s="3"/>
      <c r="OIL38" s="3"/>
      <c r="OIM38" s="3"/>
      <c r="OIN38" s="3"/>
      <c r="OIO38" s="3"/>
      <c r="OIP38" s="3"/>
      <c r="OIQ38" s="3"/>
      <c r="OIR38" s="3"/>
      <c r="OIS38" s="3"/>
      <c r="OIT38" s="3"/>
      <c r="OIU38" s="3"/>
      <c r="OIV38" s="3"/>
      <c r="OIW38" s="3"/>
      <c r="OIX38" s="3"/>
      <c r="OIY38" s="3"/>
      <c r="OIZ38" s="3"/>
      <c r="OJA38" s="3"/>
      <c r="OJB38" s="3"/>
      <c r="OJC38" s="3"/>
      <c r="OJD38" s="3"/>
      <c r="OJE38" s="3"/>
      <c r="OJF38" s="3"/>
      <c r="OJG38" s="3"/>
      <c r="OJH38" s="3"/>
      <c r="OJI38" s="3"/>
      <c r="OJJ38" s="3"/>
      <c r="OJK38" s="3"/>
      <c r="OJL38" s="3"/>
      <c r="OJM38" s="3"/>
      <c r="OJN38" s="3"/>
      <c r="OJO38" s="3"/>
      <c r="OJP38" s="3"/>
      <c r="OJQ38" s="3"/>
      <c r="OJR38" s="3"/>
      <c r="OJS38" s="3"/>
      <c r="OJT38" s="3"/>
      <c r="OJU38" s="3"/>
      <c r="OJV38" s="3"/>
      <c r="OJW38" s="3"/>
      <c r="OJX38" s="3"/>
      <c r="OJY38" s="3"/>
      <c r="OJZ38" s="3"/>
      <c r="OKA38" s="3"/>
      <c r="OKB38" s="3"/>
      <c r="OKC38" s="3"/>
      <c r="OKD38" s="3"/>
      <c r="OKE38" s="3"/>
      <c r="OKF38" s="3"/>
      <c r="OKG38" s="3"/>
      <c r="OKH38" s="3"/>
      <c r="OKI38" s="3"/>
      <c r="OKJ38" s="3"/>
      <c r="OKK38" s="3"/>
      <c r="OKL38" s="3"/>
      <c r="OKM38" s="3"/>
      <c r="OKN38" s="3"/>
      <c r="OKO38" s="3"/>
      <c r="OKP38" s="3"/>
      <c r="OKQ38" s="3"/>
      <c r="OKR38" s="3"/>
      <c r="OKS38" s="3"/>
      <c r="OKT38" s="3"/>
      <c r="OKU38" s="3"/>
      <c r="OKV38" s="3"/>
      <c r="OKW38" s="3"/>
      <c r="OKX38" s="3"/>
      <c r="OKY38" s="3"/>
      <c r="OKZ38" s="3"/>
      <c r="OLA38" s="3"/>
      <c r="OLB38" s="3"/>
      <c r="OLC38" s="3"/>
      <c r="OLD38" s="3"/>
      <c r="OLE38" s="3"/>
      <c r="OLF38" s="3"/>
      <c r="OLG38" s="3"/>
      <c r="OLH38" s="3"/>
      <c r="OLI38" s="3"/>
      <c r="OLJ38" s="3"/>
      <c r="OLK38" s="3"/>
      <c r="OLL38" s="3"/>
      <c r="OLM38" s="3"/>
      <c r="OLN38" s="3"/>
      <c r="OLO38" s="3"/>
      <c r="OLP38" s="3"/>
      <c r="OLQ38" s="3"/>
      <c r="OLR38" s="3"/>
      <c r="OLS38" s="3"/>
      <c r="OLT38" s="3"/>
      <c r="OLU38" s="3"/>
      <c r="OLV38" s="3"/>
      <c r="OLW38" s="3"/>
      <c r="OLX38" s="3"/>
      <c r="OLY38" s="3"/>
      <c r="OLZ38" s="3"/>
      <c r="OMA38" s="3"/>
      <c r="OMB38" s="3"/>
      <c r="OMC38" s="3"/>
      <c r="OMD38" s="3"/>
      <c r="OME38" s="3"/>
      <c r="OMF38" s="3"/>
      <c r="OMG38" s="3"/>
      <c r="OMH38" s="3"/>
      <c r="OMI38" s="3"/>
      <c r="OMJ38" s="3"/>
      <c r="OMK38" s="3"/>
      <c r="OML38" s="3"/>
      <c r="OMM38" s="3"/>
      <c r="OMN38" s="3"/>
      <c r="OMO38" s="3"/>
      <c r="OMP38" s="3"/>
      <c r="OMQ38" s="3"/>
      <c r="OMR38" s="3"/>
      <c r="OMS38" s="3"/>
      <c r="OMT38" s="3"/>
      <c r="OMU38" s="3"/>
      <c r="OMV38" s="3"/>
      <c r="OMW38" s="3"/>
      <c r="OMX38" s="3"/>
      <c r="OMY38" s="3"/>
      <c r="OMZ38" s="3"/>
      <c r="ONA38" s="3"/>
      <c r="ONB38" s="3"/>
      <c r="ONC38" s="3"/>
      <c r="OND38" s="3"/>
      <c r="ONE38" s="3"/>
      <c r="ONF38" s="3"/>
      <c r="ONG38" s="3"/>
      <c r="ONH38" s="3"/>
      <c r="ONI38" s="3"/>
      <c r="ONJ38" s="3"/>
      <c r="ONK38" s="3"/>
      <c r="ONL38" s="3"/>
      <c r="ONM38" s="3"/>
      <c r="ONN38" s="3"/>
      <c r="ONO38" s="3"/>
      <c r="ONP38" s="3"/>
      <c r="ONQ38" s="3"/>
      <c r="ONR38" s="3"/>
      <c r="ONS38" s="3"/>
      <c r="ONT38" s="3"/>
      <c r="ONU38" s="3"/>
      <c r="ONV38" s="3"/>
      <c r="ONW38" s="3"/>
      <c r="ONX38" s="3"/>
      <c r="ONY38" s="3"/>
      <c r="ONZ38" s="3"/>
      <c r="OOA38" s="3"/>
      <c r="OOB38" s="3"/>
      <c r="OOC38" s="3"/>
      <c r="OOD38" s="3"/>
      <c r="OOE38" s="3"/>
      <c r="OOF38" s="3"/>
      <c r="OOG38" s="3"/>
      <c r="OOH38" s="3"/>
      <c r="OOI38" s="3"/>
      <c r="OOJ38" s="3"/>
      <c r="OOK38" s="3"/>
      <c r="OOL38" s="3"/>
      <c r="OOM38" s="3"/>
      <c r="OON38" s="3"/>
      <c r="OOO38" s="3"/>
      <c r="OOP38" s="3"/>
      <c r="OOQ38" s="3"/>
      <c r="OOR38" s="3"/>
      <c r="OOS38" s="3"/>
      <c r="OOT38" s="3"/>
      <c r="OOU38" s="3"/>
      <c r="OOV38" s="3"/>
      <c r="OOW38" s="3"/>
      <c r="OOX38" s="3"/>
      <c r="OOY38" s="3"/>
      <c r="OOZ38" s="3"/>
      <c r="OPA38" s="3"/>
      <c r="OPB38" s="3"/>
      <c r="OPC38" s="3"/>
      <c r="OPD38" s="3"/>
      <c r="OPE38" s="3"/>
      <c r="OPF38" s="3"/>
      <c r="OPG38" s="3"/>
      <c r="OPH38" s="3"/>
      <c r="OPI38" s="3"/>
      <c r="OPJ38" s="3"/>
      <c r="OPK38" s="3"/>
      <c r="OPL38" s="3"/>
      <c r="OPM38" s="3"/>
      <c r="OPN38" s="3"/>
      <c r="OPO38" s="3"/>
      <c r="OPP38" s="3"/>
      <c r="OPQ38" s="3"/>
      <c r="OPR38" s="3"/>
      <c r="OPS38" s="3"/>
      <c r="OPT38" s="3"/>
      <c r="OPU38" s="3"/>
      <c r="OPV38" s="3"/>
      <c r="OPW38" s="3"/>
      <c r="OPX38" s="3"/>
      <c r="OPY38" s="3"/>
      <c r="OPZ38" s="3"/>
      <c r="OQA38" s="3"/>
      <c r="OQB38" s="3"/>
      <c r="OQC38" s="3"/>
      <c r="OQD38" s="3"/>
      <c r="OQE38" s="3"/>
      <c r="OQF38" s="3"/>
      <c r="OQG38" s="3"/>
      <c r="OQH38" s="3"/>
      <c r="OQI38" s="3"/>
      <c r="OQJ38" s="3"/>
      <c r="OQK38" s="3"/>
      <c r="OQL38" s="3"/>
      <c r="OQM38" s="3"/>
      <c r="OQN38" s="3"/>
      <c r="OQO38" s="3"/>
      <c r="OQP38" s="3"/>
      <c r="OQQ38" s="3"/>
      <c r="OQR38" s="3"/>
      <c r="OQS38" s="3"/>
      <c r="OQT38" s="3"/>
      <c r="OQU38" s="3"/>
      <c r="OQV38" s="3"/>
      <c r="OQW38" s="3"/>
      <c r="OQX38" s="3"/>
      <c r="OQY38" s="3"/>
      <c r="OQZ38" s="3"/>
      <c r="ORA38" s="3"/>
      <c r="ORB38" s="3"/>
      <c r="ORC38" s="3"/>
      <c r="ORD38" s="3"/>
      <c r="ORE38" s="3"/>
      <c r="ORF38" s="3"/>
      <c r="ORG38" s="3"/>
      <c r="ORH38" s="3"/>
      <c r="ORI38" s="3"/>
      <c r="ORJ38" s="3"/>
      <c r="ORK38" s="3"/>
      <c r="ORL38" s="3"/>
      <c r="ORM38" s="3"/>
      <c r="ORN38" s="3"/>
      <c r="ORO38" s="3"/>
      <c r="ORP38" s="3"/>
      <c r="ORQ38" s="3"/>
      <c r="ORR38" s="3"/>
      <c r="ORS38" s="3"/>
      <c r="ORT38" s="3"/>
      <c r="ORU38" s="3"/>
      <c r="ORV38" s="3"/>
      <c r="ORW38" s="3"/>
      <c r="ORX38" s="3"/>
      <c r="ORY38" s="3"/>
      <c r="ORZ38" s="3"/>
      <c r="OSA38" s="3"/>
      <c r="OSB38" s="3"/>
      <c r="OSC38" s="3"/>
      <c r="OSD38" s="3"/>
      <c r="OSE38" s="3"/>
      <c r="OSF38" s="3"/>
      <c r="OSG38" s="3"/>
      <c r="OSH38" s="3"/>
      <c r="OSI38" s="3"/>
      <c r="OSJ38" s="3"/>
      <c r="OSK38" s="3"/>
      <c r="OSL38" s="3"/>
      <c r="OSM38" s="3"/>
      <c r="OSN38" s="3"/>
      <c r="OSO38" s="3"/>
      <c r="OSP38" s="3"/>
      <c r="OSQ38" s="3"/>
      <c r="OSR38" s="3"/>
      <c r="OSS38" s="3"/>
      <c r="OST38" s="3"/>
      <c r="OSU38" s="3"/>
      <c r="OSV38" s="3"/>
      <c r="OSW38" s="3"/>
      <c r="OSX38" s="3"/>
      <c r="OSY38" s="3"/>
      <c r="OSZ38" s="3"/>
      <c r="OTA38" s="3"/>
      <c r="OTB38" s="3"/>
      <c r="OTC38" s="3"/>
      <c r="OTD38" s="3"/>
      <c r="OTE38" s="3"/>
      <c r="OTF38" s="3"/>
      <c r="OTG38" s="3"/>
      <c r="OTH38" s="3"/>
      <c r="OTI38" s="3"/>
      <c r="OTJ38" s="3"/>
      <c r="OTK38" s="3"/>
      <c r="OTL38" s="3"/>
      <c r="OTM38" s="3"/>
      <c r="OTN38" s="3"/>
      <c r="OTO38" s="3"/>
      <c r="OTP38" s="3"/>
      <c r="OTQ38" s="3"/>
      <c r="OTR38" s="3"/>
      <c r="OTS38" s="3"/>
      <c r="OTT38" s="3"/>
      <c r="OTU38" s="3"/>
      <c r="OTV38" s="3"/>
      <c r="OTW38" s="3"/>
      <c r="OTX38" s="3"/>
      <c r="OTY38" s="3"/>
      <c r="OTZ38" s="3"/>
      <c r="OUA38" s="3"/>
      <c r="OUB38" s="3"/>
      <c r="OUC38" s="3"/>
      <c r="OUD38" s="3"/>
      <c r="OUE38" s="3"/>
      <c r="OUF38" s="3"/>
      <c r="OUG38" s="3"/>
      <c r="OUH38" s="3"/>
      <c r="OUI38" s="3"/>
      <c r="OUJ38" s="3"/>
      <c r="OUK38" s="3"/>
      <c r="OUL38" s="3"/>
      <c r="OUM38" s="3"/>
      <c r="OUN38" s="3"/>
      <c r="OUO38" s="3"/>
      <c r="OUP38" s="3"/>
      <c r="OUQ38" s="3"/>
      <c r="OUR38" s="3"/>
      <c r="OUS38" s="3"/>
      <c r="OUT38" s="3"/>
      <c r="OUU38" s="3"/>
      <c r="OUV38" s="3"/>
      <c r="OUW38" s="3"/>
      <c r="OUX38" s="3"/>
      <c r="OUY38" s="3"/>
      <c r="OUZ38" s="3"/>
      <c r="OVA38" s="3"/>
      <c r="OVB38" s="3"/>
      <c r="OVC38" s="3"/>
      <c r="OVD38" s="3"/>
      <c r="OVE38" s="3"/>
      <c r="OVF38" s="3"/>
      <c r="OVG38" s="3"/>
      <c r="OVH38" s="3"/>
      <c r="OVI38" s="3"/>
      <c r="OVJ38" s="3"/>
      <c r="OVK38" s="3"/>
      <c r="OVL38" s="3"/>
      <c r="OVM38" s="3"/>
      <c r="OVN38" s="3"/>
      <c r="OVO38" s="3"/>
      <c r="OVP38" s="3"/>
      <c r="OVQ38" s="3"/>
      <c r="OVR38" s="3"/>
      <c r="OVS38" s="3"/>
      <c r="OVT38" s="3"/>
      <c r="OVU38" s="3"/>
      <c r="OVV38" s="3"/>
      <c r="OVW38" s="3"/>
      <c r="OVX38" s="3"/>
      <c r="OVY38" s="3"/>
      <c r="OVZ38" s="3"/>
      <c r="OWA38" s="3"/>
      <c r="OWB38" s="3"/>
      <c r="OWC38" s="3"/>
      <c r="OWD38" s="3"/>
      <c r="OWE38" s="3"/>
      <c r="OWF38" s="3"/>
      <c r="OWG38" s="3"/>
      <c r="OWH38" s="3"/>
      <c r="OWI38" s="3"/>
      <c r="OWJ38" s="3"/>
      <c r="OWK38" s="3"/>
      <c r="OWL38" s="3"/>
      <c r="OWM38" s="3"/>
      <c r="OWN38" s="3"/>
      <c r="OWO38" s="3"/>
      <c r="OWP38" s="3"/>
      <c r="OWQ38" s="3"/>
      <c r="OWR38" s="3"/>
      <c r="OWS38" s="3"/>
      <c r="OWT38" s="3"/>
      <c r="OWU38" s="3"/>
      <c r="OWV38" s="3"/>
      <c r="OWW38" s="3"/>
      <c r="OWX38" s="3"/>
      <c r="OWY38" s="3"/>
      <c r="OWZ38" s="3"/>
      <c r="OXA38" s="3"/>
      <c r="OXB38" s="3"/>
      <c r="OXC38" s="3"/>
      <c r="OXD38" s="3"/>
      <c r="OXE38" s="3"/>
      <c r="OXF38" s="3"/>
      <c r="OXG38" s="3"/>
      <c r="OXH38" s="3"/>
      <c r="OXI38" s="3"/>
      <c r="OXJ38" s="3"/>
      <c r="OXK38" s="3"/>
      <c r="OXL38" s="3"/>
      <c r="OXM38" s="3"/>
      <c r="OXN38" s="3"/>
      <c r="OXO38" s="3"/>
      <c r="OXP38" s="3"/>
      <c r="OXQ38" s="3"/>
      <c r="OXR38" s="3"/>
      <c r="OXS38" s="3"/>
      <c r="OXT38" s="3"/>
      <c r="OXU38" s="3"/>
      <c r="OXV38" s="3"/>
      <c r="OXW38" s="3"/>
      <c r="OXX38" s="3"/>
      <c r="OXY38" s="3"/>
      <c r="OXZ38" s="3"/>
      <c r="OYA38" s="3"/>
      <c r="OYB38" s="3"/>
      <c r="OYC38" s="3"/>
      <c r="OYD38" s="3"/>
      <c r="OYE38" s="3"/>
      <c r="OYF38" s="3"/>
      <c r="OYG38" s="3"/>
      <c r="OYH38" s="3"/>
      <c r="OYI38" s="3"/>
      <c r="OYJ38" s="3"/>
      <c r="OYK38" s="3"/>
      <c r="OYL38" s="3"/>
      <c r="OYM38" s="3"/>
      <c r="OYN38" s="3"/>
      <c r="OYO38" s="3"/>
      <c r="OYP38" s="3"/>
      <c r="OYQ38" s="3"/>
      <c r="OYR38" s="3"/>
      <c r="OYS38" s="3"/>
      <c r="OYT38" s="3"/>
      <c r="OYU38" s="3"/>
      <c r="OYV38" s="3"/>
      <c r="OYW38" s="3"/>
      <c r="OYX38" s="3"/>
      <c r="OYY38" s="3"/>
      <c r="OYZ38" s="3"/>
      <c r="OZA38" s="3"/>
      <c r="OZB38" s="3"/>
      <c r="OZC38" s="3"/>
      <c r="OZD38" s="3"/>
      <c r="OZE38" s="3"/>
      <c r="OZF38" s="3"/>
      <c r="OZG38" s="3"/>
      <c r="OZH38" s="3"/>
      <c r="OZI38" s="3"/>
      <c r="OZJ38" s="3"/>
      <c r="OZK38" s="3"/>
      <c r="OZL38" s="3"/>
      <c r="OZM38" s="3"/>
      <c r="OZN38" s="3"/>
      <c r="OZO38" s="3"/>
      <c r="OZP38" s="3"/>
      <c r="OZQ38" s="3"/>
      <c r="OZR38" s="3"/>
      <c r="OZS38" s="3"/>
      <c r="OZT38" s="3"/>
      <c r="OZU38" s="3"/>
      <c r="OZV38" s="3"/>
      <c r="OZW38" s="3"/>
      <c r="OZX38" s="3"/>
      <c r="OZY38" s="3"/>
      <c r="OZZ38" s="3"/>
      <c r="PAA38" s="3"/>
      <c r="PAB38" s="3"/>
      <c r="PAC38" s="3"/>
      <c r="PAD38" s="3"/>
      <c r="PAE38" s="3"/>
      <c r="PAF38" s="3"/>
      <c r="PAG38" s="3"/>
      <c r="PAH38" s="3"/>
      <c r="PAI38" s="3"/>
      <c r="PAJ38" s="3"/>
      <c r="PAK38" s="3"/>
      <c r="PAL38" s="3"/>
      <c r="PAM38" s="3"/>
      <c r="PAN38" s="3"/>
      <c r="PAO38" s="3"/>
      <c r="PAP38" s="3"/>
      <c r="PAQ38" s="3"/>
      <c r="PAR38" s="3"/>
      <c r="PAS38" s="3"/>
      <c r="PAT38" s="3"/>
      <c r="PAU38" s="3"/>
      <c r="PAV38" s="3"/>
      <c r="PAW38" s="3"/>
      <c r="PAX38" s="3"/>
      <c r="PAY38" s="3"/>
      <c r="PAZ38" s="3"/>
      <c r="PBA38" s="3"/>
      <c r="PBB38" s="3"/>
      <c r="PBC38" s="3"/>
      <c r="PBD38" s="3"/>
      <c r="PBE38" s="3"/>
      <c r="PBF38" s="3"/>
      <c r="PBG38" s="3"/>
      <c r="PBH38" s="3"/>
      <c r="PBI38" s="3"/>
      <c r="PBJ38" s="3"/>
      <c r="PBK38" s="3"/>
      <c r="PBL38" s="3"/>
      <c r="PBM38" s="3"/>
      <c r="PBN38" s="3"/>
      <c r="PBO38" s="3"/>
      <c r="PBP38" s="3"/>
      <c r="PBQ38" s="3"/>
      <c r="PBR38" s="3"/>
      <c r="PBS38" s="3"/>
      <c r="PBT38" s="3"/>
      <c r="PBU38" s="3"/>
      <c r="PBV38" s="3"/>
      <c r="PBW38" s="3"/>
      <c r="PBX38" s="3"/>
      <c r="PBY38" s="3"/>
      <c r="PBZ38" s="3"/>
      <c r="PCA38" s="3"/>
      <c r="PCB38" s="3"/>
      <c r="PCC38" s="3"/>
      <c r="PCD38" s="3"/>
      <c r="PCE38" s="3"/>
      <c r="PCF38" s="3"/>
      <c r="PCG38" s="3"/>
      <c r="PCH38" s="3"/>
      <c r="PCI38" s="3"/>
      <c r="PCJ38" s="3"/>
      <c r="PCK38" s="3"/>
      <c r="PCL38" s="3"/>
      <c r="PCM38" s="3"/>
      <c r="PCN38" s="3"/>
      <c r="PCO38" s="3"/>
      <c r="PCP38" s="3"/>
      <c r="PCQ38" s="3"/>
      <c r="PCR38" s="3"/>
      <c r="PCS38" s="3"/>
      <c r="PCT38" s="3"/>
      <c r="PCU38" s="3"/>
      <c r="PCV38" s="3"/>
      <c r="PCW38" s="3"/>
      <c r="PCX38" s="3"/>
      <c r="PCY38" s="3"/>
      <c r="PCZ38" s="3"/>
      <c r="PDA38" s="3"/>
      <c r="PDB38" s="3"/>
      <c r="PDC38" s="3"/>
      <c r="PDD38" s="3"/>
      <c r="PDE38" s="3"/>
      <c r="PDF38" s="3"/>
      <c r="PDG38" s="3"/>
      <c r="PDH38" s="3"/>
      <c r="PDI38" s="3"/>
      <c r="PDJ38" s="3"/>
      <c r="PDK38" s="3"/>
      <c r="PDL38" s="3"/>
      <c r="PDM38" s="3"/>
      <c r="PDN38" s="3"/>
      <c r="PDO38" s="3"/>
      <c r="PDP38" s="3"/>
      <c r="PDQ38" s="3"/>
      <c r="PDR38" s="3"/>
      <c r="PDS38" s="3"/>
      <c r="PDT38" s="3"/>
      <c r="PDU38" s="3"/>
      <c r="PDV38" s="3"/>
      <c r="PDW38" s="3"/>
      <c r="PDX38" s="3"/>
      <c r="PDY38" s="3"/>
      <c r="PDZ38" s="3"/>
      <c r="PEA38" s="3"/>
      <c r="PEB38" s="3"/>
      <c r="PEC38" s="3"/>
      <c r="PED38" s="3"/>
      <c r="PEE38" s="3"/>
      <c r="PEF38" s="3"/>
      <c r="PEG38" s="3"/>
      <c r="PEH38" s="3"/>
      <c r="PEI38" s="3"/>
      <c r="PEJ38" s="3"/>
      <c r="PEK38" s="3"/>
      <c r="PEL38" s="3"/>
      <c r="PEM38" s="3"/>
      <c r="PEN38" s="3"/>
      <c r="PEO38" s="3"/>
      <c r="PEP38" s="3"/>
      <c r="PEQ38" s="3"/>
      <c r="PER38" s="3"/>
      <c r="PES38" s="3"/>
      <c r="PET38" s="3"/>
      <c r="PEU38" s="3"/>
      <c r="PEV38" s="3"/>
      <c r="PEW38" s="3"/>
      <c r="PEX38" s="3"/>
      <c r="PEY38" s="3"/>
      <c r="PEZ38" s="3"/>
      <c r="PFA38" s="3"/>
      <c r="PFB38" s="3"/>
      <c r="PFC38" s="3"/>
      <c r="PFD38" s="3"/>
      <c r="PFE38" s="3"/>
      <c r="PFF38" s="3"/>
      <c r="PFG38" s="3"/>
      <c r="PFH38" s="3"/>
      <c r="PFI38" s="3"/>
      <c r="PFJ38" s="3"/>
      <c r="PFK38" s="3"/>
      <c r="PFL38" s="3"/>
      <c r="PFM38" s="3"/>
      <c r="PFN38" s="3"/>
      <c r="PFO38" s="3"/>
      <c r="PFP38" s="3"/>
      <c r="PFQ38" s="3"/>
      <c r="PFR38" s="3"/>
      <c r="PFS38" s="3"/>
      <c r="PFT38" s="3"/>
      <c r="PFU38" s="3"/>
      <c r="PFV38" s="3"/>
      <c r="PFW38" s="3"/>
      <c r="PFX38" s="3"/>
      <c r="PFY38" s="3"/>
      <c r="PFZ38" s="3"/>
      <c r="PGA38" s="3"/>
      <c r="PGB38" s="3"/>
      <c r="PGC38" s="3"/>
      <c r="PGD38" s="3"/>
      <c r="PGE38" s="3"/>
      <c r="PGF38" s="3"/>
      <c r="PGG38" s="3"/>
      <c r="PGH38" s="3"/>
      <c r="PGI38" s="3"/>
      <c r="PGJ38" s="3"/>
      <c r="PGK38" s="3"/>
      <c r="PGL38" s="3"/>
      <c r="PGM38" s="3"/>
      <c r="PGN38" s="3"/>
      <c r="PGO38" s="3"/>
      <c r="PGP38" s="3"/>
      <c r="PGQ38" s="3"/>
      <c r="PGR38" s="3"/>
      <c r="PGS38" s="3"/>
      <c r="PGT38" s="3"/>
      <c r="PGU38" s="3"/>
      <c r="PGV38" s="3"/>
      <c r="PGW38" s="3"/>
      <c r="PGX38" s="3"/>
      <c r="PGY38" s="3"/>
      <c r="PGZ38" s="3"/>
      <c r="PHA38" s="3"/>
      <c r="PHB38" s="3"/>
      <c r="PHC38" s="3"/>
      <c r="PHD38" s="3"/>
      <c r="PHE38" s="3"/>
      <c r="PHF38" s="3"/>
      <c r="PHG38" s="3"/>
      <c r="PHH38" s="3"/>
      <c r="PHI38" s="3"/>
      <c r="PHJ38" s="3"/>
      <c r="PHK38" s="3"/>
      <c r="PHL38" s="3"/>
      <c r="PHM38" s="3"/>
      <c r="PHN38" s="3"/>
      <c r="PHO38" s="3"/>
      <c r="PHP38" s="3"/>
      <c r="PHQ38" s="3"/>
      <c r="PHR38" s="3"/>
      <c r="PHS38" s="3"/>
      <c r="PHT38" s="3"/>
      <c r="PHU38" s="3"/>
      <c r="PHV38" s="3"/>
      <c r="PHW38" s="3"/>
      <c r="PHX38" s="3"/>
      <c r="PHY38" s="3"/>
      <c r="PHZ38" s="3"/>
      <c r="PIA38" s="3"/>
      <c r="PIB38" s="3"/>
      <c r="PIC38" s="3"/>
      <c r="PID38" s="3"/>
      <c r="PIE38" s="3"/>
      <c r="PIF38" s="3"/>
      <c r="PIG38" s="3"/>
      <c r="PIH38" s="3"/>
      <c r="PII38" s="3"/>
      <c r="PIJ38" s="3"/>
      <c r="PIK38" s="3"/>
      <c r="PIL38" s="3"/>
      <c r="PIM38" s="3"/>
      <c r="PIN38" s="3"/>
      <c r="PIO38" s="3"/>
      <c r="PIP38" s="3"/>
      <c r="PIQ38" s="3"/>
      <c r="PIR38" s="3"/>
      <c r="PIS38" s="3"/>
      <c r="PIT38" s="3"/>
      <c r="PIU38" s="3"/>
      <c r="PIV38" s="3"/>
      <c r="PIW38" s="3"/>
      <c r="PIX38" s="3"/>
      <c r="PIY38" s="3"/>
      <c r="PIZ38" s="3"/>
      <c r="PJA38" s="3"/>
      <c r="PJB38" s="3"/>
      <c r="PJC38" s="3"/>
      <c r="PJD38" s="3"/>
      <c r="PJE38" s="3"/>
      <c r="PJF38" s="3"/>
      <c r="PJG38" s="3"/>
      <c r="PJH38" s="3"/>
      <c r="PJI38" s="3"/>
      <c r="PJJ38" s="3"/>
      <c r="PJK38" s="3"/>
      <c r="PJL38" s="3"/>
      <c r="PJM38" s="3"/>
      <c r="PJN38" s="3"/>
      <c r="PJO38" s="3"/>
      <c r="PJP38" s="3"/>
      <c r="PJQ38" s="3"/>
      <c r="PJR38" s="3"/>
      <c r="PJS38" s="3"/>
      <c r="PJT38" s="3"/>
      <c r="PJU38" s="3"/>
      <c r="PJV38" s="3"/>
      <c r="PJW38" s="3"/>
      <c r="PJX38" s="3"/>
      <c r="PJY38" s="3"/>
      <c r="PJZ38" s="3"/>
      <c r="PKA38" s="3"/>
      <c r="PKB38" s="3"/>
      <c r="PKC38" s="3"/>
      <c r="PKD38" s="3"/>
      <c r="PKE38" s="3"/>
      <c r="PKF38" s="3"/>
      <c r="PKG38" s="3"/>
      <c r="PKH38" s="3"/>
      <c r="PKI38" s="3"/>
      <c r="PKJ38" s="3"/>
      <c r="PKK38" s="3"/>
      <c r="PKL38" s="3"/>
      <c r="PKM38" s="3"/>
      <c r="PKN38" s="3"/>
      <c r="PKO38" s="3"/>
      <c r="PKP38" s="3"/>
      <c r="PKQ38" s="3"/>
      <c r="PKR38" s="3"/>
      <c r="PKS38" s="3"/>
      <c r="PKT38" s="3"/>
      <c r="PKU38" s="3"/>
      <c r="PKV38" s="3"/>
      <c r="PKW38" s="3"/>
      <c r="PKX38" s="3"/>
      <c r="PKY38" s="3"/>
      <c r="PKZ38" s="3"/>
      <c r="PLA38" s="3"/>
      <c r="PLB38" s="3"/>
      <c r="PLC38" s="3"/>
      <c r="PLD38" s="3"/>
      <c r="PLE38" s="3"/>
      <c r="PLF38" s="3"/>
      <c r="PLG38" s="3"/>
      <c r="PLH38" s="3"/>
      <c r="PLI38" s="3"/>
      <c r="PLJ38" s="3"/>
      <c r="PLK38" s="3"/>
      <c r="PLL38" s="3"/>
      <c r="PLM38" s="3"/>
      <c r="PLN38" s="3"/>
      <c r="PLO38" s="3"/>
      <c r="PLP38" s="3"/>
      <c r="PLQ38" s="3"/>
      <c r="PLR38" s="3"/>
      <c r="PLS38" s="3"/>
      <c r="PLT38" s="3"/>
      <c r="PLU38" s="3"/>
      <c r="PLV38" s="3"/>
      <c r="PLW38" s="3"/>
      <c r="PLX38" s="3"/>
      <c r="PLY38" s="3"/>
      <c r="PLZ38" s="3"/>
      <c r="PMA38" s="3"/>
      <c r="PMB38" s="3"/>
      <c r="PMC38" s="3"/>
      <c r="PMD38" s="3"/>
      <c r="PME38" s="3"/>
      <c r="PMF38" s="3"/>
      <c r="PMG38" s="3"/>
      <c r="PMH38" s="3"/>
      <c r="PMI38" s="3"/>
      <c r="PMJ38" s="3"/>
      <c r="PMK38" s="3"/>
      <c r="PML38" s="3"/>
      <c r="PMM38" s="3"/>
      <c r="PMN38" s="3"/>
      <c r="PMO38" s="3"/>
      <c r="PMP38" s="3"/>
      <c r="PMQ38" s="3"/>
      <c r="PMR38" s="3"/>
      <c r="PMS38" s="3"/>
      <c r="PMT38" s="3"/>
      <c r="PMU38" s="3"/>
      <c r="PMV38" s="3"/>
      <c r="PMW38" s="3"/>
      <c r="PMX38" s="3"/>
      <c r="PMY38" s="3"/>
      <c r="PMZ38" s="3"/>
      <c r="PNA38" s="3"/>
      <c r="PNB38" s="3"/>
      <c r="PNC38" s="3"/>
      <c r="PND38" s="3"/>
      <c r="PNE38" s="3"/>
      <c r="PNF38" s="3"/>
      <c r="PNG38" s="3"/>
      <c r="PNH38" s="3"/>
      <c r="PNI38" s="3"/>
      <c r="PNJ38" s="3"/>
      <c r="PNK38" s="3"/>
      <c r="PNL38" s="3"/>
      <c r="PNM38" s="3"/>
      <c r="PNN38" s="3"/>
      <c r="PNO38" s="3"/>
      <c r="PNP38" s="3"/>
      <c r="PNQ38" s="3"/>
      <c r="PNR38" s="3"/>
      <c r="PNS38" s="3"/>
      <c r="PNT38" s="3"/>
      <c r="PNU38" s="3"/>
      <c r="PNV38" s="3"/>
      <c r="PNW38" s="3"/>
      <c r="PNX38" s="3"/>
      <c r="PNY38" s="3"/>
      <c r="PNZ38" s="3"/>
      <c r="POA38" s="3"/>
      <c r="POB38" s="3"/>
      <c r="POC38" s="3"/>
      <c r="POD38" s="3"/>
      <c r="POE38" s="3"/>
      <c r="POF38" s="3"/>
      <c r="POG38" s="3"/>
      <c r="POH38" s="3"/>
      <c r="POI38" s="3"/>
      <c r="POJ38" s="3"/>
      <c r="POK38" s="3"/>
      <c r="POL38" s="3"/>
      <c r="POM38" s="3"/>
      <c r="PON38" s="3"/>
      <c r="POO38" s="3"/>
      <c r="POP38" s="3"/>
      <c r="POQ38" s="3"/>
      <c r="POR38" s="3"/>
      <c r="POS38" s="3"/>
      <c r="POT38" s="3"/>
      <c r="POU38" s="3"/>
      <c r="POV38" s="3"/>
      <c r="POW38" s="3"/>
      <c r="POX38" s="3"/>
      <c r="POY38" s="3"/>
      <c r="POZ38" s="3"/>
      <c r="PPA38" s="3"/>
      <c r="PPB38" s="3"/>
      <c r="PPC38" s="3"/>
      <c r="PPD38" s="3"/>
      <c r="PPE38" s="3"/>
      <c r="PPF38" s="3"/>
      <c r="PPG38" s="3"/>
      <c r="PPH38" s="3"/>
      <c r="PPI38" s="3"/>
      <c r="PPJ38" s="3"/>
      <c r="PPK38" s="3"/>
      <c r="PPL38" s="3"/>
      <c r="PPM38" s="3"/>
      <c r="PPN38" s="3"/>
      <c r="PPO38" s="3"/>
      <c r="PPP38" s="3"/>
      <c r="PPQ38" s="3"/>
      <c r="PPR38" s="3"/>
      <c r="PPS38" s="3"/>
      <c r="PPT38" s="3"/>
      <c r="PPU38" s="3"/>
      <c r="PPV38" s="3"/>
      <c r="PPW38" s="3"/>
      <c r="PPX38" s="3"/>
      <c r="PPY38" s="3"/>
      <c r="PPZ38" s="3"/>
      <c r="PQA38" s="3"/>
      <c r="PQB38" s="3"/>
      <c r="PQC38" s="3"/>
      <c r="PQD38" s="3"/>
      <c r="PQE38" s="3"/>
      <c r="PQF38" s="3"/>
      <c r="PQG38" s="3"/>
      <c r="PQH38" s="3"/>
      <c r="PQI38" s="3"/>
      <c r="PQJ38" s="3"/>
      <c r="PQK38" s="3"/>
      <c r="PQL38" s="3"/>
      <c r="PQM38" s="3"/>
      <c r="PQN38" s="3"/>
      <c r="PQO38" s="3"/>
      <c r="PQP38" s="3"/>
      <c r="PQQ38" s="3"/>
      <c r="PQR38" s="3"/>
      <c r="PQS38" s="3"/>
      <c r="PQT38" s="3"/>
      <c r="PQU38" s="3"/>
      <c r="PQV38" s="3"/>
      <c r="PQW38" s="3"/>
      <c r="PQX38" s="3"/>
      <c r="PQY38" s="3"/>
      <c r="PQZ38" s="3"/>
      <c r="PRA38" s="3"/>
      <c r="PRB38" s="3"/>
      <c r="PRC38" s="3"/>
      <c r="PRD38" s="3"/>
      <c r="PRE38" s="3"/>
      <c r="PRF38" s="3"/>
      <c r="PRG38" s="3"/>
      <c r="PRH38" s="3"/>
      <c r="PRI38" s="3"/>
      <c r="PRJ38" s="3"/>
      <c r="PRK38" s="3"/>
      <c r="PRL38" s="3"/>
      <c r="PRM38" s="3"/>
      <c r="PRN38" s="3"/>
      <c r="PRO38" s="3"/>
      <c r="PRP38" s="3"/>
      <c r="PRQ38" s="3"/>
      <c r="PRR38" s="3"/>
      <c r="PRS38" s="3"/>
      <c r="PRT38" s="3"/>
      <c r="PRU38" s="3"/>
      <c r="PRV38" s="3"/>
      <c r="PRW38" s="3"/>
      <c r="PRX38" s="3"/>
      <c r="PRY38" s="3"/>
      <c r="PRZ38" s="3"/>
      <c r="PSA38" s="3"/>
      <c r="PSB38" s="3"/>
      <c r="PSC38" s="3"/>
      <c r="PSD38" s="3"/>
      <c r="PSE38" s="3"/>
      <c r="PSF38" s="3"/>
      <c r="PSG38" s="3"/>
      <c r="PSH38" s="3"/>
      <c r="PSI38" s="3"/>
      <c r="PSJ38" s="3"/>
      <c r="PSK38" s="3"/>
      <c r="PSL38" s="3"/>
      <c r="PSM38" s="3"/>
      <c r="PSN38" s="3"/>
      <c r="PSO38" s="3"/>
      <c r="PSP38" s="3"/>
      <c r="PSQ38" s="3"/>
      <c r="PSR38" s="3"/>
      <c r="PSS38" s="3"/>
      <c r="PST38" s="3"/>
      <c r="PSU38" s="3"/>
      <c r="PSV38" s="3"/>
      <c r="PSW38" s="3"/>
      <c r="PSX38" s="3"/>
      <c r="PSY38" s="3"/>
      <c r="PSZ38" s="3"/>
      <c r="PTA38" s="3"/>
      <c r="PTB38" s="3"/>
      <c r="PTC38" s="3"/>
      <c r="PTD38" s="3"/>
      <c r="PTE38" s="3"/>
      <c r="PTF38" s="3"/>
      <c r="PTG38" s="3"/>
      <c r="PTH38" s="3"/>
      <c r="PTI38" s="3"/>
      <c r="PTJ38" s="3"/>
      <c r="PTK38" s="3"/>
      <c r="PTL38" s="3"/>
      <c r="PTM38" s="3"/>
      <c r="PTN38" s="3"/>
      <c r="PTO38" s="3"/>
      <c r="PTP38" s="3"/>
      <c r="PTQ38" s="3"/>
      <c r="PTR38" s="3"/>
      <c r="PTS38" s="3"/>
      <c r="PTT38" s="3"/>
      <c r="PTU38" s="3"/>
      <c r="PTV38" s="3"/>
      <c r="PTW38" s="3"/>
      <c r="PTX38" s="3"/>
      <c r="PTY38" s="3"/>
      <c r="PTZ38" s="3"/>
      <c r="PUA38" s="3"/>
      <c r="PUB38" s="3"/>
      <c r="PUC38" s="3"/>
      <c r="PUD38" s="3"/>
      <c r="PUE38" s="3"/>
      <c r="PUF38" s="3"/>
      <c r="PUG38" s="3"/>
      <c r="PUH38" s="3"/>
      <c r="PUI38" s="3"/>
      <c r="PUJ38" s="3"/>
      <c r="PUK38" s="3"/>
      <c r="PUL38" s="3"/>
      <c r="PUM38" s="3"/>
      <c r="PUN38" s="3"/>
      <c r="PUO38" s="3"/>
      <c r="PUP38" s="3"/>
      <c r="PUQ38" s="3"/>
      <c r="PUR38" s="3"/>
      <c r="PUS38" s="3"/>
      <c r="PUT38" s="3"/>
      <c r="PUU38" s="3"/>
      <c r="PUV38" s="3"/>
      <c r="PUW38" s="3"/>
      <c r="PUX38" s="3"/>
      <c r="PUY38" s="3"/>
      <c r="PUZ38" s="3"/>
      <c r="PVA38" s="3"/>
      <c r="PVB38" s="3"/>
      <c r="PVC38" s="3"/>
      <c r="PVD38" s="3"/>
      <c r="PVE38" s="3"/>
      <c r="PVF38" s="3"/>
      <c r="PVG38" s="3"/>
      <c r="PVH38" s="3"/>
      <c r="PVI38" s="3"/>
      <c r="PVJ38" s="3"/>
      <c r="PVK38" s="3"/>
      <c r="PVL38" s="3"/>
      <c r="PVM38" s="3"/>
      <c r="PVN38" s="3"/>
      <c r="PVO38" s="3"/>
      <c r="PVP38" s="3"/>
      <c r="PVQ38" s="3"/>
      <c r="PVR38" s="3"/>
      <c r="PVS38" s="3"/>
      <c r="PVT38" s="3"/>
      <c r="PVU38" s="3"/>
      <c r="PVV38" s="3"/>
      <c r="PVW38" s="3"/>
      <c r="PVX38" s="3"/>
      <c r="PVY38" s="3"/>
      <c r="PVZ38" s="3"/>
      <c r="PWA38" s="3"/>
      <c r="PWB38" s="3"/>
      <c r="PWC38" s="3"/>
      <c r="PWD38" s="3"/>
      <c r="PWE38" s="3"/>
      <c r="PWF38" s="3"/>
      <c r="PWG38" s="3"/>
      <c r="PWH38" s="3"/>
      <c r="PWI38" s="3"/>
      <c r="PWJ38" s="3"/>
      <c r="PWK38" s="3"/>
      <c r="PWL38" s="3"/>
      <c r="PWM38" s="3"/>
      <c r="PWN38" s="3"/>
      <c r="PWO38" s="3"/>
      <c r="PWP38" s="3"/>
      <c r="PWQ38" s="3"/>
      <c r="PWR38" s="3"/>
      <c r="PWS38" s="3"/>
      <c r="PWT38" s="3"/>
      <c r="PWU38" s="3"/>
      <c r="PWV38" s="3"/>
      <c r="PWW38" s="3"/>
      <c r="PWX38" s="3"/>
      <c r="PWY38" s="3"/>
      <c r="PWZ38" s="3"/>
      <c r="PXA38" s="3"/>
      <c r="PXB38" s="3"/>
      <c r="PXC38" s="3"/>
      <c r="PXD38" s="3"/>
      <c r="PXE38" s="3"/>
      <c r="PXF38" s="3"/>
      <c r="PXG38" s="3"/>
      <c r="PXH38" s="3"/>
      <c r="PXI38" s="3"/>
      <c r="PXJ38" s="3"/>
      <c r="PXK38" s="3"/>
      <c r="PXL38" s="3"/>
      <c r="PXM38" s="3"/>
      <c r="PXN38" s="3"/>
      <c r="PXO38" s="3"/>
      <c r="PXP38" s="3"/>
      <c r="PXQ38" s="3"/>
      <c r="PXR38" s="3"/>
      <c r="PXS38" s="3"/>
      <c r="PXT38" s="3"/>
      <c r="PXU38" s="3"/>
      <c r="PXV38" s="3"/>
      <c r="PXW38" s="3"/>
      <c r="PXX38" s="3"/>
      <c r="PXY38" s="3"/>
      <c r="PXZ38" s="3"/>
      <c r="PYA38" s="3"/>
      <c r="PYB38" s="3"/>
      <c r="PYC38" s="3"/>
      <c r="PYD38" s="3"/>
      <c r="PYE38" s="3"/>
      <c r="PYF38" s="3"/>
      <c r="PYG38" s="3"/>
      <c r="PYH38" s="3"/>
      <c r="PYI38" s="3"/>
      <c r="PYJ38" s="3"/>
      <c r="PYK38" s="3"/>
      <c r="PYL38" s="3"/>
      <c r="PYM38" s="3"/>
      <c r="PYN38" s="3"/>
      <c r="PYO38" s="3"/>
      <c r="PYP38" s="3"/>
      <c r="PYQ38" s="3"/>
      <c r="PYR38" s="3"/>
      <c r="PYS38" s="3"/>
      <c r="PYT38" s="3"/>
      <c r="PYU38" s="3"/>
      <c r="PYV38" s="3"/>
      <c r="PYW38" s="3"/>
      <c r="PYX38" s="3"/>
      <c r="PYY38" s="3"/>
      <c r="PYZ38" s="3"/>
      <c r="PZA38" s="3"/>
      <c r="PZB38" s="3"/>
      <c r="PZC38" s="3"/>
      <c r="PZD38" s="3"/>
      <c r="PZE38" s="3"/>
      <c r="PZF38" s="3"/>
      <c r="PZG38" s="3"/>
      <c r="PZH38" s="3"/>
      <c r="PZI38" s="3"/>
      <c r="PZJ38" s="3"/>
      <c r="PZK38" s="3"/>
      <c r="PZL38" s="3"/>
      <c r="PZM38" s="3"/>
      <c r="PZN38" s="3"/>
      <c r="PZO38" s="3"/>
      <c r="PZP38" s="3"/>
      <c r="PZQ38" s="3"/>
      <c r="PZR38" s="3"/>
      <c r="PZS38" s="3"/>
      <c r="PZT38" s="3"/>
      <c r="PZU38" s="3"/>
      <c r="PZV38" s="3"/>
      <c r="PZW38" s="3"/>
      <c r="PZX38" s="3"/>
      <c r="PZY38" s="3"/>
      <c r="PZZ38" s="3"/>
      <c r="QAA38" s="3"/>
      <c r="QAB38" s="3"/>
      <c r="QAC38" s="3"/>
      <c r="QAD38" s="3"/>
      <c r="QAE38" s="3"/>
      <c r="QAF38" s="3"/>
      <c r="QAG38" s="3"/>
      <c r="QAH38" s="3"/>
      <c r="QAI38" s="3"/>
      <c r="QAJ38" s="3"/>
      <c r="QAK38" s="3"/>
      <c r="QAL38" s="3"/>
      <c r="QAM38" s="3"/>
      <c r="QAN38" s="3"/>
      <c r="QAO38" s="3"/>
      <c r="QAP38" s="3"/>
      <c r="QAQ38" s="3"/>
      <c r="QAR38" s="3"/>
      <c r="QAS38" s="3"/>
      <c r="QAT38" s="3"/>
      <c r="QAU38" s="3"/>
      <c r="QAV38" s="3"/>
      <c r="QAW38" s="3"/>
      <c r="QAX38" s="3"/>
      <c r="QAY38" s="3"/>
      <c r="QAZ38" s="3"/>
      <c r="QBA38" s="3"/>
      <c r="QBB38" s="3"/>
      <c r="QBC38" s="3"/>
      <c r="QBD38" s="3"/>
      <c r="QBE38" s="3"/>
      <c r="QBF38" s="3"/>
      <c r="QBG38" s="3"/>
      <c r="QBH38" s="3"/>
      <c r="QBI38" s="3"/>
      <c r="QBJ38" s="3"/>
      <c r="QBK38" s="3"/>
      <c r="QBL38" s="3"/>
      <c r="QBM38" s="3"/>
      <c r="QBN38" s="3"/>
      <c r="QBO38" s="3"/>
      <c r="QBP38" s="3"/>
      <c r="QBQ38" s="3"/>
      <c r="QBR38" s="3"/>
      <c r="QBS38" s="3"/>
      <c r="QBT38" s="3"/>
      <c r="QBU38" s="3"/>
      <c r="QBV38" s="3"/>
      <c r="QBW38" s="3"/>
      <c r="QBX38" s="3"/>
      <c r="QBY38" s="3"/>
      <c r="QBZ38" s="3"/>
      <c r="QCA38" s="3"/>
      <c r="QCB38" s="3"/>
      <c r="QCC38" s="3"/>
      <c r="QCD38" s="3"/>
      <c r="QCE38" s="3"/>
      <c r="QCF38" s="3"/>
      <c r="QCG38" s="3"/>
      <c r="QCH38" s="3"/>
      <c r="QCI38" s="3"/>
      <c r="QCJ38" s="3"/>
      <c r="QCK38" s="3"/>
      <c r="QCL38" s="3"/>
      <c r="QCM38" s="3"/>
      <c r="QCN38" s="3"/>
      <c r="QCO38" s="3"/>
      <c r="QCP38" s="3"/>
      <c r="QCQ38" s="3"/>
      <c r="QCR38" s="3"/>
      <c r="QCS38" s="3"/>
      <c r="QCT38" s="3"/>
      <c r="QCU38" s="3"/>
      <c r="QCV38" s="3"/>
      <c r="QCW38" s="3"/>
      <c r="QCX38" s="3"/>
      <c r="QCY38" s="3"/>
      <c r="QCZ38" s="3"/>
      <c r="QDA38" s="3"/>
      <c r="QDB38" s="3"/>
      <c r="QDC38" s="3"/>
      <c r="QDD38" s="3"/>
      <c r="QDE38" s="3"/>
      <c r="QDF38" s="3"/>
      <c r="QDG38" s="3"/>
      <c r="QDH38" s="3"/>
      <c r="QDI38" s="3"/>
      <c r="QDJ38" s="3"/>
      <c r="QDK38" s="3"/>
      <c r="QDL38" s="3"/>
      <c r="QDM38" s="3"/>
      <c r="QDN38" s="3"/>
      <c r="QDO38" s="3"/>
      <c r="QDP38" s="3"/>
      <c r="QDQ38" s="3"/>
      <c r="QDR38" s="3"/>
      <c r="QDS38" s="3"/>
      <c r="QDT38" s="3"/>
      <c r="QDU38" s="3"/>
      <c r="QDV38" s="3"/>
      <c r="QDW38" s="3"/>
      <c r="QDX38" s="3"/>
      <c r="QDY38" s="3"/>
      <c r="QDZ38" s="3"/>
      <c r="QEA38" s="3"/>
      <c r="QEB38" s="3"/>
      <c r="QEC38" s="3"/>
      <c r="QED38" s="3"/>
      <c r="QEE38" s="3"/>
      <c r="QEF38" s="3"/>
      <c r="QEG38" s="3"/>
      <c r="QEH38" s="3"/>
      <c r="QEI38" s="3"/>
      <c r="QEJ38" s="3"/>
      <c r="QEK38" s="3"/>
      <c r="QEL38" s="3"/>
      <c r="QEM38" s="3"/>
      <c r="QEN38" s="3"/>
      <c r="QEO38" s="3"/>
      <c r="QEP38" s="3"/>
      <c r="QEQ38" s="3"/>
      <c r="QER38" s="3"/>
      <c r="QES38" s="3"/>
      <c r="QET38" s="3"/>
      <c r="QEU38" s="3"/>
      <c r="QEV38" s="3"/>
      <c r="QEW38" s="3"/>
      <c r="QEX38" s="3"/>
      <c r="QEY38" s="3"/>
      <c r="QEZ38" s="3"/>
      <c r="QFA38" s="3"/>
      <c r="QFB38" s="3"/>
      <c r="QFC38" s="3"/>
      <c r="QFD38" s="3"/>
      <c r="QFE38" s="3"/>
      <c r="QFF38" s="3"/>
      <c r="QFG38" s="3"/>
      <c r="QFH38" s="3"/>
      <c r="QFI38" s="3"/>
      <c r="QFJ38" s="3"/>
      <c r="QFK38" s="3"/>
      <c r="QFL38" s="3"/>
      <c r="QFM38" s="3"/>
      <c r="QFN38" s="3"/>
      <c r="QFO38" s="3"/>
      <c r="QFP38" s="3"/>
      <c r="QFQ38" s="3"/>
      <c r="QFR38" s="3"/>
      <c r="QFS38" s="3"/>
      <c r="QFT38" s="3"/>
      <c r="QFU38" s="3"/>
      <c r="QFV38" s="3"/>
      <c r="QFW38" s="3"/>
      <c r="QFX38" s="3"/>
      <c r="QFY38" s="3"/>
      <c r="QFZ38" s="3"/>
      <c r="QGA38" s="3"/>
      <c r="QGB38" s="3"/>
      <c r="QGC38" s="3"/>
      <c r="QGD38" s="3"/>
      <c r="QGE38" s="3"/>
      <c r="QGF38" s="3"/>
      <c r="QGG38" s="3"/>
      <c r="QGH38" s="3"/>
      <c r="QGI38" s="3"/>
      <c r="QGJ38" s="3"/>
      <c r="QGK38" s="3"/>
      <c r="QGL38" s="3"/>
      <c r="QGM38" s="3"/>
      <c r="QGN38" s="3"/>
      <c r="QGO38" s="3"/>
      <c r="QGP38" s="3"/>
      <c r="QGQ38" s="3"/>
      <c r="QGR38" s="3"/>
      <c r="QGS38" s="3"/>
      <c r="QGT38" s="3"/>
      <c r="QGU38" s="3"/>
      <c r="QGV38" s="3"/>
      <c r="QGW38" s="3"/>
      <c r="QGX38" s="3"/>
      <c r="QGY38" s="3"/>
      <c r="QGZ38" s="3"/>
      <c r="QHA38" s="3"/>
      <c r="QHB38" s="3"/>
      <c r="QHC38" s="3"/>
      <c r="QHD38" s="3"/>
      <c r="QHE38" s="3"/>
      <c r="QHF38" s="3"/>
      <c r="QHG38" s="3"/>
      <c r="QHH38" s="3"/>
      <c r="QHI38" s="3"/>
      <c r="QHJ38" s="3"/>
      <c r="QHK38" s="3"/>
      <c r="QHL38" s="3"/>
      <c r="QHM38" s="3"/>
      <c r="QHN38" s="3"/>
      <c r="QHO38" s="3"/>
      <c r="QHP38" s="3"/>
      <c r="QHQ38" s="3"/>
      <c r="QHR38" s="3"/>
      <c r="QHS38" s="3"/>
      <c r="QHT38" s="3"/>
      <c r="QHU38" s="3"/>
      <c r="QHV38" s="3"/>
      <c r="QHW38" s="3"/>
      <c r="QHX38" s="3"/>
      <c r="QHY38" s="3"/>
      <c r="QHZ38" s="3"/>
      <c r="QIA38" s="3"/>
      <c r="QIB38" s="3"/>
      <c r="QIC38" s="3"/>
      <c r="QID38" s="3"/>
      <c r="QIE38" s="3"/>
      <c r="QIF38" s="3"/>
      <c r="QIG38" s="3"/>
      <c r="QIH38" s="3"/>
      <c r="QII38" s="3"/>
      <c r="QIJ38" s="3"/>
      <c r="QIK38" s="3"/>
      <c r="QIL38" s="3"/>
      <c r="QIM38" s="3"/>
      <c r="QIN38" s="3"/>
      <c r="QIO38" s="3"/>
      <c r="QIP38" s="3"/>
      <c r="QIQ38" s="3"/>
      <c r="QIR38" s="3"/>
      <c r="QIS38" s="3"/>
      <c r="QIT38" s="3"/>
      <c r="QIU38" s="3"/>
      <c r="QIV38" s="3"/>
      <c r="QIW38" s="3"/>
      <c r="QIX38" s="3"/>
      <c r="QIY38" s="3"/>
      <c r="QIZ38" s="3"/>
      <c r="QJA38" s="3"/>
      <c r="QJB38" s="3"/>
      <c r="QJC38" s="3"/>
      <c r="QJD38" s="3"/>
      <c r="QJE38" s="3"/>
      <c r="QJF38" s="3"/>
      <c r="QJG38" s="3"/>
      <c r="QJH38" s="3"/>
      <c r="QJI38" s="3"/>
      <c r="QJJ38" s="3"/>
      <c r="QJK38" s="3"/>
      <c r="QJL38" s="3"/>
      <c r="QJM38" s="3"/>
      <c r="QJN38" s="3"/>
      <c r="QJO38" s="3"/>
      <c r="QJP38" s="3"/>
      <c r="QJQ38" s="3"/>
      <c r="QJR38" s="3"/>
      <c r="QJS38" s="3"/>
      <c r="QJT38" s="3"/>
      <c r="QJU38" s="3"/>
      <c r="QJV38" s="3"/>
      <c r="QJW38" s="3"/>
      <c r="QJX38" s="3"/>
      <c r="QJY38" s="3"/>
      <c r="QJZ38" s="3"/>
      <c r="QKA38" s="3"/>
      <c r="QKB38" s="3"/>
      <c r="QKC38" s="3"/>
      <c r="QKD38" s="3"/>
      <c r="QKE38" s="3"/>
      <c r="QKF38" s="3"/>
      <c r="QKG38" s="3"/>
      <c r="QKH38" s="3"/>
      <c r="QKI38" s="3"/>
      <c r="QKJ38" s="3"/>
      <c r="QKK38" s="3"/>
      <c r="QKL38" s="3"/>
      <c r="QKM38" s="3"/>
      <c r="QKN38" s="3"/>
      <c r="QKO38" s="3"/>
      <c r="QKP38" s="3"/>
      <c r="QKQ38" s="3"/>
      <c r="QKR38" s="3"/>
      <c r="QKS38" s="3"/>
      <c r="QKT38" s="3"/>
      <c r="QKU38" s="3"/>
      <c r="QKV38" s="3"/>
      <c r="QKW38" s="3"/>
      <c r="QKX38" s="3"/>
      <c r="QKY38" s="3"/>
      <c r="QKZ38" s="3"/>
      <c r="QLA38" s="3"/>
      <c r="QLB38" s="3"/>
      <c r="QLC38" s="3"/>
      <c r="QLD38" s="3"/>
      <c r="QLE38" s="3"/>
      <c r="QLF38" s="3"/>
      <c r="QLG38" s="3"/>
      <c r="QLH38" s="3"/>
      <c r="QLI38" s="3"/>
      <c r="QLJ38" s="3"/>
      <c r="QLK38" s="3"/>
      <c r="QLL38" s="3"/>
      <c r="QLM38" s="3"/>
      <c r="QLN38" s="3"/>
      <c r="QLO38" s="3"/>
      <c r="QLP38" s="3"/>
      <c r="QLQ38" s="3"/>
      <c r="QLR38" s="3"/>
      <c r="QLS38" s="3"/>
      <c r="QLT38" s="3"/>
      <c r="QLU38" s="3"/>
      <c r="QLV38" s="3"/>
      <c r="QLW38" s="3"/>
      <c r="QLX38" s="3"/>
      <c r="QLY38" s="3"/>
      <c r="QLZ38" s="3"/>
      <c r="QMA38" s="3"/>
      <c r="QMB38" s="3"/>
      <c r="QMC38" s="3"/>
      <c r="QMD38" s="3"/>
      <c r="QME38" s="3"/>
      <c r="QMF38" s="3"/>
      <c r="QMG38" s="3"/>
      <c r="QMH38" s="3"/>
      <c r="QMI38" s="3"/>
      <c r="QMJ38" s="3"/>
      <c r="QMK38" s="3"/>
      <c r="QML38" s="3"/>
      <c r="QMM38" s="3"/>
      <c r="QMN38" s="3"/>
      <c r="QMO38" s="3"/>
      <c r="QMP38" s="3"/>
      <c r="QMQ38" s="3"/>
      <c r="QMR38" s="3"/>
      <c r="QMS38" s="3"/>
      <c r="QMT38" s="3"/>
      <c r="QMU38" s="3"/>
      <c r="QMV38" s="3"/>
      <c r="QMW38" s="3"/>
      <c r="QMX38" s="3"/>
      <c r="QMY38" s="3"/>
      <c r="QMZ38" s="3"/>
      <c r="QNA38" s="3"/>
      <c r="QNB38" s="3"/>
      <c r="QNC38" s="3"/>
      <c r="QND38" s="3"/>
      <c r="QNE38" s="3"/>
      <c r="QNF38" s="3"/>
      <c r="QNG38" s="3"/>
      <c r="QNH38" s="3"/>
      <c r="QNI38" s="3"/>
      <c r="QNJ38" s="3"/>
      <c r="QNK38" s="3"/>
      <c r="QNL38" s="3"/>
      <c r="QNM38" s="3"/>
      <c r="QNN38" s="3"/>
      <c r="QNO38" s="3"/>
      <c r="QNP38" s="3"/>
      <c r="QNQ38" s="3"/>
      <c r="QNR38" s="3"/>
      <c r="QNS38" s="3"/>
      <c r="QNT38" s="3"/>
      <c r="QNU38" s="3"/>
      <c r="QNV38" s="3"/>
      <c r="QNW38" s="3"/>
      <c r="QNX38" s="3"/>
      <c r="QNY38" s="3"/>
      <c r="QNZ38" s="3"/>
      <c r="QOA38" s="3"/>
      <c r="QOB38" s="3"/>
      <c r="QOC38" s="3"/>
      <c r="QOD38" s="3"/>
      <c r="QOE38" s="3"/>
      <c r="QOF38" s="3"/>
      <c r="QOG38" s="3"/>
      <c r="QOH38" s="3"/>
      <c r="QOI38" s="3"/>
      <c r="QOJ38" s="3"/>
      <c r="QOK38" s="3"/>
      <c r="QOL38" s="3"/>
      <c r="QOM38" s="3"/>
      <c r="QON38" s="3"/>
      <c r="QOO38" s="3"/>
      <c r="QOP38" s="3"/>
      <c r="QOQ38" s="3"/>
      <c r="QOR38" s="3"/>
      <c r="QOS38" s="3"/>
      <c r="QOT38" s="3"/>
      <c r="QOU38" s="3"/>
      <c r="QOV38" s="3"/>
      <c r="QOW38" s="3"/>
      <c r="QOX38" s="3"/>
      <c r="QOY38" s="3"/>
      <c r="QOZ38" s="3"/>
      <c r="QPA38" s="3"/>
      <c r="QPB38" s="3"/>
      <c r="QPC38" s="3"/>
      <c r="QPD38" s="3"/>
      <c r="QPE38" s="3"/>
      <c r="QPF38" s="3"/>
      <c r="QPG38" s="3"/>
      <c r="QPH38" s="3"/>
      <c r="QPI38" s="3"/>
      <c r="QPJ38" s="3"/>
      <c r="QPK38" s="3"/>
      <c r="QPL38" s="3"/>
      <c r="QPM38" s="3"/>
      <c r="QPN38" s="3"/>
      <c r="QPO38" s="3"/>
      <c r="QPP38" s="3"/>
      <c r="QPQ38" s="3"/>
      <c r="QPR38" s="3"/>
      <c r="QPS38" s="3"/>
      <c r="QPT38" s="3"/>
      <c r="QPU38" s="3"/>
      <c r="QPV38" s="3"/>
      <c r="QPW38" s="3"/>
      <c r="QPX38" s="3"/>
      <c r="QPY38" s="3"/>
      <c r="QPZ38" s="3"/>
      <c r="QQA38" s="3"/>
      <c r="QQB38" s="3"/>
      <c r="QQC38" s="3"/>
      <c r="QQD38" s="3"/>
      <c r="QQE38" s="3"/>
      <c r="QQF38" s="3"/>
      <c r="QQG38" s="3"/>
      <c r="QQH38" s="3"/>
      <c r="QQI38" s="3"/>
      <c r="QQJ38" s="3"/>
      <c r="QQK38" s="3"/>
      <c r="QQL38" s="3"/>
      <c r="QQM38" s="3"/>
      <c r="QQN38" s="3"/>
      <c r="QQO38" s="3"/>
      <c r="QQP38" s="3"/>
      <c r="QQQ38" s="3"/>
      <c r="QQR38" s="3"/>
      <c r="QQS38" s="3"/>
      <c r="QQT38" s="3"/>
      <c r="QQU38" s="3"/>
      <c r="QQV38" s="3"/>
      <c r="QQW38" s="3"/>
      <c r="QQX38" s="3"/>
      <c r="QQY38" s="3"/>
      <c r="QQZ38" s="3"/>
      <c r="QRA38" s="3"/>
      <c r="QRB38" s="3"/>
      <c r="QRC38" s="3"/>
      <c r="QRD38" s="3"/>
      <c r="QRE38" s="3"/>
      <c r="QRF38" s="3"/>
      <c r="QRG38" s="3"/>
      <c r="QRH38" s="3"/>
      <c r="QRI38" s="3"/>
      <c r="QRJ38" s="3"/>
      <c r="QRK38" s="3"/>
      <c r="QRL38" s="3"/>
      <c r="QRM38" s="3"/>
      <c r="QRN38" s="3"/>
      <c r="QRO38" s="3"/>
      <c r="QRP38" s="3"/>
      <c r="QRQ38" s="3"/>
      <c r="QRR38" s="3"/>
      <c r="QRS38" s="3"/>
      <c r="QRT38" s="3"/>
      <c r="QRU38" s="3"/>
      <c r="QRV38" s="3"/>
      <c r="QRW38" s="3"/>
      <c r="QRX38" s="3"/>
      <c r="QRY38" s="3"/>
      <c r="QRZ38" s="3"/>
      <c r="QSA38" s="3"/>
      <c r="QSB38" s="3"/>
      <c r="QSC38" s="3"/>
      <c r="QSD38" s="3"/>
      <c r="QSE38" s="3"/>
      <c r="QSF38" s="3"/>
      <c r="QSG38" s="3"/>
      <c r="QSH38" s="3"/>
      <c r="QSI38" s="3"/>
      <c r="QSJ38" s="3"/>
      <c r="QSK38" s="3"/>
      <c r="QSL38" s="3"/>
      <c r="QSM38" s="3"/>
      <c r="QSN38" s="3"/>
      <c r="QSO38" s="3"/>
      <c r="QSP38" s="3"/>
      <c r="QSQ38" s="3"/>
      <c r="QSR38" s="3"/>
      <c r="QSS38" s="3"/>
      <c r="QST38" s="3"/>
      <c r="QSU38" s="3"/>
      <c r="QSV38" s="3"/>
      <c r="QSW38" s="3"/>
      <c r="QSX38" s="3"/>
      <c r="QSY38" s="3"/>
      <c r="QSZ38" s="3"/>
      <c r="QTA38" s="3"/>
      <c r="QTB38" s="3"/>
      <c r="QTC38" s="3"/>
      <c r="QTD38" s="3"/>
      <c r="QTE38" s="3"/>
      <c r="QTF38" s="3"/>
      <c r="QTG38" s="3"/>
      <c r="QTH38" s="3"/>
      <c r="QTI38" s="3"/>
      <c r="QTJ38" s="3"/>
      <c r="QTK38" s="3"/>
      <c r="QTL38" s="3"/>
      <c r="QTM38" s="3"/>
      <c r="QTN38" s="3"/>
      <c r="QTO38" s="3"/>
      <c r="QTP38" s="3"/>
      <c r="QTQ38" s="3"/>
      <c r="QTR38" s="3"/>
      <c r="QTS38" s="3"/>
      <c r="QTT38" s="3"/>
      <c r="QTU38" s="3"/>
      <c r="QTV38" s="3"/>
      <c r="QTW38" s="3"/>
      <c r="QTX38" s="3"/>
      <c r="QTY38" s="3"/>
      <c r="QTZ38" s="3"/>
      <c r="QUA38" s="3"/>
      <c r="QUB38" s="3"/>
      <c r="QUC38" s="3"/>
      <c r="QUD38" s="3"/>
      <c r="QUE38" s="3"/>
      <c r="QUF38" s="3"/>
      <c r="QUG38" s="3"/>
      <c r="QUH38" s="3"/>
      <c r="QUI38" s="3"/>
      <c r="QUJ38" s="3"/>
      <c r="QUK38" s="3"/>
      <c r="QUL38" s="3"/>
      <c r="QUM38" s="3"/>
      <c r="QUN38" s="3"/>
      <c r="QUO38" s="3"/>
      <c r="QUP38" s="3"/>
      <c r="QUQ38" s="3"/>
      <c r="QUR38" s="3"/>
      <c r="QUS38" s="3"/>
      <c r="QUT38" s="3"/>
      <c r="QUU38" s="3"/>
      <c r="QUV38" s="3"/>
      <c r="QUW38" s="3"/>
      <c r="QUX38" s="3"/>
      <c r="QUY38" s="3"/>
      <c r="QUZ38" s="3"/>
      <c r="QVA38" s="3"/>
      <c r="QVB38" s="3"/>
      <c r="QVC38" s="3"/>
      <c r="QVD38" s="3"/>
      <c r="QVE38" s="3"/>
      <c r="QVF38" s="3"/>
      <c r="QVG38" s="3"/>
      <c r="QVH38" s="3"/>
      <c r="QVI38" s="3"/>
      <c r="QVJ38" s="3"/>
      <c r="QVK38" s="3"/>
      <c r="QVL38" s="3"/>
      <c r="QVM38" s="3"/>
      <c r="QVN38" s="3"/>
      <c r="QVO38" s="3"/>
      <c r="QVP38" s="3"/>
      <c r="QVQ38" s="3"/>
      <c r="QVR38" s="3"/>
      <c r="QVS38" s="3"/>
      <c r="QVT38" s="3"/>
      <c r="QVU38" s="3"/>
      <c r="QVV38" s="3"/>
      <c r="QVW38" s="3"/>
      <c r="QVX38" s="3"/>
      <c r="QVY38" s="3"/>
      <c r="QVZ38" s="3"/>
      <c r="QWA38" s="3"/>
      <c r="QWB38" s="3"/>
      <c r="QWC38" s="3"/>
      <c r="QWD38" s="3"/>
      <c r="QWE38" s="3"/>
      <c r="QWF38" s="3"/>
      <c r="QWG38" s="3"/>
      <c r="QWH38" s="3"/>
      <c r="QWI38" s="3"/>
      <c r="QWJ38" s="3"/>
      <c r="QWK38" s="3"/>
      <c r="QWL38" s="3"/>
      <c r="QWM38" s="3"/>
      <c r="QWN38" s="3"/>
      <c r="QWO38" s="3"/>
      <c r="QWP38" s="3"/>
      <c r="QWQ38" s="3"/>
      <c r="QWR38" s="3"/>
      <c r="QWS38" s="3"/>
      <c r="QWT38" s="3"/>
      <c r="QWU38" s="3"/>
      <c r="QWV38" s="3"/>
      <c r="QWW38" s="3"/>
      <c r="QWX38" s="3"/>
      <c r="QWY38" s="3"/>
      <c r="QWZ38" s="3"/>
      <c r="QXA38" s="3"/>
      <c r="QXB38" s="3"/>
      <c r="QXC38" s="3"/>
      <c r="QXD38" s="3"/>
      <c r="QXE38" s="3"/>
      <c r="QXF38" s="3"/>
      <c r="QXG38" s="3"/>
      <c r="QXH38" s="3"/>
      <c r="QXI38" s="3"/>
      <c r="QXJ38" s="3"/>
      <c r="QXK38" s="3"/>
      <c r="QXL38" s="3"/>
      <c r="QXM38" s="3"/>
      <c r="QXN38" s="3"/>
      <c r="QXO38" s="3"/>
      <c r="QXP38" s="3"/>
      <c r="QXQ38" s="3"/>
      <c r="QXR38" s="3"/>
      <c r="QXS38" s="3"/>
      <c r="QXT38" s="3"/>
      <c r="QXU38" s="3"/>
      <c r="QXV38" s="3"/>
      <c r="QXW38" s="3"/>
      <c r="QXX38" s="3"/>
      <c r="QXY38" s="3"/>
      <c r="QXZ38" s="3"/>
      <c r="QYA38" s="3"/>
      <c r="QYB38" s="3"/>
      <c r="QYC38" s="3"/>
      <c r="QYD38" s="3"/>
      <c r="QYE38" s="3"/>
      <c r="QYF38" s="3"/>
      <c r="QYG38" s="3"/>
      <c r="QYH38" s="3"/>
      <c r="QYI38" s="3"/>
      <c r="QYJ38" s="3"/>
      <c r="QYK38" s="3"/>
      <c r="QYL38" s="3"/>
      <c r="QYM38" s="3"/>
      <c r="QYN38" s="3"/>
      <c r="QYO38" s="3"/>
      <c r="QYP38" s="3"/>
      <c r="QYQ38" s="3"/>
      <c r="QYR38" s="3"/>
      <c r="QYS38" s="3"/>
      <c r="QYT38" s="3"/>
      <c r="QYU38" s="3"/>
      <c r="QYV38" s="3"/>
      <c r="QYW38" s="3"/>
      <c r="QYX38" s="3"/>
      <c r="QYY38" s="3"/>
      <c r="QYZ38" s="3"/>
      <c r="QZA38" s="3"/>
      <c r="QZB38" s="3"/>
      <c r="QZC38" s="3"/>
      <c r="QZD38" s="3"/>
      <c r="QZE38" s="3"/>
      <c r="QZF38" s="3"/>
      <c r="QZG38" s="3"/>
      <c r="QZH38" s="3"/>
      <c r="QZI38" s="3"/>
      <c r="QZJ38" s="3"/>
      <c r="QZK38" s="3"/>
      <c r="QZL38" s="3"/>
      <c r="QZM38" s="3"/>
      <c r="QZN38" s="3"/>
      <c r="QZO38" s="3"/>
      <c r="QZP38" s="3"/>
      <c r="QZQ38" s="3"/>
      <c r="QZR38" s="3"/>
      <c r="QZS38" s="3"/>
      <c r="QZT38" s="3"/>
      <c r="QZU38" s="3"/>
      <c r="QZV38" s="3"/>
      <c r="QZW38" s="3"/>
      <c r="QZX38" s="3"/>
      <c r="QZY38" s="3"/>
      <c r="QZZ38" s="3"/>
      <c r="RAA38" s="3"/>
      <c r="RAB38" s="3"/>
      <c r="RAC38" s="3"/>
      <c r="RAD38" s="3"/>
      <c r="RAE38" s="3"/>
      <c r="RAF38" s="3"/>
      <c r="RAG38" s="3"/>
      <c r="RAH38" s="3"/>
      <c r="RAI38" s="3"/>
      <c r="RAJ38" s="3"/>
      <c r="RAK38" s="3"/>
      <c r="RAL38" s="3"/>
      <c r="RAM38" s="3"/>
      <c r="RAN38" s="3"/>
      <c r="RAO38" s="3"/>
      <c r="RAP38" s="3"/>
      <c r="RAQ38" s="3"/>
      <c r="RAR38" s="3"/>
      <c r="RAS38" s="3"/>
      <c r="RAT38" s="3"/>
      <c r="RAU38" s="3"/>
      <c r="RAV38" s="3"/>
      <c r="RAW38" s="3"/>
      <c r="RAX38" s="3"/>
      <c r="RAY38" s="3"/>
      <c r="RAZ38" s="3"/>
      <c r="RBA38" s="3"/>
      <c r="RBB38" s="3"/>
      <c r="RBC38" s="3"/>
      <c r="RBD38" s="3"/>
      <c r="RBE38" s="3"/>
      <c r="RBF38" s="3"/>
      <c r="RBG38" s="3"/>
      <c r="RBH38" s="3"/>
      <c r="RBI38" s="3"/>
      <c r="RBJ38" s="3"/>
      <c r="RBK38" s="3"/>
      <c r="RBL38" s="3"/>
      <c r="RBM38" s="3"/>
      <c r="RBN38" s="3"/>
      <c r="RBO38" s="3"/>
      <c r="RBP38" s="3"/>
      <c r="RBQ38" s="3"/>
      <c r="RBR38" s="3"/>
      <c r="RBS38" s="3"/>
      <c r="RBT38" s="3"/>
      <c r="RBU38" s="3"/>
      <c r="RBV38" s="3"/>
      <c r="RBW38" s="3"/>
      <c r="RBX38" s="3"/>
      <c r="RBY38" s="3"/>
      <c r="RBZ38" s="3"/>
      <c r="RCA38" s="3"/>
      <c r="RCB38" s="3"/>
      <c r="RCC38" s="3"/>
      <c r="RCD38" s="3"/>
      <c r="RCE38" s="3"/>
      <c r="RCF38" s="3"/>
      <c r="RCG38" s="3"/>
      <c r="RCH38" s="3"/>
      <c r="RCI38" s="3"/>
      <c r="RCJ38" s="3"/>
      <c r="RCK38" s="3"/>
      <c r="RCL38" s="3"/>
      <c r="RCM38" s="3"/>
      <c r="RCN38" s="3"/>
      <c r="RCO38" s="3"/>
      <c r="RCP38" s="3"/>
      <c r="RCQ38" s="3"/>
      <c r="RCR38" s="3"/>
      <c r="RCS38" s="3"/>
      <c r="RCT38" s="3"/>
      <c r="RCU38" s="3"/>
      <c r="RCV38" s="3"/>
      <c r="RCW38" s="3"/>
      <c r="RCX38" s="3"/>
      <c r="RCY38" s="3"/>
      <c r="RCZ38" s="3"/>
      <c r="RDA38" s="3"/>
      <c r="RDB38" s="3"/>
      <c r="RDC38" s="3"/>
      <c r="RDD38" s="3"/>
      <c r="RDE38" s="3"/>
      <c r="RDF38" s="3"/>
      <c r="RDG38" s="3"/>
      <c r="RDH38" s="3"/>
      <c r="RDI38" s="3"/>
      <c r="RDJ38" s="3"/>
      <c r="RDK38" s="3"/>
      <c r="RDL38" s="3"/>
      <c r="RDM38" s="3"/>
      <c r="RDN38" s="3"/>
      <c r="RDO38" s="3"/>
      <c r="RDP38" s="3"/>
      <c r="RDQ38" s="3"/>
      <c r="RDR38" s="3"/>
      <c r="RDS38" s="3"/>
      <c r="RDT38" s="3"/>
      <c r="RDU38" s="3"/>
      <c r="RDV38" s="3"/>
      <c r="RDW38" s="3"/>
      <c r="RDX38" s="3"/>
      <c r="RDY38" s="3"/>
      <c r="RDZ38" s="3"/>
      <c r="REA38" s="3"/>
      <c r="REB38" s="3"/>
      <c r="REC38" s="3"/>
      <c r="RED38" s="3"/>
      <c r="REE38" s="3"/>
      <c r="REF38" s="3"/>
      <c r="REG38" s="3"/>
      <c r="REH38" s="3"/>
      <c r="REI38" s="3"/>
      <c r="REJ38" s="3"/>
      <c r="REK38" s="3"/>
      <c r="REL38" s="3"/>
      <c r="REM38" s="3"/>
      <c r="REN38" s="3"/>
      <c r="REO38" s="3"/>
      <c r="REP38" s="3"/>
      <c r="REQ38" s="3"/>
      <c r="RER38" s="3"/>
      <c r="RES38" s="3"/>
      <c r="RET38" s="3"/>
      <c r="REU38" s="3"/>
      <c r="REV38" s="3"/>
      <c r="REW38" s="3"/>
      <c r="REX38" s="3"/>
      <c r="REY38" s="3"/>
      <c r="REZ38" s="3"/>
      <c r="RFA38" s="3"/>
      <c r="RFB38" s="3"/>
      <c r="RFC38" s="3"/>
      <c r="RFD38" s="3"/>
      <c r="RFE38" s="3"/>
      <c r="RFF38" s="3"/>
      <c r="RFG38" s="3"/>
      <c r="RFH38" s="3"/>
      <c r="RFI38" s="3"/>
      <c r="RFJ38" s="3"/>
      <c r="RFK38" s="3"/>
      <c r="RFL38" s="3"/>
      <c r="RFM38" s="3"/>
      <c r="RFN38" s="3"/>
      <c r="RFO38" s="3"/>
      <c r="RFP38" s="3"/>
      <c r="RFQ38" s="3"/>
      <c r="RFR38" s="3"/>
      <c r="RFS38" s="3"/>
      <c r="RFT38" s="3"/>
      <c r="RFU38" s="3"/>
      <c r="RFV38" s="3"/>
      <c r="RFW38" s="3"/>
      <c r="RFX38" s="3"/>
      <c r="RFY38" s="3"/>
      <c r="RFZ38" s="3"/>
      <c r="RGA38" s="3"/>
      <c r="RGB38" s="3"/>
      <c r="RGC38" s="3"/>
      <c r="RGD38" s="3"/>
      <c r="RGE38" s="3"/>
      <c r="RGF38" s="3"/>
      <c r="RGG38" s="3"/>
      <c r="RGH38" s="3"/>
      <c r="RGI38" s="3"/>
      <c r="RGJ38" s="3"/>
      <c r="RGK38" s="3"/>
      <c r="RGL38" s="3"/>
      <c r="RGM38" s="3"/>
      <c r="RGN38" s="3"/>
      <c r="RGO38" s="3"/>
      <c r="RGP38" s="3"/>
      <c r="RGQ38" s="3"/>
      <c r="RGR38" s="3"/>
      <c r="RGS38" s="3"/>
      <c r="RGT38" s="3"/>
      <c r="RGU38" s="3"/>
      <c r="RGV38" s="3"/>
      <c r="RGW38" s="3"/>
      <c r="RGX38" s="3"/>
      <c r="RGY38" s="3"/>
      <c r="RGZ38" s="3"/>
      <c r="RHA38" s="3"/>
      <c r="RHB38" s="3"/>
      <c r="RHC38" s="3"/>
      <c r="RHD38" s="3"/>
      <c r="RHE38" s="3"/>
      <c r="RHF38" s="3"/>
      <c r="RHG38" s="3"/>
      <c r="RHH38" s="3"/>
      <c r="RHI38" s="3"/>
      <c r="RHJ38" s="3"/>
      <c r="RHK38" s="3"/>
      <c r="RHL38" s="3"/>
      <c r="RHM38" s="3"/>
      <c r="RHN38" s="3"/>
      <c r="RHO38" s="3"/>
      <c r="RHP38" s="3"/>
      <c r="RHQ38" s="3"/>
      <c r="RHR38" s="3"/>
      <c r="RHS38" s="3"/>
      <c r="RHT38" s="3"/>
      <c r="RHU38" s="3"/>
      <c r="RHV38" s="3"/>
      <c r="RHW38" s="3"/>
      <c r="RHX38" s="3"/>
      <c r="RHY38" s="3"/>
      <c r="RHZ38" s="3"/>
      <c r="RIA38" s="3"/>
      <c r="RIB38" s="3"/>
      <c r="RIC38" s="3"/>
      <c r="RID38" s="3"/>
      <c r="RIE38" s="3"/>
      <c r="RIF38" s="3"/>
      <c r="RIG38" s="3"/>
      <c r="RIH38" s="3"/>
      <c r="RII38" s="3"/>
      <c r="RIJ38" s="3"/>
      <c r="RIK38" s="3"/>
      <c r="RIL38" s="3"/>
      <c r="RIM38" s="3"/>
      <c r="RIN38" s="3"/>
      <c r="RIO38" s="3"/>
      <c r="RIP38" s="3"/>
      <c r="RIQ38" s="3"/>
      <c r="RIR38" s="3"/>
      <c r="RIS38" s="3"/>
      <c r="RIT38" s="3"/>
      <c r="RIU38" s="3"/>
      <c r="RIV38" s="3"/>
      <c r="RIW38" s="3"/>
      <c r="RIX38" s="3"/>
      <c r="RIY38" s="3"/>
      <c r="RIZ38" s="3"/>
      <c r="RJA38" s="3"/>
      <c r="RJB38" s="3"/>
      <c r="RJC38" s="3"/>
      <c r="RJD38" s="3"/>
      <c r="RJE38" s="3"/>
      <c r="RJF38" s="3"/>
      <c r="RJG38" s="3"/>
      <c r="RJH38" s="3"/>
      <c r="RJI38" s="3"/>
      <c r="RJJ38" s="3"/>
      <c r="RJK38" s="3"/>
      <c r="RJL38" s="3"/>
      <c r="RJM38" s="3"/>
      <c r="RJN38" s="3"/>
      <c r="RJO38" s="3"/>
      <c r="RJP38" s="3"/>
      <c r="RJQ38" s="3"/>
      <c r="RJR38" s="3"/>
      <c r="RJS38" s="3"/>
      <c r="RJT38" s="3"/>
      <c r="RJU38" s="3"/>
      <c r="RJV38" s="3"/>
      <c r="RJW38" s="3"/>
      <c r="RJX38" s="3"/>
      <c r="RJY38" s="3"/>
      <c r="RJZ38" s="3"/>
      <c r="RKA38" s="3"/>
      <c r="RKB38" s="3"/>
      <c r="RKC38" s="3"/>
      <c r="RKD38" s="3"/>
      <c r="RKE38" s="3"/>
      <c r="RKF38" s="3"/>
      <c r="RKG38" s="3"/>
      <c r="RKH38" s="3"/>
      <c r="RKI38" s="3"/>
      <c r="RKJ38" s="3"/>
      <c r="RKK38" s="3"/>
      <c r="RKL38" s="3"/>
      <c r="RKM38" s="3"/>
      <c r="RKN38" s="3"/>
      <c r="RKO38" s="3"/>
      <c r="RKP38" s="3"/>
      <c r="RKQ38" s="3"/>
      <c r="RKR38" s="3"/>
      <c r="RKS38" s="3"/>
      <c r="RKT38" s="3"/>
      <c r="RKU38" s="3"/>
      <c r="RKV38" s="3"/>
      <c r="RKW38" s="3"/>
      <c r="RKX38" s="3"/>
      <c r="RKY38" s="3"/>
      <c r="RKZ38" s="3"/>
      <c r="RLA38" s="3"/>
      <c r="RLB38" s="3"/>
      <c r="RLC38" s="3"/>
      <c r="RLD38" s="3"/>
      <c r="RLE38" s="3"/>
      <c r="RLF38" s="3"/>
      <c r="RLG38" s="3"/>
      <c r="RLH38" s="3"/>
      <c r="RLI38" s="3"/>
      <c r="RLJ38" s="3"/>
      <c r="RLK38" s="3"/>
      <c r="RLL38" s="3"/>
      <c r="RLM38" s="3"/>
      <c r="RLN38" s="3"/>
      <c r="RLO38" s="3"/>
      <c r="RLP38" s="3"/>
      <c r="RLQ38" s="3"/>
      <c r="RLR38" s="3"/>
      <c r="RLS38" s="3"/>
      <c r="RLT38" s="3"/>
      <c r="RLU38" s="3"/>
      <c r="RLV38" s="3"/>
      <c r="RLW38" s="3"/>
      <c r="RLX38" s="3"/>
      <c r="RLY38" s="3"/>
      <c r="RLZ38" s="3"/>
      <c r="RMA38" s="3"/>
      <c r="RMB38" s="3"/>
      <c r="RMC38" s="3"/>
      <c r="RMD38" s="3"/>
      <c r="RME38" s="3"/>
      <c r="RMF38" s="3"/>
      <c r="RMG38" s="3"/>
      <c r="RMH38" s="3"/>
      <c r="RMI38" s="3"/>
      <c r="RMJ38" s="3"/>
      <c r="RMK38" s="3"/>
      <c r="RML38" s="3"/>
      <c r="RMM38" s="3"/>
      <c r="RMN38" s="3"/>
      <c r="RMO38" s="3"/>
      <c r="RMP38" s="3"/>
      <c r="RMQ38" s="3"/>
      <c r="RMR38" s="3"/>
      <c r="RMS38" s="3"/>
      <c r="RMT38" s="3"/>
      <c r="RMU38" s="3"/>
      <c r="RMV38" s="3"/>
      <c r="RMW38" s="3"/>
      <c r="RMX38" s="3"/>
      <c r="RMY38" s="3"/>
      <c r="RMZ38" s="3"/>
      <c r="RNA38" s="3"/>
      <c r="RNB38" s="3"/>
      <c r="RNC38" s="3"/>
      <c r="RND38" s="3"/>
      <c r="RNE38" s="3"/>
      <c r="RNF38" s="3"/>
      <c r="RNG38" s="3"/>
      <c r="RNH38" s="3"/>
      <c r="RNI38" s="3"/>
      <c r="RNJ38" s="3"/>
      <c r="RNK38" s="3"/>
      <c r="RNL38" s="3"/>
      <c r="RNM38" s="3"/>
      <c r="RNN38" s="3"/>
      <c r="RNO38" s="3"/>
      <c r="RNP38" s="3"/>
      <c r="RNQ38" s="3"/>
      <c r="RNR38" s="3"/>
      <c r="RNS38" s="3"/>
      <c r="RNT38" s="3"/>
      <c r="RNU38" s="3"/>
      <c r="RNV38" s="3"/>
      <c r="RNW38" s="3"/>
      <c r="RNX38" s="3"/>
      <c r="RNY38" s="3"/>
      <c r="RNZ38" s="3"/>
      <c r="ROA38" s="3"/>
      <c r="ROB38" s="3"/>
      <c r="ROC38" s="3"/>
      <c r="ROD38" s="3"/>
      <c r="ROE38" s="3"/>
      <c r="ROF38" s="3"/>
      <c r="ROG38" s="3"/>
      <c r="ROH38" s="3"/>
      <c r="ROI38" s="3"/>
      <c r="ROJ38" s="3"/>
      <c r="ROK38" s="3"/>
      <c r="ROL38" s="3"/>
      <c r="ROM38" s="3"/>
      <c r="RON38" s="3"/>
      <c r="ROO38" s="3"/>
      <c r="ROP38" s="3"/>
      <c r="ROQ38" s="3"/>
      <c r="ROR38" s="3"/>
      <c r="ROS38" s="3"/>
      <c r="ROT38" s="3"/>
      <c r="ROU38" s="3"/>
      <c r="ROV38" s="3"/>
      <c r="ROW38" s="3"/>
      <c r="ROX38" s="3"/>
      <c r="ROY38" s="3"/>
      <c r="ROZ38" s="3"/>
      <c r="RPA38" s="3"/>
      <c r="RPB38" s="3"/>
      <c r="RPC38" s="3"/>
      <c r="RPD38" s="3"/>
      <c r="RPE38" s="3"/>
      <c r="RPF38" s="3"/>
      <c r="RPG38" s="3"/>
      <c r="RPH38" s="3"/>
      <c r="RPI38" s="3"/>
      <c r="RPJ38" s="3"/>
      <c r="RPK38" s="3"/>
      <c r="RPL38" s="3"/>
      <c r="RPM38" s="3"/>
      <c r="RPN38" s="3"/>
      <c r="RPO38" s="3"/>
      <c r="RPP38" s="3"/>
      <c r="RPQ38" s="3"/>
      <c r="RPR38" s="3"/>
      <c r="RPS38" s="3"/>
      <c r="RPT38" s="3"/>
      <c r="RPU38" s="3"/>
      <c r="RPV38" s="3"/>
      <c r="RPW38" s="3"/>
      <c r="RPX38" s="3"/>
      <c r="RPY38" s="3"/>
      <c r="RPZ38" s="3"/>
      <c r="RQA38" s="3"/>
      <c r="RQB38" s="3"/>
      <c r="RQC38" s="3"/>
      <c r="RQD38" s="3"/>
      <c r="RQE38" s="3"/>
      <c r="RQF38" s="3"/>
      <c r="RQG38" s="3"/>
      <c r="RQH38" s="3"/>
      <c r="RQI38" s="3"/>
      <c r="RQJ38" s="3"/>
      <c r="RQK38" s="3"/>
      <c r="RQL38" s="3"/>
      <c r="RQM38" s="3"/>
      <c r="RQN38" s="3"/>
      <c r="RQO38" s="3"/>
      <c r="RQP38" s="3"/>
      <c r="RQQ38" s="3"/>
      <c r="RQR38" s="3"/>
      <c r="RQS38" s="3"/>
      <c r="RQT38" s="3"/>
      <c r="RQU38" s="3"/>
      <c r="RQV38" s="3"/>
      <c r="RQW38" s="3"/>
      <c r="RQX38" s="3"/>
      <c r="RQY38" s="3"/>
      <c r="RQZ38" s="3"/>
      <c r="RRA38" s="3"/>
      <c r="RRB38" s="3"/>
      <c r="RRC38" s="3"/>
      <c r="RRD38" s="3"/>
      <c r="RRE38" s="3"/>
      <c r="RRF38" s="3"/>
      <c r="RRG38" s="3"/>
      <c r="RRH38" s="3"/>
      <c r="RRI38" s="3"/>
      <c r="RRJ38" s="3"/>
      <c r="RRK38" s="3"/>
      <c r="RRL38" s="3"/>
      <c r="RRM38" s="3"/>
      <c r="RRN38" s="3"/>
      <c r="RRO38" s="3"/>
      <c r="RRP38" s="3"/>
      <c r="RRQ38" s="3"/>
      <c r="RRR38" s="3"/>
      <c r="RRS38" s="3"/>
      <c r="RRT38" s="3"/>
      <c r="RRU38" s="3"/>
      <c r="RRV38" s="3"/>
      <c r="RRW38" s="3"/>
      <c r="RRX38" s="3"/>
      <c r="RRY38" s="3"/>
      <c r="RRZ38" s="3"/>
      <c r="RSA38" s="3"/>
      <c r="RSB38" s="3"/>
      <c r="RSC38" s="3"/>
      <c r="RSD38" s="3"/>
      <c r="RSE38" s="3"/>
      <c r="RSF38" s="3"/>
      <c r="RSG38" s="3"/>
      <c r="RSH38" s="3"/>
      <c r="RSI38" s="3"/>
      <c r="RSJ38" s="3"/>
      <c r="RSK38" s="3"/>
      <c r="RSL38" s="3"/>
      <c r="RSM38" s="3"/>
      <c r="RSN38" s="3"/>
      <c r="RSO38" s="3"/>
      <c r="RSP38" s="3"/>
      <c r="RSQ38" s="3"/>
      <c r="RSR38" s="3"/>
      <c r="RSS38" s="3"/>
      <c r="RST38" s="3"/>
      <c r="RSU38" s="3"/>
      <c r="RSV38" s="3"/>
      <c r="RSW38" s="3"/>
      <c r="RSX38" s="3"/>
      <c r="RSY38" s="3"/>
      <c r="RSZ38" s="3"/>
      <c r="RTA38" s="3"/>
      <c r="RTB38" s="3"/>
      <c r="RTC38" s="3"/>
      <c r="RTD38" s="3"/>
      <c r="RTE38" s="3"/>
      <c r="RTF38" s="3"/>
      <c r="RTG38" s="3"/>
      <c r="RTH38" s="3"/>
      <c r="RTI38" s="3"/>
      <c r="RTJ38" s="3"/>
      <c r="RTK38" s="3"/>
      <c r="RTL38" s="3"/>
      <c r="RTM38" s="3"/>
      <c r="RTN38" s="3"/>
      <c r="RTO38" s="3"/>
      <c r="RTP38" s="3"/>
      <c r="RTQ38" s="3"/>
      <c r="RTR38" s="3"/>
      <c r="RTS38" s="3"/>
      <c r="RTT38" s="3"/>
      <c r="RTU38" s="3"/>
      <c r="RTV38" s="3"/>
      <c r="RTW38" s="3"/>
      <c r="RTX38" s="3"/>
      <c r="RTY38" s="3"/>
      <c r="RTZ38" s="3"/>
      <c r="RUA38" s="3"/>
      <c r="RUB38" s="3"/>
      <c r="RUC38" s="3"/>
      <c r="RUD38" s="3"/>
      <c r="RUE38" s="3"/>
      <c r="RUF38" s="3"/>
      <c r="RUG38" s="3"/>
      <c r="RUH38" s="3"/>
      <c r="RUI38" s="3"/>
      <c r="RUJ38" s="3"/>
      <c r="RUK38" s="3"/>
      <c r="RUL38" s="3"/>
      <c r="RUM38" s="3"/>
      <c r="RUN38" s="3"/>
      <c r="RUO38" s="3"/>
      <c r="RUP38" s="3"/>
      <c r="RUQ38" s="3"/>
      <c r="RUR38" s="3"/>
      <c r="RUS38" s="3"/>
      <c r="RUT38" s="3"/>
      <c r="RUU38" s="3"/>
      <c r="RUV38" s="3"/>
      <c r="RUW38" s="3"/>
      <c r="RUX38" s="3"/>
      <c r="RUY38" s="3"/>
      <c r="RUZ38" s="3"/>
      <c r="RVA38" s="3"/>
      <c r="RVB38" s="3"/>
      <c r="RVC38" s="3"/>
      <c r="RVD38" s="3"/>
      <c r="RVE38" s="3"/>
      <c r="RVF38" s="3"/>
      <c r="RVG38" s="3"/>
      <c r="RVH38" s="3"/>
      <c r="RVI38" s="3"/>
      <c r="RVJ38" s="3"/>
      <c r="RVK38" s="3"/>
      <c r="RVL38" s="3"/>
      <c r="RVM38" s="3"/>
      <c r="RVN38" s="3"/>
      <c r="RVO38" s="3"/>
      <c r="RVP38" s="3"/>
      <c r="RVQ38" s="3"/>
      <c r="RVR38" s="3"/>
      <c r="RVS38" s="3"/>
      <c r="RVT38" s="3"/>
      <c r="RVU38" s="3"/>
      <c r="RVV38" s="3"/>
      <c r="RVW38" s="3"/>
      <c r="RVX38" s="3"/>
      <c r="RVY38" s="3"/>
      <c r="RVZ38" s="3"/>
      <c r="RWA38" s="3"/>
      <c r="RWB38" s="3"/>
      <c r="RWC38" s="3"/>
      <c r="RWD38" s="3"/>
      <c r="RWE38" s="3"/>
      <c r="RWF38" s="3"/>
      <c r="RWG38" s="3"/>
      <c r="RWH38" s="3"/>
      <c r="RWI38" s="3"/>
      <c r="RWJ38" s="3"/>
      <c r="RWK38" s="3"/>
      <c r="RWL38" s="3"/>
      <c r="RWM38" s="3"/>
      <c r="RWN38" s="3"/>
      <c r="RWO38" s="3"/>
      <c r="RWP38" s="3"/>
      <c r="RWQ38" s="3"/>
      <c r="RWR38" s="3"/>
      <c r="RWS38" s="3"/>
      <c r="RWT38" s="3"/>
      <c r="RWU38" s="3"/>
      <c r="RWV38" s="3"/>
      <c r="RWW38" s="3"/>
      <c r="RWX38" s="3"/>
      <c r="RWY38" s="3"/>
      <c r="RWZ38" s="3"/>
      <c r="RXA38" s="3"/>
      <c r="RXB38" s="3"/>
      <c r="RXC38" s="3"/>
      <c r="RXD38" s="3"/>
      <c r="RXE38" s="3"/>
      <c r="RXF38" s="3"/>
      <c r="RXG38" s="3"/>
      <c r="RXH38" s="3"/>
      <c r="RXI38" s="3"/>
      <c r="RXJ38" s="3"/>
      <c r="RXK38" s="3"/>
      <c r="RXL38" s="3"/>
      <c r="RXM38" s="3"/>
      <c r="RXN38" s="3"/>
      <c r="RXO38" s="3"/>
      <c r="RXP38" s="3"/>
      <c r="RXQ38" s="3"/>
      <c r="RXR38" s="3"/>
      <c r="RXS38" s="3"/>
      <c r="RXT38" s="3"/>
      <c r="RXU38" s="3"/>
      <c r="RXV38" s="3"/>
      <c r="RXW38" s="3"/>
      <c r="RXX38" s="3"/>
      <c r="RXY38" s="3"/>
      <c r="RXZ38" s="3"/>
      <c r="RYA38" s="3"/>
      <c r="RYB38" s="3"/>
      <c r="RYC38" s="3"/>
      <c r="RYD38" s="3"/>
      <c r="RYE38" s="3"/>
      <c r="RYF38" s="3"/>
      <c r="RYG38" s="3"/>
      <c r="RYH38" s="3"/>
      <c r="RYI38" s="3"/>
      <c r="RYJ38" s="3"/>
      <c r="RYK38" s="3"/>
      <c r="RYL38" s="3"/>
      <c r="RYM38" s="3"/>
      <c r="RYN38" s="3"/>
      <c r="RYO38" s="3"/>
      <c r="RYP38" s="3"/>
      <c r="RYQ38" s="3"/>
      <c r="RYR38" s="3"/>
      <c r="RYS38" s="3"/>
      <c r="RYT38" s="3"/>
      <c r="RYU38" s="3"/>
      <c r="RYV38" s="3"/>
      <c r="RYW38" s="3"/>
      <c r="RYX38" s="3"/>
      <c r="RYY38" s="3"/>
      <c r="RYZ38" s="3"/>
      <c r="RZA38" s="3"/>
      <c r="RZB38" s="3"/>
      <c r="RZC38" s="3"/>
      <c r="RZD38" s="3"/>
      <c r="RZE38" s="3"/>
      <c r="RZF38" s="3"/>
      <c r="RZG38" s="3"/>
      <c r="RZH38" s="3"/>
      <c r="RZI38" s="3"/>
      <c r="RZJ38" s="3"/>
      <c r="RZK38" s="3"/>
      <c r="RZL38" s="3"/>
      <c r="RZM38" s="3"/>
      <c r="RZN38" s="3"/>
      <c r="RZO38" s="3"/>
      <c r="RZP38" s="3"/>
      <c r="RZQ38" s="3"/>
      <c r="RZR38" s="3"/>
      <c r="RZS38" s="3"/>
      <c r="RZT38" s="3"/>
      <c r="RZU38" s="3"/>
      <c r="RZV38" s="3"/>
      <c r="RZW38" s="3"/>
      <c r="RZX38" s="3"/>
      <c r="RZY38" s="3"/>
      <c r="RZZ38" s="3"/>
      <c r="SAA38" s="3"/>
      <c r="SAB38" s="3"/>
      <c r="SAC38" s="3"/>
      <c r="SAD38" s="3"/>
      <c r="SAE38" s="3"/>
      <c r="SAF38" s="3"/>
      <c r="SAG38" s="3"/>
      <c r="SAH38" s="3"/>
      <c r="SAI38" s="3"/>
      <c r="SAJ38" s="3"/>
      <c r="SAK38" s="3"/>
      <c r="SAL38" s="3"/>
      <c r="SAM38" s="3"/>
      <c r="SAN38" s="3"/>
      <c r="SAO38" s="3"/>
      <c r="SAP38" s="3"/>
      <c r="SAQ38" s="3"/>
      <c r="SAR38" s="3"/>
      <c r="SAS38" s="3"/>
      <c r="SAT38" s="3"/>
      <c r="SAU38" s="3"/>
      <c r="SAV38" s="3"/>
      <c r="SAW38" s="3"/>
      <c r="SAX38" s="3"/>
      <c r="SAY38" s="3"/>
      <c r="SAZ38" s="3"/>
      <c r="SBA38" s="3"/>
      <c r="SBB38" s="3"/>
      <c r="SBC38" s="3"/>
      <c r="SBD38" s="3"/>
      <c r="SBE38" s="3"/>
      <c r="SBF38" s="3"/>
      <c r="SBG38" s="3"/>
      <c r="SBH38" s="3"/>
      <c r="SBI38" s="3"/>
      <c r="SBJ38" s="3"/>
      <c r="SBK38" s="3"/>
      <c r="SBL38" s="3"/>
      <c r="SBM38" s="3"/>
      <c r="SBN38" s="3"/>
      <c r="SBO38" s="3"/>
      <c r="SBP38" s="3"/>
      <c r="SBQ38" s="3"/>
      <c r="SBR38" s="3"/>
      <c r="SBS38" s="3"/>
      <c r="SBT38" s="3"/>
      <c r="SBU38" s="3"/>
      <c r="SBV38" s="3"/>
      <c r="SBW38" s="3"/>
      <c r="SBX38" s="3"/>
      <c r="SBY38" s="3"/>
      <c r="SBZ38" s="3"/>
      <c r="SCA38" s="3"/>
      <c r="SCB38" s="3"/>
      <c r="SCC38" s="3"/>
      <c r="SCD38" s="3"/>
      <c r="SCE38" s="3"/>
      <c r="SCF38" s="3"/>
      <c r="SCG38" s="3"/>
      <c r="SCH38" s="3"/>
      <c r="SCI38" s="3"/>
      <c r="SCJ38" s="3"/>
      <c r="SCK38" s="3"/>
      <c r="SCL38" s="3"/>
      <c r="SCM38" s="3"/>
      <c r="SCN38" s="3"/>
      <c r="SCO38" s="3"/>
      <c r="SCP38" s="3"/>
      <c r="SCQ38" s="3"/>
      <c r="SCR38" s="3"/>
      <c r="SCS38" s="3"/>
      <c r="SCT38" s="3"/>
      <c r="SCU38" s="3"/>
      <c r="SCV38" s="3"/>
      <c r="SCW38" s="3"/>
      <c r="SCX38" s="3"/>
      <c r="SCY38" s="3"/>
      <c r="SCZ38" s="3"/>
      <c r="SDA38" s="3"/>
      <c r="SDB38" s="3"/>
      <c r="SDC38" s="3"/>
      <c r="SDD38" s="3"/>
      <c r="SDE38" s="3"/>
      <c r="SDF38" s="3"/>
      <c r="SDG38" s="3"/>
      <c r="SDH38" s="3"/>
      <c r="SDI38" s="3"/>
      <c r="SDJ38" s="3"/>
      <c r="SDK38" s="3"/>
      <c r="SDL38" s="3"/>
      <c r="SDM38" s="3"/>
      <c r="SDN38" s="3"/>
      <c r="SDO38" s="3"/>
      <c r="SDP38" s="3"/>
      <c r="SDQ38" s="3"/>
      <c r="SDR38" s="3"/>
      <c r="SDS38" s="3"/>
      <c r="SDT38" s="3"/>
      <c r="SDU38" s="3"/>
      <c r="SDV38" s="3"/>
      <c r="SDW38" s="3"/>
      <c r="SDX38" s="3"/>
      <c r="SDY38" s="3"/>
      <c r="SDZ38" s="3"/>
      <c r="SEA38" s="3"/>
      <c r="SEB38" s="3"/>
      <c r="SEC38" s="3"/>
      <c r="SED38" s="3"/>
      <c r="SEE38" s="3"/>
      <c r="SEF38" s="3"/>
      <c r="SEG38" s="3"/>
      <c r="SEH38" s="3"/>
      <c r="SEI38" s="3"/>
      <c r="SEJ38" s="3"/>
      <c r="SEK38" s="3"/>
      <c r="SEL38" s="3"/>
      <c r="SEM38" s="3"/>
      <c r="SEN38" s="3"/>
      <c r="SEO38" s="3"/>
      <c r="SEP38" s="3"/>
      <c r="SEQ38" s="3"/>
      <c r="SER38" s="3"/>
      <c r="SES38" s="3"/>
      <c r="SET38" s="3"/>
      <c r="SEU38" s="3"/>
      <c r="SEV38" s="3"/>
      <c r="SEW38" s="3"/>
      <c r="SEX38" s="3"/>
      <c r="SEY38" s="3"/>
      <c r="SEZ38" s="3"/>
      <c r="SFA38" s="3"/>
      <c r="SFB38" s="3"/>
      <c r="SFC38" s="3"/>
      <c r="SFD38" s="3"/>
      <c r="SFE38" s="3"/>
      <c r="SFF38" s="3"/>
      <c r="SFG38" s="3"/>
      <c r="SFH38" s="3"/>
      <c r="SFI38" s="3"/>
      <c r="SFJ38" s="3"/>
      <c r="SFK38" s="3"/>
      <c r="SFL38" s="3"/>
      <c r="SFM38" s="3"/>
      <c r="SFN38" s="3"/>
      <c r="SFO38" s="3"/>
      <c r="SFP38" s="3"/>
      <c r="SFQ38" s="3"/>
      <c r="SFR38" s="3"/>
      <c r="SFS38" s="3"/>
      <c r="SFT38" s="3"/>
      <c r="SFU38" s="3"/>
      <c r="SFV38" s="3"/>
      <c r="SFW38" s="3"/>
      <c r="SFX38" s="3"/>
      <c r="SFY38" s="3"/>
      <c r="SFZ38" s="3"/>
      <c r="SGA38" s="3"/>
      <c r="SGB38" s="3"/>
      <c r="SGC38" s="3"/>
      <c r="SGD38" s="3"/>
      <c r="SGE38" s="3"/>
      <c r="SGF38" s="3"/>
      <c r="SGG38" s="3"/>
      <c r="SGH38" s="3"/>
      <c r="SGI38" s="3"/>
      <c r="SGJ38" s="3"/>
      <c r="SGK38" s="3"/>
      <c r="SGL38" s="3"/>
      <c r="SGM38" s="3"/>
      <c r="SGN38" s="3"/>
      <c r="SGO38" s="3"/>
      <c r="SGP38" s="3"/>
      <c r="SGQ38" s="3"/>
      <c r="SGR38" s="3"/>
      <c r="SGS38" s="3"/>
      <c r="SGT38" s="3"/>
      <c r="SGU38" s="3"/>
      <c r="SGV38" s="3"/>
      <c r="SGW38" s="3"/>
      <c r="SGX38" s="3"/>
      <c r="SGY38" s="3"/>
      <c r="SGZ38" s="3"/>
      <c r="SHA38" s="3"/>
      <c r="SHB38" s="3"/>
      <c r="SHC38" s="3"/>
      <c r="SHD38" s="3"/>
      <c r="SHE38" s="3"/>
      <c r="SHF38" s="3"/>
      <c r="SHG38" s="3"/>
      <c r="SHH38" s="3"/>
      <c r="SHI38" s="3"/>
      <c r="SHJ38" s="3"/>
      <c r="SHK38" s="3"/>
      <c r="SHL38" s="3"/>
      <c r="SHM38" s="3"/>
      <c r="SHN38" s="3"/>
      <c r="SHO38" s="3"/>
      <c r="SHP38" s="3"/>
      <c r="SHQ38" s="3"/>
      <c r="SHR38" s="3"/>
      <c r="SHS38" s="3"/>
      <c r="SHT38" s="3"/>
      <c r="SHU38" s="3"/>
      <c r="SHV38" s="3"/>
      <c r="SHW38" s="3"/>
      <c r="SHX38" s="3"/>
      <c r="SHY38" s="3"/>
      <c r="SHZ38" s="3"/>
      <c r="SIA38" s="3"/>
      <c r="SIB38" s="3"/>
      <c r="SIC38" s="3"/>
      <c r="SID38" s="3"/>
      <c r="SIE38" s="3"/>
      <c r="SIF38" s="3"/>
      <c r="SIG38" s="3"/>
      <c r="SIH38" s="3"/>
      <c r="SII38" s="3"/>
      <c r="SIJ38" s="3"/>
      <c r="SIK38" s="3"/>
      <c r="SIL38" s="3"/>
      <c r="SIM38" s="3"/>
      <c r="SIN38" s="3"/>
      <c r="SIO38" s="3"/>
      <c r="SIP38" s="3"/>
      <c r="SIQ38" s="3"/>
      <c r="SIR38" s="3"/>
      <c r="SIS38" s="3"/>
      <c r="SIT38" s="3"/>
      <c r="SIU38" s="3"/>
      <c r="SIV38" s="3"/>
      <c r="SIW38" s="3"/>
      <c r="SIX38" s="3"/>
      <c r="SIY38" s="3"/>
      <c r="SIZ38" s="3"/>
      <c r="SJA38" s="3"/>
      <c r="SJB38" s="3"/>
      <c r="SJC38" s="3"/>
      <c r="SJD38" s="3"/>
      <c r="SJE38" s="3"/>
      <c r="SJF38" s="3"/>
      <c r="SJG38" s="3"/>
      <c r="SJH38" s="3"/>
      <c r="SJI38" s="3"/>
      <c r="SJJ38" s="3"/>
      <c r="SJK38" s="3"/>
      <c r="SJL38" s="3"/>
      <c r="SJM38" s="3"/>
      <c r="SJN38" s="3"/>
      <c r="SJO38" s="3"/>
      <c r="SJP38" s="3"/>
      <c r="SJQ38" s="3"/>
      <c r="SJR38" s="3"/>
      <c r="SJS38" s="3"/>
      <c r="SJT38" s="3"/>
      <c r="SJU38" s="3"/>
      <c r="SJV38" s="3"/>
      <c r="SJW38" s="3"/>
      <c r="SJX38" s="3"/>
      <c r="SJY38" s="3"/>
      <c r="SJZ38" s="3"/>
      <c r="SKA38" s="3"/>
      <c r="SKB38" s="3"/>
      <c r="SKC38" s="3"/>
      <c r="SKD38" s="3"/>
      <c r="SKE38" s="3"/>
      <c r="SKF38" s="3"/>
      <c r="SKG38" s="3"/>
      <c r="SKH38" s="3"/>
      <c r="SKI38" s="3"/>
      <c r="SKJ38" s="3"/>
      <c r="SKK38" s="3"/>
      <c r="SKL38" s="3"/>
      <c r="SKM38" s="3"/>
      <c r="SKN38" s="3"/>
      <c r="SKO38" s="3"/>
      <c r="SKP38" s="3"/>
      <c r="SKQ38" s="3"/>
      <c r="SKR38" s="3"/>
      <c r="SKS38" s="3"/>
      <c r="SKT38" s="3"/>
      <c r="SKU38" s="3"/>
      <c r="SKV38" s="3"/>
      <c r="SKW38" s="3"/>
      <c r="SKX38" s="3"/>
      <c r="SKY38" s="3"/>
      <c r="SKZ38" s="3"/>
      <c r="SLA38" s="3"/>
      <c r="SLB38" s="3"/>
      <c r="SLC38" s="3"/>
      <c r="SLD38" s="3"/>
      <c r="SLE38" s="3"/>
      <c r="SLF38" s="3"/>
      <c r="SLG38" s="3"/>
      <c r="SLH38" s="3"/>
      <c r="SLI38" s="3"/>
      <c r="SLJ38" s="3"/>
      <c r="SLK38" s="3"/>
      <c r="SLL38" s="3"/>
      <c r="SLM38" s="3"/>
      <c r="SLN38" s="3"/>
      <c r="SLO38" s="3"/>
      <c r="SLP38" s="3"/>
      <c r="SLQ38" s="3"/>
      <c r="SLR38" s="3"/>
      <c r="SLS38" s="3"/>
      <c r="SLT38" s="3"/>
      <c r="SLU38" s="3"/>
      <c r="SLV38" s="3"/>
      <c r="SLW38" s="3"/>
      <c r="SLX38" s="3"/>
      <c r="SLY38" s="3"/>
      <c r="SLZ38" s="3"/>
      <c r="SMA38" s="3"/>
      <c r="SMB38" s="3"/>
      <c r="SMC38" s="3"/>
      <c r="SMD38" s="3"/>
      <c r="SME38" s="3"/>
      <c r="SMF38" s="3"/>
      <c r="SMG38" s="3"/>
      <c r="SMH38" s="3"/>
      <c r="SMI38" s="3"/>
      <c r="SMJ38" s="3"/>
      <c r="SMK38" s="3"/>
      <c r="SML38" s="3"/>
      <c r="SMM38" s="3"/>
      <c r="SMN38" s="3"/>
      <c r="SMO38" s="3"/>
      <c r="SMP38" s="3"/>
      <c r="SMQ38" s="3"/>
      <c r="SMR38" s="3"/>
      <c r="SMS38" s="3"/>
      <c r="SMT38" s="3"/>
      <c r="SMU38" s="3"/>
      <c r="SMV38" s="3"/>
      <c r="SMW38" s="3"/>
      <c r="SMX38" s="3"/>
      <c r="SMY38" s="3"/>
      <c r="SMZ38" s="3"/>
      <c r="SNA38" s="3"/>
      <c r="SNB38" s="3"/>
      <c r="SNC38" s="3"/>
      <c r="SND38" s="3"/>
      <c r="SNE38" s="3"/>
      <c r="SNF38" s="3"/>
      <c r="SNG38" s="3"/>
      <c r="SNH38" s="3"/>
      <c r="SNI38" s="3"/>
      <c r="SNJ38" s="3"/>
      <c r="SNK38" s="3"/>
      <c r="SNL38" s="3"/>
      <c r="SNM38" s="3"/>
      <c r="SNN38" s="3"/>
      <c r="SNO38" s="3"/>
      <c r="SNP38" s="3"/>
      <c r="SNQ38" s="3"/>
      <c r="SNR38" s="3"/>
      <c r="SNS38" s="3"/>
      <c r="SNT38" s="3"/>
      <c r="SNU38" s="3"/>
      <c r="SNV38" s="3"/>
      <c r="SNW38" s="3"/>
      <c r="SNX38" s="3"/>
      <c r="SNY38" s="3"/>
      <c r="SNZ38" s="3"/>
      <c r="SOA38" s="3"/>
      <c r="SOB38" s="3"/>
      <c r="SOC38" s="3"/>
      <c r="SOD38" s="3"/>
      <c r="SOE38" s="3"/>
      <c r="SOF38" s="3"/>
      <c r="SOG38" s="3"/>
      <c r="SOH38" s="3"/>
      <c r="SOI38" s="3"/>
      <c r="SOJ38" s="3"/>
      <c r="SOK38" s="3"/>
      <c r="SOL38" s="3"/>
      <c r="SOM38" s="3"/>
      <c r="SON38" s="3"/>
      <c r="SOO38" s="3"/>
      <c r="SOP38" s="3"/>
      <c r="SOQ38" s="3"/>
      <c r="SOR38" s="3"/>
      <c r="SOS38" s="3"/>
      <c r="SOT38" s="3"/>
      <c r="SOU38" s="3"/>
      <c r="SOV38" s="3"/>
      <c r="SOW38" s="3"/>
      <c r="SOX38" s="3"/>
      <c r="SOY38" s="3"/>
      <c r="SOZ38" s="3"/>
      <c r="SPA38" s="3"/>
      <c r="SPB38" s="3"/>
      <c r="SPC38" s="3"/>
      <c r="SPD38" s="3"/>
      <c r="SPE38" s="3"/>
      <c r="SPF38" s="3"/>
      <c r="SPG38" s="3"/>
      <c r="SPH38" s="3"/>
      <c r="SPI38" s="3"/>
      <c r="SPJ38" s="3"/>
      <c r="SPK38" s="3"/>
      <c r="SPL38" s="3"/>
      <c r="SPM38" s="3"/>
      <c r="SPN38" s="3"/>
      <c r="SPO38" s="3"/>
      <c r="SPP38" s="3"/>
      <c r="SPQ38" s="3"/>
      <c r="SPR38" s="3"/>
      <c r="SPS38" s="3"/>
      <c r="SPT38" s="3"/>
      <c r="SPU38" s="3"/>
      <c r="SPV38" s="3"/>
      <c r="SPW38" s="3"/>
      <c r="SPX38" s="3"/>
      <c r="SPY38" s="3"/>
      <c r="SPZ38" s="3"/>
      <c r="SQA38" s="3"/>
      <c r="SQB38" s="3"/>
      <c r="SQC38" s="3"/>
      <c r="SQD38" s="3"/>
      <c r="SQE38" s="3"/>
      <c r="SQF38" s="3"/>
      <c r="SQG38" s="3"/>
      <c r="SQH38" s="3"/>
      <c r="SQI38" s="3"/>
      <c r="SQJ38" s="3"/>
      <c r="SQK38" s="3"/>
      <c r="SQL38" s="3"/>
      <c r="SQM38" s="3"/>
      <c r="SQN38" s="3"/>
      <c r="SQO38" s="3"/>
      <c r="SQP38" s="3"/>
      <c r="SQQ38" s="3"/>
      <c r="SQR38" s="3"/>
      <c r="SQS38" s="3"/>
      <c r="SQT38" s="3"/>
      <c r="SQU38" s="3"/>
      <c r="SQV38" s="3"/>
      <c r="SQW38" s="3"/>
      <c r="SQX38" s="3"/>
      <c r="SQY38" s="3"/>
      <c r="SQZ38" s="3"/>
      <c r="SRA38" s="3"/>
      <c r="SRB38" s="3"/>
      <c r="SRC38" s="3"/>
      <c r="SRD38" s="3"/>
      <c r="SRE38" s="3"/>
      <c r="SRF38" s="3"/>
      <c r="SRG38" s="3"/>
      <c r="SRH38" s="3"/>
      <c r="SRI38" s="3"/>
      <c r="SRJ38" s="3"/>
      <c r="SRK38" s="3"/>
      <c r="SRL38" s="3"/>
      <c r="SRM38" s="3"/>
      <c r="SRN38" s="3"/>
      <c r="SRO38" s="3"/>
      <c r="SRP38" s="3"/>
      <c r="SRQ38" s="3"/>
      <c r="SRR38" s="3"/>
      <c r="SRS38" s="3"/>
      <c r="SRT38" s="3"/>
      <c r="SRU38" s="3"/>
      <c r="SRV38" s="3"/>
      <c r="SRW38" s="3"/>
      <c r="SRX38" s="3"/>
      <c r="SRY38" s="3"/>
      <c r="SRZ38" s="3"/>
      <c r="SSA38" s="3"/>
      <c r="SSB38" s="3"/>
      <c r="SSC38" s="3"/>
      <c r="SSD38" s="3"/>
      <c r="SSE38" s="3"/>
      <c r="SSF38" s="3"/>
      <c r="SSG38" s="3"/>
      <c r="SSH38" s="3"/>
      <c r="SSI38" s="3"/>
      <c r="SSJ38" s="3"/>
      <c r="SSK38" s="3"/>
      <c r="SSL38" s="3"/>
      <c r="SSM38" s="3"/>
      <c r="SSN38" s="3"/>
      <c r="SSO38" s="3"/>
      <c r="SSP38" s="3"/>
      <c r="SSQ38" s="3"/>
      <c r="SSR38" s="3"/>
      <c r="SSS38" s="3"/>
      <c r="SST38" s="3"/>
      <c r="SSU38" s="3"/>
      <c r="SSV38" s="3"/>
      <c r="SSW38" s="3"/>
      <c r="SSX38" s="3"/>
      <c r="SSY38" s="3"/>
      <c r="SSZ38" s="3"/>
      <c r="STA38" s="3"/>
      <c r="STB38" s="3"/>
      <c r="STC38" s="3"/>
      <c r="STD38" s="3"/>
      <c r="STE38" s="3"/>
      <c r="STF38" s="3"/>
      <c r="STG38" s="3"/>
      <c r="STH38" s="3"/>
      <c r="STI38" s="3"/>
      <c r="STJ38" s="3"/>
      <c r="STK38" s="3"/>
      <c r="STL38" s="3"/>
      <c r="STM38" s="3"/>
      <c r="STN38" s="3"/>
      <c r="STO38" s="3"/>
      <c r="STP38" s="3"/>
      <c r="STQ38" s="3"/>
      <c r="STR38" s="3"/>
      <c r="STS38" s="3"/>
      <c r="STT38" s="3"/>
      <c r="STU38" s="3"/>
      <c r="STV38" s="3"/>
      <c r="STW38" s="3"/>
      <c r="STX38" s="3"/>
      <c r="STY38" s="3"/>
      <c r="STZ38" s="3"/>
      <c r="SUA38" s="3"/>
      <c r="SUB38" s="3"/>
      <c r="SUC38" s="3"/>
      <c r="SUD38" s="3"/>
      <c r="SUE38" s="3"/>
      <c r="SUF38" s="3"/>
      <c r="SUG38" s="3"/>
      <c r="SUH38" s="3"/>
      <c r="SUI38" s="3"/>
      <c r="SUJ38" s="3"/>
      <c r="SUK38" s="3"/>
      <c r="SUL38" s="3"/>
      <c r="SUM38" s="3"/>
      <c r="SUN38" s="3"/>
      <c r="SUO38" s="3"/>
      <c r="SUP38" s="3"/>
      <c r="SUQ38" s="3"/>
      <c r="SUR38" s="3"/>
      <c r="SUS38" s="3"/>
      <c r="SUT38" s="3"/>
      <c r="SUU38" s="3"/>
      <c r="SUV38" s="3"/>
      <c r="SUW38" s="3"/>
      <c r="SUX38" s="3"/>
      <c r="SUY38" s="3"/>
      <c r="SUZ38" s="3"/>
      <c r="SVA38" s="3"/>
      <c r="SVB38" s="3"/>
      <c r="SVC38" s="3"/>
      <c r="SVD38" s="3"/>
      <c r="SVE38" s="3"/>
      <c r="SVF38" s="3"/>
      <c r="SVG38" s="3"/>
      <c r="SVH38" s="3"/>
      <c r="SVI38" s="3"/>
      <c r="SVJ38" s="3"/>
      <c r="SVK38" s="3"/>
      <c r="SVL38" s="3"/>
      <c r="SVM38" s="3"/>
      <c r="SVN38" s="3"/>
      <c r="SVO38" s="3"/>
      <c r="SVP38" s="3"/>
      <c r="SVQ38" s="3"/>
      <c r="SVR38" s="3"/>
      <c r="SVS38" s="3"/>
      <c r="SVT38" s="3"/>
      <c r="SVU38" s="3"/>
      <c r="SVV38" s="3"/>
      <c r="SVW38" s="3"/>
      <c r="SVX38" s="3"/>
      <c r="SVY38" s="3"/>
      <c r="SVZ38" s="3"/>
      <c r="SWA38" s="3"/>
      <c r="SWB38" s="3"/>
      <c r="SWC38" s="3"/>
      <c r="SWD38" s="3"/>
      <c r="SWE38" s="3"/>
      <c r="SWF38" s="3"/>
      <c r="SWG38" s="3"/>
      <c r="SWH38" s="3"/>
      <c r="SWI38" s="3"/>
      <c r="SWJ38" s="3"/>
      <c r="SWK38" s="3"/>
      <c r="SWL38" s="3"/>
      <c r="SWM38" s="3"/>
      <c r="SWN38" s="3"/>
      <c r="SWO38" s="3"/>
      <c r="SWP38" s="3"/>
      <c r="SWQ38" s="3"/>
      <c r="SWR38" s="3"/>
      <c r="SWS38" s="3"/>
      <c r="SWT38" s="3"/>
      <c r="SWU38" s="3"/>
      <c r="SWV38" s="3"/>
      <c r="SWW38" s="3"/>
      <c r="SWX38" s="3"/>
      <c r="SWY38" s="3"/>
      <c r="SWZ38" s="3"/>
      <c r="SXA38" s="3"/>
      <c r="SXB38" s="3"/>
      <c r="SXC38" s="3"/>
      <c r="SXD38" s="3"/>
      <c r="SXE38" s="3"/>
      <c r="SXF38" s="3"/>
      <c r="SXG38" s="3"/>
      <c r="SXH38" s="3"/>
      <c r="SXI38" s="3"/>
      <c r="SXJ38" s="3"/>
      <c r="SXK38" s="3"/>
      <c r="SXL38" s="3"/>
      <c r="SXM38" s="3"/>
      <c r="SXN38" s="3"/>
      <c r="SXO38" s="3"/>
      <c r="SXP38" s="3"/>
      <c r="SXQ38" s="3"/>
      <c r="SXR38" s="3"/>
      <c r="SXS38" s="3"/>
      <c r="SXT38" s="3"/>
      <c r="SXU38" s="3"/>
      <c r="SXV38" s="3"/>
      <c r="SXW38" s="3"/>
      <c r="SXX38" s="3"/>
      <c r="SXY38" s="3"/>
      <c r="SXZ38" s="3"/>
      <c r="SYA38" s="3"/>
      <c r="SYB38" s="3"/>
      <c r="SYC38" s="3"/>
      <c r="SYD38" s="3"/>
      <c r="SYE38" s="3"/>
      <c r="SYF38" s="3"/>
      <c r="SYG38" s="3"/>
      <c r="SYH38" s="3"/>
      <c r="SYI38" s="3"/>
      <c r="SYJ38" s="3"/>
      <c r="SYK38" s="3"/>
      <c r="SYL38" s="3"/>
      <c r="SYM38" s="3"/>
      <c r="SYN38" s="3"/>
      <c r="SYO38" s="3"/>
      <c r="SYP38" s="3"/>
      <c r="SYQ38" s="3"/>
      <c r="SYR38" s="3"/>
      <c r="SYS38" s="3"/>
      <c r="SYT38" s="3"/>
      <c r="SYU38" s="3"/>
      <c r="SYV38" s="3"/>
      <c r="SYW38" s="3"/>
      <c r="SYX38" s="3"/>
      <c r="SYY38" s="3"/>
      <c r="SYZ38" s="3"/>
      <c r="SZA38" s="3"/>
      <c r="SZB38" s="3"/>
      <c r="SZC38" s="3"/>
      <c r="SZD38" s="3"/>
      <c r="SZE38" s="3"/>
      <c r="SZF38" s="3"/>
      <c r="SZG38" s="3"/>
      <c r="SZH38" s="3"/>
      <c r="SZI38" s="3"/>
      <c r="SZJ38" s="3"/>
      <c r="SZK38" s="3"/>
      <c r="SZL38" s="3"/>
      <c r="SZM38" s="3"/>
      <c r="SZN38" s="3"/>
      <c r="SZO38" s="3"/>
      <c r="SZP38" s="3"/>
      <c r="SZQ38" s="3"/>
      <c r="SZR38" s="3"/>
      <c r="SZS38" s="3"/>
      <c r="SZT38" s="3"/>
      <c r="SZU38" s="3"/>
      <c r="SZV38" s="3"/>
      <c r="SZW38" s="3"/>
      <c r="SZX38" s="3"/>
      <c r="SZY38" s="3"/>
      <c r="SZZ38" s="3"/>
      <c r="TAA38" s="3"/>
      <c r="TAB38" s="3"/>
      <c r="TAC38" s="3"/>
      <c r="TAD38" s="3"/>
      <c r="TAE38" s="3"/>
      <c r="TAF38" s="3"/>
      <c r="TAG38" s="3"/>
      <c r="TAH38" s="3"/>
      <c r="TAI38" s="3"/>
      <c r="TAJ38" s="3"/>
      <c r="TAK38" s="3"/>
      <c r="TAL38" s="3"/>
      <c r="TAM38" s="3"/>
      <c r="TAN38" s="3"/>
      <c r="TAO38" s="3"/>
      <c r="TAP38" s="3"/>
      <c r="TAQ38" s="3"/>
      <c r="TAR38" s="3"/>
      <c r="TAS38" s="3"/>
      <c r="TAT38" s="3"/>
      <c r="TAU38" s="3"/>
      <c r="TAV38" s="3"/>
      <c r="TAW38" s="3"/>
      <c r="TAX38" s="3"/>
      <c r="TAY38" s="3"/>
      <c r="TAZ38" s="3"/>
      <c r="TBA38" s="3"/>
      <c r="TBB38" s="3"/>
      <c r="TBC38" s="3"/>
      <c r="TBD38" s="3"/>
      <c r="TBE38" s="3"/>
      <c r="TBF38" s="3"/>
      <c r="TBG38" s="3"/>
      <c r="TBH38" s="3"/>
      <c r="TBI38" s="3"/>
      <c r="TBJ38" s="3"/>
      <c r="TBK38" s="3"/>
      <c r="TBL38" s="3"/>
      <c r="TBM38" s="3"/>
      <c r="TBN38" s="3"/>
      <c r="TBO38" s="3"/>
      <c r="TBP38" s="3"/>
      <c r="TBQ38" s="3"/>
      <c r="TBR38" s="3"/>
      <c r="TBS38" s="3"/>
      <c r="TBT38" s="3"/>
      <c r="TBU38" s="3"/>
      <c r="TBV38" s="3"/>
      <c r="TBW38" s="3"/>
      <c r="TBX38" s="3"/>
      <c r="TBY38" s="3"/>
      <c r="TBZ38" s="3"/>
      <c r="TCA38" s="3"/>
      <c r="TCB38" s="3"/>
      <c r="TCC38" s="3"/>
      <c r="TCD38" s="3"/>
      <c r="TCE38" s="3"/>
      <c r="TCF38" s="3"/>
      <c r="TCG38" s="3"/>
      <c r="TCH38" s="3"/>
      <c r="TCI38" s="3"/>
      <c r="TCJ38" s="3"/>
      <c r="TCK38" s="3"/>
      <c r="TCL38" s="3"/>
      <c r="TCM38" s="3"/>
      <c r="TCN38" s="3"/>
      <c r="TCO38" s="3"/>
      <c r="TCP38" s="3"/>
      <c r="TCQ38" s="3"/>
      <c r="TCR38" s="3"/>
      <c r="TCS38" s="3"/>
      <c r="TCT38" s="3"/>
      <c r="TCU38" s="3"/>
      <c r="TCV38" s="3"/>
      <c r="TCW38" s="3"/>
      <c r="TCX38" s="3"/>
      <c r="TCY38" s="3"/>
      <c r="TCZ38" s="3"/>
      <c r="TDA38" s="3"/>
      <c r="TDB38" s="3"/>
      <c r="TDC38" s="3"/>
      <c r="TDD38" s="3"/>
      <c r="TDE38" s="3"/>
      <c r="TDF38" s="3"/>
      <c r="TDG38" s="3"/>
      <c r="TDH38" s="3"/>
      <c r="TDI38" s="3"/>
      <c r="TDJ38" s="3"/>
      <c r="TDK38" s="3"/>
      <c r="TDL38" s="3"/>
      <c r="TDM38" s="3"/>
      <c r="TDN38" s="3"/>
      <c r="TDO38" s="3"/>
      <c r="TDP38" s="3"/>
      <c r="TDQ38" s="3"/>
      <c r="TDR38" s="3"/>
      <c r="TDS38" s="3"/>
      <c r="TDT38" s="3"/>
      <c r="TDU38" s="3"/>
      <c r="TDV38" s="3"/>
      <c r="TDW38" s="3"/>
      <c r="TDX38" s="3"/>
      <c r="TDY38" s="3"/>
      <c r="TDZ38" s="3"/>
      <c r="TEA38" s="3"/>
      <c r="TEB38" s="3"/>
      <c r="TEC38" s="3"/>
      <c r="TED38" s="3"/>
      <c r="TEE38" s="3"/>
      <c r="TEF38" s="3"/>
      <c r="TEG38" s="3"/>
      <c r="TEH38" s="3"/>
      <c r="TEI38" s="3"/>
      <c r="TEJ38" s="3"/>
      <c r="TEK38" s="3"/>
      <c r="TEL38" s="3"/>
      <c r="TEM38" s="3"/>
      <c r="TEN38" s="3"/>
      <c r="TEO38" s="3"/>
      <c r="TEP38" s="3"/>
      <c r="TEQ38" s="3"/>
      <c r="TER38" s="3"/>
      <c r="TES38" s="3"/>
      <c r="TET38" s="3"/>
      <c r="TEU38" s="3"/>
      <c r="TEV38" s="3"/>
      <c r="TEW38" s="3"/>
      <c r="TEX38" s="3"/>
      <c r="TEY38" s="3"/>
      <c r="TEZ38" s="3"/>
      <c r="TFA38" s="3"/>
      <c r="TFB38" s="3"/>
      <c r="TFC38" s="3"/>
      <c r="TFD38" s="3"/>
      <c r="TFE38" s="3"/>
      <c r="TFF38" s="3"/>
      <c r="TFG38" s="3"/>
      <c r="TFH38" s="3"/>
      <c r="TFI38" s="3"/>
      <c r="TFJ38" s="3"/>
      <c r="TFK38" s="3"/>
      <c r="TFL38" s="3"/>
      <c r="TFM38" s="3"/>
      <c r="TFN38" s="3"/>
      <c r="TFO38" s="3"/>
      <c r="TFP38" s="3"/>
      <c r="TFQ38" s="3"/>
      <c r="TFR38" s="3"/>
      <c r="TFS38" s="3"/>
      <c r="TFT38" s="3"/>
      <c r="TFU38" s="3"/>
      <c r="TFV38" s="3"/>
      <c r="TFW38" s="3"/>
      <c r="TFX38" s="3"/>
      <c r="TFY38" s="3"/>
      <c r="TFZ38" s="3"/>
      <c r="TGA38" s="3"/>
      <c r="TGB38" s="3"/>
      <c r="TGC38" s="3"/>
      <c r="TGD38" s="3"/>
      <c r="TGE38" s="3"/>
      <c r="TGF38" s="3"/>
      <c r="TGG38" s="3"/>
      <c r="TGH38" s="3"/>
      <c r="TGI38" s="3"/>
      <c r="TGJ38" s="3"/>
      <c r="TGK38" s="3"/>
      <c r="TGL38" s="3"/>
      <c r="TGM38" s="3"/>
      <c r="TGN38" s="3"/>
      <c r="TGO38" s="3"/>
      <c r="TGP38" s="3"/>
      <c r="TGQ38" s="3"/>
      <c r="TGR38" s="3"/>
      <c r="TGS38" s="3"/>
      <c r="TGT38" s="3"/>
      <c r="TGU38" s="3"/>
      <c r="TGV38" s="3"/>
      <c r="TGW38" s="3"/>
      <c r="TGX38" s="3"/>
      <c r="TGY38" s="3"/>
      <c r="TGZ38" s="3"/>
      <c r="THA38" s="3"/>
      <c r="THB38" s="3"/>
      <c r="THC38" s="3"/>
      <c r="THD38" s="3"/>
      <c r="THE38" s="3"/>
      <c r="THF38" s="3"/>
      <c r="THG38" s="3"/>
      <c r="THH38" s="3"/>
      <c r="THI38" s="3"/>
      <c r="THJ38" s="3"/>
      <c r="THK38" s="3"/>
      <c r="THL38" s="3"/>
      <c r="THM38" s="3"/>
      <c r="THN38" s="3"/>
      <c r="THO38" s="3"/>
      <c r="THP38" s="3"/>
      <c r="THQ38" s="3"/>
      <c r="THR38" s="3"/>
      <c r="THS38" s="3"/>
      <c r="THT38" s="3"/>
      <c r="THU38" s="3"/>
      <c r="THV38" s="3"/>
      <c r="THW38" s="3"/>
      <c r="THX38" s="3"/>
      <c r="THY38" s="3"/>
      <c r="THZ38" s="3"/>
      <c r="TIA38" s="3"/>
      <c r="TIB38" s="3"/>
      <c r="TIC38" s="3"/>
      <c r="TID38" s="3"/>
      <c r="TIE38" s="3"/>
      <c r="TIF38" s="3"/>
      <c r="TIG38" s="3"/>
      <c r="TIH38" s="3"/>
      <c r="TII38" s="3"/>
      <c r="TIJ38" s="3"/>
      <c r="TIK38" s="3"/>
      <c r="TIL38" s="3"/>
      <c r="TIM38" s="3"/>
      <c r="TIN38" s="3"/>
      <c r="TIO38" s="3"/>
      <c r="TIP38" s="3"/>
      <c r="TIQ38" s="3"/>
      <c r="TIR38" s="3"/>
      <c r="TIS38" s="3"/>
      <c r="TIT38" s="3"/>
      <c r="TIU38" s="3"/>
      <c r="TIV38" s="3"/>
      <c r="TIW38" s="3"/>
      <c r="TIX38" s="3"/>
      <c r="TIY38" s="3"/>
      <c r="TIZ38" s="3"/>
      <c r="TJA38" s="3"/>
      <c r="TJB38" s="3"/>
      <c r="TJC38" s="3"/>
      <c r="TJD38" s="3"/>
      <c r="TJE38" s="3"/>
      <c r="TJF38" s="3"/>
      <c r="TJG38" s="3"/>
      <c r="TJH38" s="3"/>
      <c r="TJI38" s="3"/>
      <c r="TJJ38" s="3"/>
      <c r="TJK38" s="3"/>
      <c r="TJL38" s="3"/>
      <c r="TJM38" s="3"/>
      <c r="TJN38" s="3"/>
      <c r="TJO38" s="3"/>
      <c r="TJP38" s="3"/>
      <c r="TJQ38" s="3"/>
      <c r="TJR38" s="3"/>
      <c r="TJS38" s="3"/>
      <c r="TJT38" s="3"/>
      <c r="TJU38" s="3"/>
      <c r="TJV38" s="3"/>
      <c r="TJW38" s="3"/>
      <c r="TJX38" s="3"/>
      <c r="TJY38" s="3"/>
      <c r="TJZ38" s="3"/>
      <c r="TKA38" s="3"/>
      <c r="TKB38" s="3"/>
      <c r="TKC38" s="3"/>
      <c r="TKD38" s="3"/>
      <c r="TKE38" s="3"/>
      <c r="TKF38" s="3"/>
      <c r="TKG38" s="3"/>
      <c r="TKH38" s="3"/>
      <c r="TKI38" s="3"/>
      <c r="TKJ38" s="3"/>
      <c r="TKK38" s="3"/>
      <c r="TKL38" s="3"/>
      <c r="TKM38" s="3"/>
      <c r="TKN38" s="3"/>
      <c r="TKO38" s="3"/>
      <c r="TKP38" s="3"/>
      <c r="TKQ38" s="3"/>
      <c r="TKR38" s="3"/>
      <c r="TKS38" s="3"/>
      <c r="TKT38" s="3"/>
      <c r="TKU38" s="3"/>
      <c r="TKV38" s="3"/>
      <c r="TKW38" s="3"/>
      <c r="TKX38" s="3"/>
      <c r="TKY38" s="3"/>
      <c r="TKZ38" s="3"/>
      <c r="TLA38" s="3"/>
      <c r="TLB38" s="3"/>
      <c r="TLC38" s="3"/>
      <c r="TLD38" s="3"/>
      <c r="TLE38" s="3"/>
      <c r="TLF38" s="3"/>
      <c r="TLG38" s="3"/>
      <c r="TLH38" s="3"/>
      <c r="TLI38" s="3"/>
      <c r="TLJ38" s="3"/>
      <c r="TLK38" s="3"/>
      <c r="TLL38" s="3"/>
      <c r="TLM38" s="3"/>
      <c r="TLN38" s="3"/>
      <c r="TLO38" s="3"/>
      <c r="TLP38" s="3"/>
      <c r="TLQ38" s="3"/>
      <c r="TLR38" s="3"/>
      <c r="TLS38" s="3"/>
      <c r="TLT38" s="3"/>
      <c r="TLU38" s="3"/>
      <c r="TLV38" s="3"/>
      <c r="TLW38" s="3"/>
      <c r="TLX38" s="3"/>
      <c r="TLY38" s="3"/>
      <c r="TLZ38" s="3"/>
      <c r="TMA38" s="3"/>
      <c r="TMB38" s="3"/>
      <c r="TMC38" s="3"/>
      <c r="TMD38" s="3"/>
      <c r="TME38" s="3"/>
      <c r="TMF38" s="3"/>
      <c r="TMG38" s="3"/>
      <c r="TMH38" s="3"/>
      <c r="TMI38" s="3"/>
      <c r="TMJ38" s="3"/>
      <c r="TMK38" s="3"/>
      <c r="TML38" s="3"/>
      <c r="TMM38" s="3"/>
      <c r="TMN38" s="3"/>
      <c r="TMO38" s="3"/>
      <c r="TMP38" s="3"/>
      <c r="TMQ38" s="3"/>
      <c r="TMR38" s="3"/>
      <c r="TMS38" s="3"/>
      <c r="TMT38" s="3"/>
      <c r="TMU38" s="3"/>
      <c r="TMV38" s="3"/>
      <c r="TMW38" s="3"/>
      <c r="TMX38" s="3"/>
      <c r="TMY38" s="3"/>
      <c r="TMZ38" s="3"/>
      <c r="TNA38" s="3"/>
      <c r="TNB38" s="3"/>
      <c r="TNC38" s="3"/>
      <c r="TND38" s="3"/>
      <c r="TNE38" s="3"/>
      <c r="TNF38" s="3"/>
      <c r="TNG38" s="3"/>
      <c r="TNH38" s="3"/>
      <c r="TNI38" s="3"/>
      <c r="TNJ38" s="3"/>
      <c r="TNK38" s="3"/>
      <c r="TNL38" s="3"/>
      <c r="TNM38" s="3"/>
      <c r="TNN38" s="3"/>
      <c r="TNO38" s="3"/>
      <c r="TNP38" s="3"/>
      <c r="TNQ38" s="3"/>
      <c r="TNR38" s="3"/>
      <c r="TNS38" s="3"/>
      <c r="TNT38" s="3"/>
      <c r="TNU38" s="3"/>
      <c r="TNV38" s="3"/>
      <c r="TNW38" s="3"/>
      <c r="TNX38" s="3"/>
      <c r="TNY38" s="3"/>
      <c r="TNZ38" s="3"/>
      <c r="TOA38" s="3"/>
      <c r="TOB38" s="3"/>
      <c r="TOC38" s="3"/>
      <c r="TOD38" s="3"/>
      <c r="TOE38" s="3"/>
      <c r="TOF38" s="3"/>
      <c r="TOG38" s="3"/>
      <c r="TOH38" s="3"/>
      <c r="TOI38" s="3"/>
      <c r="TOJ38" s="3"/>
      <c r="TOK38" s="3"/>
      <c r="TOL38" s="3"/>
      <c r="TOM38" s="3"/>
      <c r="TON38" s="3"/>
      <c r="TOO38" s="3"/>
      <c r="TOP38" s="3"/>
      <c r="TOQ38" s="3"/>
      <c r="TOR38" s="3"/>
      <c r="TOS38" s="3"/>
      <c r="TOT38" s="3"/>
      <c r="TOU38" s="3"/>
      <c r="TOV38" s="3"/>
      <c r="TOW38" s="3"/>
      <c r="TOX38" s="3"/>
      <c r="TOY38" s="3"/>
      <c r="TOZ38" s="3"/>
      <c r="TPA38" s="3"/>
      <c r="TPB38" s="3"/>
      <c r="TPC38" s="3"/>
      <c r="TPD38" s="3"/>
      <c r="TPE38" s="3"/>
      <c r="TPF38" s="3"/>
      <c r="TPG38" s="3"/>
      <c r="TPH38" s="3"/>
      <c r="TPI38" s="3"/>
      <c r="TPJ38" s="3"/>
      <c r="TPK38" s="3"/>
      <c r="TPL38" s="3"/>
      <c r="TPM38" s="3"/>
      <c r="TPN38" s="3"/>
      <c r="TPO38" s="3"/>
      <c r="TPP38" s="3"/>
      <c r="TPQ38" s="3"/>
      <c r="TPR38" s="3"/>
      <c r="TPS38" s="3"/>
      <c r="TPT38" s="3"/>
      <c r="TPU38" s="3"/>
      <c r="TPV38" s="3"/>
      <c r="TPW38" s="3"/>
      <c r="TPX38" s="3"/>
      <c r="TPY38" s="3"/>
      <c r="TPZ38" s="3"/>
      <c r="TQA38" s="3"/>
      <c r="TQB38" s="3"/>
      <c r="TQC38" s="3"/>
      <c r="TQD38" s="3"/>
      <c r="TQE38" s="3"/>
      <c r="TQF38" s="3"/>
      <c r="TQG38" s="3"/>
      <c r="TQH38" s="3"/>
      <c r="TQI38" s="3"/>
      <c r="TQJ38" s="3"/>
      <c r="TQK38" s="3"/>
      <c r="TQL38" s="3"/>
      <c r="TQM38" s="3"/>
      <c r="TQN38" s="3"/>
      <c r="TQO38" s="3"/>
      <c r="TQP38" s="3"/>
      <c r="TQQ38" s="3"/>
      <c r="TQR38" s="3"/>
      <c r="TQS38" s="3"/>
      <c r="TQT38" s="3"/>
      <c r="TQU38" s="3"/>
      <c r="TQV38" s="3"/>
      <c r="TQW38" s="3"/>
      <c r="TQX38" s="3"/>
      <c r="TQY38" s="3"/>
      <c r="TQZ38" s="3"/>
      <c r="TRA38" s="3"/>
      <c r="TRB38" s="3"/>
      <c r="TRC38" s="3"/>
      <c r="TRD38" s="3"/>
      <c r="TRE38" s="3"/>
      <c r="TRF38" s="3"/>
      <c r="TRG38" s="3"/>
      <c r="TRH38" s="3"/>
      <c r="TRI38" s="3"/>
      <c r="TRJ38" s="3"/>
      <c r="TRK38" s="3"/>
      <c r="TRL38" s="3"/>
      <c r="TRM38" s="3"/>
      <c r="TRN38" s="3"/>
      <c r="TRO38" s="3"/>
      <c r="TRP38" s="3"/>
      <c r="TRQ38" s="3"/>
      <c r="TRR38" s="3"/>
      <c r="TRS38" s="3"/>
      <c r="TRT38" s="3"/>
      <c r="TRU38" s="3"/>
      <c r="TRV38" s="3"/>
      <c r="TRW38" s="3"/>
      <c r="TRX38" s="3"/>
      <c r="TRY38" s="3"/>
      <c r="TRZ38" s="3"/>
      <c r="TSA38" s="3"/>
      <c r="TSB38" s="3"/>
      <c r="TSC38" s="3"/>
      <c r="TSD38" s="3"/>
      <c r="TSE38" s="3"/>
      <c r="TSF38" s="3"/>
      <c r="TSG38" s="3"/>
      <c r="TSH38" s="3"/>
      <c r="TSI38" s="3"/>
      <c r="TSJ38" s="3"/>
      <c r="TSK38" s="3"/>
      <c r="TSL38" s="3"/>
      <c r="TSM38" s="3"/>
      <c r="TSN38" s="3"/>
      <c r="TSO38" s="3"/>
      <c r="TSP38" s="3"/>
      <c r="TSQ38" s="3"/>
      <c r="TSR38" s="3"/>
      <c r="TSS38" s="3"/>
      <c r="TST38" s="3"/>
      <c r="TSU38" s="3"/>
      <c r="TSV38" s="3"/>
      <c r="TSW38" s="3"/>
      <c r="TSX38" s="3"/>
      <c r="TSY38" s="3"/>
      <c r="TSZ38" s="3"/>
      <c r="TTA38" s="3"/>
      <c r="TTB38" s="3"/>
      <c r="TTC38" s="3"/>
      <c r="TTD38" s="3"/>
      <c r="TTE38" s="3"/>
      <c r="TTF38" s="3"/>
      <c r="TTG38" s="3"/>
      <c r="TTH38" s="3"/>
      <c r="TTI38" s="3"/>
      <c r="TTJ38" s="3"/>
      <c r="TTK38" s="3"/>
      <c r="TTL38" s="3"/>
      <c r="TTM38" s="3"/>
      <c r="TTN38" s="3"/>
      <c r="TTO38" s="3"/>
      <c r="TTP38" s="3"/>
      <c r="TTQ38" s="3"/>
      <c r="TTR38" s="3"/>
      <c r="TTS38" s="3"/>
      <c r="TTT38" s="3"/>
      <c r="TTU38" s="3"/>
      <c r="TTV38" s="3"/>
      <c r="TTW38" s="3"/>
      <c r="TTX38" s="3"/>
      <c r="TTY38" s="3"/>
      <c r="TTZ38" s="3"/>
      <c r="TUA38" s="3"/>
      <c r="TUB38" s="3"/>
      <c r="TUC38" s="3"/>
      <c r="TUD38" s="3"/>
      <c r="TUE38" s="3"/>
      <c r="TUF38" s="3"/>
      <c r="TUG38" s="3"/>
      <c r="TUH38" s="3"/>
      <c r="TUI38" s="3"/>
      <c r="TUJ38" s="3"/>
      <c r="TUK38" s="3"/>
      <c r="TUL38" s="3"/>
      <c r="TUM38" s="3"/>
      <c r="TUN38" s="3"/>
      <c r="TUO38" s="3"/>
      <c r="TUP38" s="3"/>
      <c r="TUQ38" s="3"/>
      <c r="TUR38" s="3"/>
      <c r="TUS38" s="3"/>
      <c r="TUT38" s="3"/>
      <c r="TUU38" s="3"/>
      <c r="TUV38" s="3"/>
      <c r="TUW38" s="3"/>
      <c r="TUX38" s="3"/>
      <c r="TUY38" s="3"/>
      <c r="TUZ38" s="3"/>
      <c r="TVA38" s="3"/>
      <c r="TVB38" s="3"/>
      <c r="TVC38" s="3"/>
      <c r="TVD38" s="3"/>
      <c r="TVE38" s="3"/>
      <c r="TVF38" s="3"/>
      <c r="TVG38" s="3"/>
      <c r="TVH38" s="3"/>
      <c r="TVI38" s="3"/>
      <c r="TVJ38" s="3"/>
      <c r="TVK38" s="3"/>
      <c r="TVL38" s="3"/>
      <c r="TVM38" s="3"/>
      <c r="TVN38" s="3"/>
      <c r="TVO38" s="3"/>
      <c r="TVP38" s="3"/>
      <c r="TVQ38" s="3"/>
      <c r="TVR38" s="3"/>
      <c r="TVS38" s="3"/>
      <c r="TVT38" s="3"/>
      <c r="TVU38" s="3"/>
      <c r="TVV38" s="3"/>
      <c r="TVW38" s="3"/>
      <c r="TVX38" s="3"/>
      <c r="TVY38" s="3"/>
      <c r="TVZ38" s="3"/>
      <c r="TWA38" s="3"/>
      <c r="TWB38" s="3"/>
      <c r="TWC38" s="3"/>
      <c r="TWD38" s="3"/>
      <c r="TWE38" s="3"/>
      <c r="TWF38" s="3"/>
      <c r="TWG38" s="3"/>
      <c r="TWH38" s="3"/>
      <c r="TWI38" s="3"/>
      <c r="TWJ38" s="3"/>
      <c r="TWK38" s="3"/>
      <c r="TWL38" s="3"/>
      <c r="TWM38" s="3"/>
      <c r="TWN38" s="3"/>
      <c r="TWO38" s="3"/>
      <c r="TWP38" s="3"/>
      <c r="TWQ38" s="3"/>
      <c r="TWR38" s="3"/>
      <c r="TWS38" s="3"/>
      <c r="TWT38" s="3"/>
      <c r="TWU38" s="3"/>
      <c r="TWV38" s="3"/>
      <c r="TWW38" s="3"/>
      <c r="TWX38" s="3"/>
      <c r="TWY38" s="3"/>
      <c r="TWZ38" s="3"/>
      <c r="TXA38" s="3"/>
      <c r="TXB38" s="3"/>
      <c r="TXC38" s="3"/>
      <c r="TXD38" s="3"/>
      <c r="TXE38" s="3"/>
      <c r="TXF38" s="3"/>
      <c r="TXG38" s="3"/>
      <c r="TXH38" s="3"/>
      <c r="TXI38" s="3"/>
      <c r="TXJ38" s="3"/>
      <c r="TXK38" s="3"/>
      <c r="TXL38" s="3"/>
      <c r="TXM38" s="3"/>
      <c r="TXN38" s="3"/>
      <c r="TXO38" s="3"/>
      <c r="TXP38" s="3"/>
      <c r="TXQ38" s="3"/>
      <c r="TXR38" s="3"/>
      <c r="TXS38" s="3"/>
      <c r="TXT38" s="3"/>
      <c r="TXU38" s="3"/>
      <c r="TXV38" s="3"/>
      <c r="TXW38" s="3"/>
      <c r="TXX38" s="3"/>
      <c r="TXY38" s="3"/>
      <c r="TXZ38" s="3"/>
      <c r="TYA38" s="3"/>
      <c r="TYB38" s="3"/>
      <c r="TYC38" s="3"/>
      <c r="TYD38" s="3"/>
      <c r="TYE38" s="3"/>
      <c r="TYF38" s="3"/>
      <c r="TYG38" s="3"/>
      <c r="TYH38" s="3"/>
      <c r="TYI38" s="3"/>
      <c r="TYJ38" s="3"/>
      <c r="TYK38" s="3"/>
      <c r="TYL38" s="3"/>
      <c r="TYM38" s="3"/>
      <c r="TYN38" s="3"/>
      <c r="TYO38" s="3"/>
      <c r="TYP38" s="3"/>
      <c r="TYQ38" s="3"/>
      <c r="TYR38" s="3"/>
      <c r="TYS38" s="3"/>
      <c r="TYT38" s="3"/>
      <c r="TYU38" s="3"/>
      <c r="TYV38" s="3"/>
      <c r="TYW38" s="3"/>
      <c r="TYX38" s="3"/>
      <c r="TYY38" s="3"/>
      <c r="TYZ38" s="3"/>
      <c r="TZA38" s="3"/>
      <c r="TZB38" s="3"/>
      <c r="TZC38" s="3"/>
      <c r="TZD38" s="3"/>
      <c r="TZE38" s="3"/>
      <c r="TZF38" s="3"/>
      <c r="TZG38" s="3"/>
      <c r="TZH38" s="3"/>
      <c r="TZI38" s="3"/>
      <c r="TZJ38" s="3"/>
      <c r="TZK38" s="3"/>
      <c r="TZL38" s="3"/>
      <c r="TZM38" s="3"/>
      <c r="TZN38" s="3"/>
      <c r="TZO38" s="3"/>
      <c r="TZP38" s="3"/>
      <c r="TZQ38" s="3"/>
      <c r="TZR38" s="3"/>
      <c r="TZS38" s="3"/>
      <c r="TZT38" s="3"/>
      <c r="TZU38" s="3"/>
      <c r="TZV38" s="3"/>
      <c r="TZW38" s="3"/>
      <c r="TZX38" s="3"/>
      <c r="TZY38" s="3"/>
      <c r="TZZ38" s="3"/>
      <c r="UAA38" s="3"/>
      <c r="UAB38" s="3"/>
      <c r="UAC38" s="3"/>
      <c r="UAD38" s="3"/>
      <c r="UAE38" s="3"/>
      <c r="UAF38" s="3"/>
      <c r="UAG38" s="3"/>
      <c r="UAH38" s="3"/>
      <c r="UAI38" s="3"/>
      <c r="UAJ38" s="3"/>
      <c r="UAK38" s="3"/>
      <c r="UAL38" s="3"/>
      <c r="UAM38" s="3"/>
      <c r="UAN38" s="3"/>
      <c r="UAO38" s="3"/>
      <c r="UAP38" s="3"/>
      <c r="UAQ38" s="3"/>
      <c r="UAR38" s="3"/>
      <c r="UAS38" s="3"/>
      <c r="UAT38" s="3"/>
      <c r="UAU38" s="3"/>
      <c r="UAV38" s="3"/>
      <c r="UAW38" s="3"/>
      <c r="UAX38" s="3"/>
      <c r="UAY38" s="3"/>
      <c r="UAZ38" s="3"/>
      <c r="UBA38" s="3"/>
      <c r="UBB38" s="3"/>
      <c r="UBC38" s="3"/>
      <c r="UBD38" s="3"/>
      <c r="UBE38" s="3"/>
      <c r="UBF38" s="3"/>
      <c r="UBG38" s="3"/>
      <c r="UBH38" s="3"/>
      <c r="UBI38" s="3"/>
      <c r="UBJ38" s="3"/>
      <c r="UBK38" s="3"/>
      <c r="UBL38" s="3"/>
      <c r="UBM38" s="3"/>
      <c r="UBN38" s="3"/>
      <c r="UBO38" s="3"/>
      <c r="UBP38" s="3"/>
      <c r="UBQ38" s="3"/>
      <c r="UBR38" s="3"/>
      <c r="UBS38" s="3"/>
      <c r="UBT38" s="3"/>
      <c r="UBU38" s="3"/>
      <c r="UBV38" s="3"/>
      <c r="UBW38" s="3"/>
      <c r="UBX38" s="3"/>
      <c r="UBY38" s="3"/>
      <c r="UBZ38" s="3"/>
      <c r="UCA38" s="3"/>
      <c r="UCB38" s="3"/>
      <c r="UCC38" s="3"/>
      <c r="UCD38" s="3"/>
      <c r="UCE38" s="3"/>
      <c r="UCF38" s="3"/>
      <c r="UCG38" s="3"/>
      <c r="UCH38" s="3"/>
      <c r="UCI38" s="3"/>
      <c r="UCJ38" s="3"/>
      <c r="UCK38" s="3"/>
      <c r="UCL38" s="3"/>
      <c r="UCM38" s="3"/>
      <c r="UCN38" s="3"/>
      <c r="UCO38" s="3"/>
      <c r="UCP38" s="3"/>
      <c r="UCQ38" s="3"/>
      <c r="UCR38" s="3"/>
      <c r="UCS38" s="3"/>
      <c r="UCT38" s="3"/>
      <c r="UCU38" s="3"/>
      <c r="UCV38" s="3"/>
      <c r="UCW38" s="3"/>
      <c r="UCX38" s="3"/>
      <c r="UCY38" s="3"/>
      <c r="UCZ38" s="3"/>
      <c r="UDA38" s="3"/>
      <c r="UDB38" s="3"/>
      <c r="UDC38" s="3"/>
      <c r="UDD38" s="3"/>
      <c r="UDE38" s="3"/>
      <c r="UDF38" s="3"/>
      <c r="UDG38" s="3"/>
      <c r="UDH38" s="3"/>
      <c r="UDI38" s="3"/>
      <c r="UDJ38" s="3"/>
      <c r="UDK38" s="3"/>
      <c r="UDL38" s="3"/>
      <c r="UDM38" s="3"/>
      <c r="UDN38" s="3"/>
      <c r="UDO38" s="3"/>
      <c r="UDP38" s="3"/>
      <c r="UDQ38" s="3"/>
      <c r="UDR38" s="3"/>
      <c r="UDS38" s="3"/>
      <c r="UDT38" s="3"/>
      <c r="UDU38" s="3"/>
      <c r="UDV38" s="3"/>
      <c r="UDW38" s="3"/>
      <c r="UDX38" s="3"/>
      <c r="UDY38" s="3"/>
      <c r="UDZ38" s="3"/>
      <c r="UEA38" s="3"/>
      <c r="UEB38" s="3"/>
      <c r="UEC38" s="3"/>
      <c r="UED38" s="3"/>
      <c r="UEE38" s="3"/>
      <c r="UEF38" s="3"/>
      <c r="UEG38" s="3"/>
      <c r="UEH38" s="3"/>
      <c r="UEI38" s="3"/>
      <c r="UEJ38" s="3"/>
      <c r="UEK38" s="3"/>
      <c r="UEL38" s="3"/>
      <c r="UEM38" s="3"/>
      <c r="UEN38" s="3"/>
      <c r="UEO38" s="3"/>
      <c r="UEP38" s="3"/>
      <c r="UEQ38" s="3"/>
      <c r="UER38" s="3"/>
      <c r="UES38" s="3"/>
      <c r="UET38" s="3"/>
      <c r="UEU38" s="3"/>
      <c r="UEV38" s="3"/>
      <c r="UEW38" s="3"/>
      <c r="UEX38" s="3"/>
      <c r="UEY38" s="3"/>
      <c r="UEZ38" s="3"/>
      <c r="UFA38" s="3"/>
      <c r="UFB38" s="3"/>
      <c r="UFC38" s="3"/>
      <c r="UFD38" s="3"/>
      <c r="UFE38" s="3"/>
      <c r="UFF38" s="3"/>
      <c r="UFG38" s="3"/>
      <c r="UFH38" s="3"/>
      <c r="UFI38" s="3"/>
      <c r="UFJ38" s="3"/>
      <c r="UFK38" s="3"/>
      <c r="UFL38" s="3"/>
      <c r="UFM38" s="3"/>
      <c r="UFN38" s="3"/>
      <c r="UFO38" s="3"/>
      <c r="UFP38" s="3"/>
      <c r="UFQ38" s="3"/>
      <c r="UFR38" s="3"/>
      <c r="UFS38" s="3"/>
      <c r="UFT38" s="3"/>
      <c r="UFU38" s="3"/>
      <c r="UFV38" s="3"/>
      <c r="UFW38" s="3"/>
      <c r="UFX38" s="3"/>
      <c r="UFY38" s="3"/>
      <c r="UFZ38" s="3"/>
      <c r="UGA38" s="3"/>
      <c r="UGB38" s="3"/>
      <c r="UGC38" s="3"/>
      <c r="UGD38" s="3"/>
      <c r="UGE38" s="3"/>
      <c r="UGF38" s="3"/>
      <c r="UGG38" s="3"/>
      <c r="UGH38" s="3"/>
      <c r="UGI38" s="3"/>
      <c r="UGJ38" s="3"/>
      <c r="UGK38" s="3"/>
      <c r="UGL38" s="3"/>
      <c r="UGM38" s="3"/>
      <c r="UGN38" s="3"/>
      <c r="UGO38" s="3"/>
      <c r="UGP38" s="3"/>
      <c r="UGQ38" s="3"/>
      <c r="UGR38" s="3"/>
      <c r="UGS38" s="3"/>
      <c r="UGT38" s="3"/>
      <c r="UGU38" s="3"/>
      <c r="UGV38" s="3"/>
      <c r="UGW38" s="3"/>
      <c r="UGX38" s="3"/>
      <c r="UGY38" s="3"/>
      <c r="UGZ38" s="3"/>
      <c r="UHA38" s="3"/>
      <c r="UHB38" s="3"/>
      <c r="UHC38" s="3"/>
      <c r="UHD38" s="3"/>
      <c r="UHE38" s="3"/>
      <c r="UHF38" s="3"/>
      <c r="UHG38" s="3"/>
      <c r="UHH38" s="3"/>
      <c r="UHI38" s="3"/>
      <c r="UHJ38" s="3"/>
      <c r="UHK38" s="3"/>
      <c r="UHL38" s="3"/>
      <c r="UHM38" s="3"/>
      <c r="UHN38" s="3"/>
      <c r="UHO38" s="3"/>
      <c r="UHP38" s="3"/>
      <c r="UHQ38" s="3"/>
      <c r="UHR38" s="3"/>
      <c r="UHS38" s="3"/>
      <c r="UHT38" s="3"/>
      <c r="UHU38" s="3"/>
      <c r="UHV38" s="3"/>
      <c r="UHW38" s="3"/>
      <c r="UHX38" s="3"/>
      <c r="UHY38" s="3"/>
      <c r="UHZ38" s="3"/>
      <c r="UIA38" s="3"/>
      <c r="UIB38" s="3"/>
      <c r="UIC38" s="3"/>
      <c r="UID38" s="3"/>
      <c r="UIE38" s="3"/>
      <c r="UIF38" s="3"/>
      <c r="UIG38" s="3"/>
      <c r="UIH38" s="3"/>
      <c r="UII38" s="3"/>
      <c r="UIJ38" s="3"/>
      <c r="UIK38" s="3"/>
      <c r="UIL38" s="3"/>
      <c r="UIM38" s="3"/>
      <c r="UIN38" s="3"/>
      <c r="UIO38" s="3"/>
      <c r="UIP38" s="3"/>
      <c r="UIQ38" s="3"/>
      <c r="UIR38" s="3"/>
      <c r="UIS38" s="3"/>
      <c r="UIT38" s="3"/>
      <c r="UIU38" s="3"/>
      <c r="UIV38" s="3"/>
      <c r="UIW38" s="3"/>
      <c r="UIX38" s="3"/>
      <c r="UIY38" s="3"/>
      <c r="UIZ38" s="3"/>
      <c r="UJA38" s="3"/>
      <c r="UJB38" s="3"/>
      <c r="UJC38" s="3"/>
      <c r="UJD38" s="3"/>
      <c r="UJE38" s="3"/>
      <c r="UJF38" s="3"/>
      <c r="UJG38" s="3"/>
      <c r="UJH38" s="3"/>
      <c r="UJI38" s="3"/>
      <c r="UJJ38" s="3"/>
      <c r="UJK38" s="3"/>
      <c r="UJL38" s="3"/>
      <c r="UJM38" s="3"/>
      <c r="UJN38" s="3"/>
      <c r="UJO38" s="3"/>
      <c r="UJP38" s="3"/>
      <c r="UJQ38" s="3"/>
      <c r="UJR38" s="3"/>
      <c r="UJS38" s="3"/>
      <c r="UJT38" s="3"/>
      <c r="UJU38" s="3"/>
      <c r="UJV38" s="3"/>
      <c r="UJW38" s="3"/>
      <c r="UJX38" s="3"/>
      <c r="UJY38" s="3"/>
      <c r="UJZ38" s="3"/>
      <c r="UKA38" s="3"/>
      <c r="UKB38" s="3"/>
      <c r="UKC38" s="3"/>
      <c r="UKD38" s="3"/>
      <c r="UKE38" s="3"/>
      <c r="UKF38" s="3"/>
      <c r="UKG38" s="3"/>
      <c r="UKH38" s="3"/>
      <c r="UKI38" s="3"/>
      <c r="UKJ38" s="3"/>
      <c r="UKK38" s="3"/>
      <c r="UKL38" s="3"/>
      <c r="UKM38" s="3"/>
      <c r="UKN38" s="3"/>
      <c r="UKO38" s="3"/>
      <c r="UKP38" s="3"/>
      <c r="UKQ38" s="3"/>
      <c r="UKR38" s="3"/>
      <c r="UKS38" s="3"/>
      <c r="UKT38" s="3"/>
      <c r="UKU38" s="3"/>
      <c r="UKV38" s="3"/>
      <c r="UKW38" s="3"/>
      <c r="UKX38" s="3"/>
      <c r="UKY38" s="3"/>
      <c r="UKZ38" s="3"/>
      <c r="ULA38" s="3"/>
      <c r="ULB38" s="3"/>
      <c r="ULC38" s="3"/>
      <c r="ULD38" s="3"/>
      <c r="ULE38" s="3"/>
      <c r="ULF38" s="3"/>
      <c r="ULG38" s="3"/>
      <c r="ULH38" s="3"/>
      <c r="ULI38" s="3"/>
      <c r="ULJ38" s="3"/>
      <c r="ULK38" s="3"/>
      <c r="ULL38" s="3"/>
      <c r="ULM38" s="3"/>
      <c r="ULN38" s="3"/>
      <c r="ULO38" s="3"/>
      <c r="ULP38" s="3"/>
      <c r="ULQ38" s="3"/>
      <c r="ULR38" s="3"/>
      <c r="ULS38" s="3"/>
      <c r="ULT38" s="3"/>
      <c r="ULU38" s="3"/>
      <c r="ULV38" s="3"/>
      <c r="ULW38" s="3"/>
      <c r="ULX38" s="3"/>
      <c r="ULY38" s="3"/>
      <c r="ULZ38" s="3"/>
      <c r="UMA38" s="3"/>
      <c r="UMB38" s="3"/>
      <c r="UMC38" s="3"/>
      <c r="UMD38" s="3"/>
      <c r="UME38" s="3"/>
      <c r="UMF38" s="3"/>
      <c r="UMG38" s="3"/>
      <c r="UMH38" s="3"/>
      <c r="UMI38" s="3"/>
      <c r="UMJ38" s="3"/>
      <c r="UMK38" s="3"/>
      <c r="UML38" s="3"/>
      <c r="UMM38" s="3"/>
      <c r="UMN38" s="3"/>
      <c r="UMO38" s="3"/>
      <c r="UMP38" s="3"/>
      <c r="UMQ38" s="3"/>
      <c r="UMR38" s="3"/>
      <c r="UMS38" s="3"/>
      <c r="UMT38" s="3"/>
      <c r="UMU38" s="3"/>
      <c r="UMV38" s="3"/>
      <c r="UMW38" s="3"/>
      <c r="UMX38" s="3"/>
      <c r="UMY38" s="3"/>
      <c r="UMZ38" s="3"/>
      <c r="UNA38" s="3"/>
      <c r="UNB38" s="3"/>
      <c r="UNC38" s="3"/>
      <c r="UND38" s="3"/>
      <c r="UNE38" s="3"/>
      <c r="UNF38" s="3"/>
      <c r="UNG38" s="3"/>
      <c r="UNH38" s="3"/>
      <c r="UNI38" s="3"/>
      <c r="UNJ38" s="3"/>
      <c r="UNK38" s="3"/>
      <c r="UNL38" s="3"/>
      <c r="UNM38" s="3"/>
      <c r="UNN38" s="3"/>
      <c r="UNO38" s="3"/>
      <c r="UNP38" s="3"/>
      <c r="UNQ38" s="3"/>
      <c r="UNR38" s="3"/>
      <c r="UNS38" s="3"/>
      <c r="UNT38" s="3"/>
      <c r="UNU38" s="3"/>
      <c r="UNV38" s="3"/>
      <c r="UNW38" s="3"/>
      <c r="UNX38" s="3"/>
      <c r="UNY38" s="3"/>
      <c r="UNZ38" s="3"/>
      <c r="UOA38" s="3"/>
      <c r="UOB38" s="3"/>
      <c r="UOC38" s="3"/>
      <c r="UOD38" s="3"/>
      <c r="UOE38" s="3"/>
      <c r="UOF38" s="3"/>
      <c r="UOG38" s="3"/>
      <c r="UOH38" s="3"/>
      <c r="UOI38" s="3"/>
      <c r="UOJ38" s="3"/>
      <c r="UOK38" s="3"/>
      <c r="UOL38" s="3"/>
      <c r="UOM38" s="3"/>
      <c r="UON38" s="3"/>
      <c r="UOO38" s="3"/>
      <c r="UOP38" s="3"/>
      <c r="UOQ38" s="3"/>
      <c r="UOR38" s="3"/>
      <c r="UOS38" s="3"/>
      <c r="UOT38" s="3"/>
      <c r="UOU38" s="3"/>
      <c r="UOV38" s="3"/>
      <c r="UOW38" s="3"/>
      <c r="UOX38" s="3"/>
      <c r="UOY38" s="3"/>
      <c r="UOZ38" s="3"/>
      <c r="UPA38" s="3"/>
      <c r="UPB38" s="3"/>
      <c r="UPC38" s="3"/>
      <c r="UPD38" s="3"/>
      <c r="UPE38" s="3"/>
      <c r="UPF38" s="3"/>
      <c r="UPG38" s="3"/>
      <c r="UPH38" s="3"/>
      <c r="UPI38" s="3"/>
      <c r="UPJ38" s="3"/>
      <c r="UPK38" s="3"/>
      <c r="UPL38" s="3"/>
      <c r="UPM38" s="3"/>
      <c r="UPN38" s="3"/>
      <c r="UPO38" s="3"/>
      <c r="UPP38" s="3"/>
      <c r="UPQ38" s="3"/>
      <c r="UPR38" s="3"/>
      <c r="UPS38" s="3"/>
      <c r="UPT38" s="3"/>
      <c r="UPU38" s="3"/>
      <c r="UPV38" s="3"/>
      <c r="UPW38" s="3"/>
      <c r="UPX38" s="3"/>
      <c r="UPY38" s="3"/>
      <c r="UPZ38" s="3"/>
      <c r="UQA38" s="3"/>
      <c r="UQB38" s="3"/>
      <c r="UQC38" s="3"/>
      <c r="UQD38" s="3"/>
      <c r="UQE38" s="3"/>
      <c r="UQF38" s="3"/>
      <c r="UQG38" s="3"/>
      <c r="UQH38" s="3"/>
      <c r="UQI38" s="3"/>
      <c r="UQJ38" s="3"/>
      <c r="UQK38" s="3"/>
      <c r="UQL38" s="3"/>
      <c r="UQM38" s="3"/>
      <c r="UQN38" s="3"/>
      <c r="UQO38" s="3"/>
      <c r="UQP38" s="3"/>
      <c r="UQQ38" s="3"/>
      <c r="UQR38" s="3"/>
      <c r="UQS38" s="3"/>
      <c r="UQT38" s="3"/>
      <c r="UQU38" s="3"/>
      <c r="UQV38" s="3"/>
      <c r="UQW38" s="3"/>
      <c r="UQX38" s="3"/>
      <c r="UQY38" s="3"/>
      <c r="UQZ38" s="3"/>
      <c r="URA38" s="3"/>
      <c r="URB38" s="3"/>
      <c r="URC38" s="3"/>
      <c r="URD38" s="3"/>
      <c r="URE38" s="3"/>
      <c r="URF38" s="3"/>
      <c r="URG38" s="3"/>
      <c r="URH38" s="3"/>
      <c r="URI38" s="3"/>
      <c r="URJ38" s="3"/>
      <c r="URK38" s="3"/>
      <c r="URL38" s="3"/>
      <c r="URM38" s="3"/>
      <c r="URN38" s="3"/>
      <c r="URO38" s="3"/>
      <c r="URP38" s="3"/>
      <c r="URQ38" s="3"/>
      <c r="URR38" s="3"/>
      <c r="URS38" s="3"/>
      <c r="URT38" s="3"/>
      <c r="URU38" s="3"/>
      <c r="URV38" s="3"/>
      <c r="URW38" s="3"/>
      <c r="URX38" s="3"/>
      <c r="URY38" s="3"/>
      <c r="URZ38" s="3"/>
      <c r="USA38" s="3"/>
      <c r="USB38" s="3"/>
      <c r="USC38" s="3"/>
      <c r="USD38" s="3"/>
      <c r="USE38" s="3"/>
      <c r="USF38" s="3"/>
      <c r="USG38" s="3"/>
      <c r="USH38" s="3"/>
      <c r="USI38" s="3"/>
      <c r="USJ38" s="3"/>
      <c r="USK38" s="3"/>
      <c r="USL38" s="3"/>
      <c r="USM38" s="3"/>
      <c r="USN38" s="3"/>
      <c r="USO38" s="3"/>
      <c r="USP38" s="3"/>
      <c r="USQ38" s="3"/>
      <c r="USR38" s="3"/>
      <c r="USS38" s="3"/>
      <c r="UST38" s="3"/>
      <c r="USU38" s="3"/>
      <c r="USV38" s="3"/>
      <c r="USW38" s="3"/>
      <c r="USX38" s="3"/>
      <c r="USY38" s="3"/>
      <c r="USZ38" s="3"/>
      <c r="UTA38" s="3"/>
      <c r="UTB38" s="3"/>
      <c r="UTC38" s="3"/>
      <c r="UTD38" s="3"/>
      <c r="UTE38" s="3"/>
      <c r="UTF38" s="3"/>
      <c r="UTG38" s="3"/>
      <c r="UTH38" s="3"/>
      <c r="UTI38" s="3"/>
      <c r="UTJ38" s="3"/>
      <c r="UTK38" s="3"/>
      <c r="UTL38" s="3"/>
      <c r="UTM38" s="3"/>
      <c r="UTN38" s="3"/>
      <c r="UTO38" s="3"/>
      <c r="UTP38" s="3"/>
      <c r="UTQ38" s="3"/>
      <c r="UTR38" s="3"/>
      <c r="UTS38" s="3"/>
      <c r="UTT38" s="3"/>
      <c r="UTU38" s="3"/>
      <c r="UTV38" s="3"/>
      <c r="UTW38" s="3"/>
      <c r="UTX38" s="3"/>
      <c r="UTY38" s="3"/>
      <c r="UTZ38" s="3"/>
      <c r="UUA38" s="3"/>
      <c r="UUB38" s="3"/>
      <c r="UUC38" s="3"/>
      <c r="UUD38" s="3"/>
      <c r="UUE38" s="3"/>
      <c r="UUF38" s="3"/>
      <c r="UUG38" s="3"/>
      <c r="UUH38" s="3"/>
      <c r="UUI38" s="3"/>
      <c r="UUJ38" s="3"/>
      <c r="UUK38" s="3"/>
      <c r="UUL38" s="3"/>
      <c r="UUM38" s="3"/>
      <c r="UUN38" s="3"/>
      <c r="UUO38" s="3"/>
      <c r="UUP38" s="3"/>
      <c r="UUQ38" s="3"/>
      <c r="UUR38" s="3"/>
      <c r="UUS38" s="3"/>
      <c r="UUT38" s="3"/>
      <c r="UUU38" s="3"/>
      <c r="UUV38" s="3"/>
      <c r="UUW38" s="3"/>
      <c r="UUX38" s="3"/>
      <c r="UUY38" s="3"/>
      <c r="UUZ38" s="3"/>
      <c r="UVA38" s="3"/>
      <c r="UVB38" s="3"/>
      <c r="UVC38" s="3"/>
      <c r="UVD38" s="3"/>
      <c r="UVE38" s="3"/>
      <c r="UVF38" s="3"/>
      <c r="UVG38" s="3"/>
      <c r="UVH38" s="3"/>
      <c r="UVI38" s="3"/>
      <c r="UVJ38" s="3"/>
      <c r="UVK38" s="3"/>
      <c r="UVL38" s="3"/>
      <c r="UVM38" s="3"/>
      <c r="UVN38" s="3"/>
      <c r="UVO38" s="3"/>
      <c r="UVP38" s="3"/>
      <c r="UVQ38" s="3"/>
      <c r="UVR38" s="3"/>
      <c r="UVS38" s="3"/>
      <c r="UVT38" s="3"/>
      <c r="UVU38" s="3"/>
      <c r="UVV38" s="3"/>
      <c r="UVW38" s="3"/>
      <c r="UVX38" s="3"/>
      <c r="UVY38" s="3"/>
      <c r="UVZ38" s="3"/>
      <c r="UWA38" s="3"/>
      <c r="UWB38" s="3"/>
      <c r="UWC38" s="3"/>
      <c r="UWD38" s="3"/>
      <c r="UWE38" s="3"/>
      <c r="UWF38" s="3"/>
      <c r="UWG38" s="3"/>
      <c r="UWH38" s="3"/>
      <c r="UWI38" s="3"/>
      <c r="UWJ38" s="3"/>
      <c r="UWK38" s="3"/>
      <c r="UWL38" s="3"/>
      <c r="UWM38" s="3"/>
      <c r="UWN38" s="3"/>
      <c r="UWO38" s="3"/>
      <c r="UWP38" s="3"/>
      <c r="UWQ38" s="3"/>
      <c r="UWR38" s="3"/>
      <c r="UWS38" s="3"/>
      <c r="UWT38" s="3"/>
      <c r="UWU38" s="3"/>
      <c r="UWV38" s="3"/>
      <c r="UWW38" s="3"/>
      <c r="UWX38" s="3"/>
      <c r="UWY38" s="3"/>
      <c r="UWZ38" s="3"/>
      <c r="UXA38" s="3"/>
      <c r="UXB38" s="3"/>
      <c r="UXC38" s="3"/>
      <c r="UXD38" s="3"/>
      <c r="UXE38" s="3"/>
      <c r="UXF38" s="3"/>
      <c r="UXG38" s="3"/>
      <c r="UXH38" s="3"/>
      <c r="UXI38" s="3"/>
      <c r="UXJ38" s="3"/>
      <c r="UXK38" s="3"/>
      <c r="UXL38" s="3"/>
      <c r="UXM38" s="3"/>
      <c r="UXN38" s="3"/>
      <c r="UXO38" s="3"/>
      <c r="UXP38" s="3"/>
      <c r="UXQ38" s="3"/>
      <c r="UXR38" s="3"/>
      <c r="UXS38" s="3"/>
      <c r="UXT38" s="3"/>
      <c r="UXU38" s="3"/>
      <c r="UXV38" s="3"/>
      <c r="UXW38" s="3"/>
      <c r="UXX38" s="3"/>
      <c r="UXY38" s="3"/>
      <c r="UXZ38" s="3"/>
      <c r="UYA38" s="3"/>
      <c r="UYB38" s="3"/>
      <c r="UYC38" s="3"/>
      <c r="UYD38" s="3"/>
      <c r="UYE38" s="3"/>
      <c r="UYF38" s="3"/>
      <c r="UYG38" s="3"/>
      <c r="UYH38" s="3"/>
      <c r="UYI38" s="3"/>
      <c r="UYJ38" s="3"/>
      <c r="UYK38" s="3"/>
      <c r="UYL38" s="3"/>
      <c r="UYM38" s="3"/>
      <c r="UYN38" s="3"/>
      <c r="UYO38" s="3"/>
      <c r="UYP38" s="3"/>
      <c r="UYQ38" s="3"/>
      <c r="UYR38" s="3"/>
      <c r="UYS38" s="3"/>
      <c r="UYT38" s="3"/>
      <c r="UYU38" s="3"/>
      <c r="UYV38" s="3"/>
      <c r="UYW38" s="3"/>
      <c r="UYX38" s="3"/>
      <c r="UYY38" s="3"/>
      <c r="UYZ38" s="3"/>
      <c r="UZA38" s="3"/>
      <c r="UZB38" s="3"/>
      <c r="UZC38" s="3"/>
      <c r="UZD38" s="3"/>
      <c r="UZE38" s="3"/>
      <c r="UZF38" s="3"/>
      <c r="UZG38" s="3"/>
      <c r="UZH38" s="3"/>
      <c r="UZI38" s="3"/>
      <c r="UZJ38" s="3"/>
      <c r="UZK38" s="3"/>
      <c r="UZL38" s="3"/>
      <c r="UZM38" s="3"/>
      <c r="UZN38" s="3"/>
      <c r="UZO38" s="3"/>
      <c r="UZP38" s="3"/>
      <c r="UZQ38" s="3"/>
      <c r="UZR38" s="3"/>
      <c r="UZS38" s="3"/>
      <c r="UZT38" s="3"/>
      <c r="UZU38" s="3"/>
      <c r="UZV38" s="3"/>
      <c r="UZW38" s="3"/>
      <c r="UZX38" s="3"/>
      <c r="UZY38" s="3"/>
      <c r="UZZ38" s="3"/>
      <c r="VAA38" s="3"/>
      <c r="VAB38" s="3"/>
      <c r="VAC38" s="3"/>
      <c r="VAD38" s="3"/>
      <c r="VAE38" s="3"/>
      <c r="VAF38" s="3"/>
      <c r="VAG38" s="3"/>
      <c r="VAH38" s="3"/>
      <c r="VAI38" s="3"/>
      <c r="VAJ38" s="3"/>
      <c r="VAK38" s="3"/>
      <c r="VAL38" s="3"/>
      <c r="VAM38" s="3"/>
      <c r="VAN38" s="3"/>
      <c r="VAO38" s="3"/>
      <c r="VAP38" s="3"/>
      <c r="VAQ38" s="3"/>
      <c r="VAR38" s="3"/>
      <c r="VAS38" s="3"/>
      <c r="VAT38" s="3"/>
      <c r="VAU38" s="3"/>
      <c r="VAV38" s="3"/>
      <c r="VAW38" s="3"/>
      <c r="VAX38" s="3"/>
      <c r="VAY38" s="3"/>
      <c r="VAZ38" s="3"/>
      <c r="VBA38" s="3"/>
      <c r="VBB38" s="3"/>
      <c r="VBC38" s="3"/>
      <c r="VBD38" s="3"/>
      <c r="VBE38" s="3"/>
      <c r="VBF38" s="3"/>
      <c r="VBG38" s="3"/>
      <c r="VBH38" s="3"/>
      <c r="VBI38" s="3"/>
      <c r="VBJ38" s="3"/>
      <c r="VBK38" s="3"/>
      <c r="VBL38" s="3"/>
      <c r="VBM38" s="3"/>
      <c r="VBN38" s="3"/>
      <c r="VBO38" s="3"/>
      <c r="VBP38" s="3"/>
      <c r="VBQ38" s="3"/>
      <c r="VBR38" s="3"/>
      <c r="VBS38" s="3"/>
      <c r="VBT38" s="3"/>
      <c r="VBU38" s="3"/>
      <c r="VBV38" s="3"/>
      <c r="VBW38" s="3"/>
      <c r="VBX38" s="3"/>
      <c r="VBY38" s="3"/>
      <c r="VBZ38" s="3"/>
      <c r="VCA38" s="3"/>
      <c r="VCB38" s="3"/>
      <c r="VCC38" s="3"/>
      <c r="VCD38" s="3"/>
      <c r="VCE38" s="3"/>
      <c r="VCF38" s="3"/>
      <c r="VCG38" s="3"/>
      <c r="VCH38" s="3"/>
      <c r="VCI38" s="3"/>
      <c r="VCJ38" s="3"/>
      <c r="VCK38" s="3"/>
      <c r="VCL38" s="3"/>
      <c r="VCM38" s="3"/>
      <c r="VCN38" s="3"/>
      <c r="VCO38" s="3"/>
      <c r="VCP38" s="3"/>
      <c r="VCQ38" s="3"/>
      <c r="VCR38" s="3"/>
      <c r="VCS38" s="3"/>
      <c r="VCT38" s="3"/>
      <c r="VCU38" s="3"/>
      <c r="VCV38" s="3"/>
      <c r="VCW38" s="3"/>
      <c r="VCX38" s="3"/>
      <c r="VCY38" s="3"/>
      <c r="VCZ38" s="3"/>
      <c r="VDA38" s="3"/>
      <c r="VDB38" s="3"/>
      <c r="VDC38" s="3"/>
      <c r="VDD38" s="3"/>
      <c r="VDE38" s="3"/>
      <c r="VDF38" s="3"/>
      <c r="VDG38" s="3"/>
      <c r="VDH38" s="3"/>
      <c r="VDI38" s="3"/>
      <c r="VDJ38" s="3"/>
      <c r="VDK38" s="3"/>
      <c r="VDL38" s="3"/>
      <c r="VDM38" s="3"/>
      <c r="VDN38" s="3"/>
      <c r="VDO38" s="3"/>
      <c r="VDP38" s="3"/>
      <c r="VDQ38" s="3"/>
      <c r="VDR38" s="3"/>
      <c r="VDS38" s="3"/>
      <c r="VDT38" s="3"/>
      <c r="VDU38" s="3"/>
      <c r="VDV38" s="3"/>
      <c r="VDW38" s="3"/>
      <c r="VDX38" s="3"/>
      <c r="VDY38" s="3"/>
      <c r="VDZ38" s="3"/>
      <c r="VEA38" s="3"/>
      <c r="VEB38" s="3"/>
      <c r="VEC38" s="3"/>
      <c r="VED38" s="3"/>
      <c r="VEE38" s="3"/>
      <c r="VEF38" s="3"/>
      <c r="VEG38" s="3"/>
      <c r="VEH38" s="3"/>
      <c r="VEI38" s="3"/>
      <c r="VEJ38" s="3"/>
      <c r="VEK38" s="3"/>
      <c r="VEL38" s="3"/>
      <c r="VEM38" s="3"/>
      <c r="VEN38" s="3"/>
      <c r="VEO38" s="3"/>
      <c r="VEP38" s="3"/>
      <c r="VEQ38" s="3"/>
      <c r="VER38" s="3"/>
      <c r="VES38" s="3"/>
      <c r="VET38" s="3"/>
      <c r="VEU38" s="3"/>
      <c r="VEV38" s="3"/>
      <c r="VEW38" s="3"/>
      <c r="VEX38" s="3"/>
      <c r="VEY38" s="3"/>
      <c r="VEZ38" s="3"/>
      <c r="VFA38" s="3"/>
      <c r="VFB38" s="3"/>
      <c r="VFC38" s="3"/>
      <c r="VFD38" s="3"/>
      <c r="VFE38" s="3"/>
      <c r="VFF38" s="3"/>
      <c r="VFG38" s="3"/>
      <c r="VFH38" s="3"/>
      <c r="VFI38" s="3"/>
      <c r="VFJ38" s="3"/>
      <c r="VFK38" s="3"/>
      <c r="VFL38" s="3"/>
      <c r="VFM38" s="3"/>
      <c r="VFN38" s="3"/>
      <c r="VFO38" s="3"/>
      <c r="VFP38" s="3"/>
      <c r="VFQ38" s="3"/>
      <c r="VFR38" s="3"/>
      <c r="VFS38" s="3"/>
      <c r="VFT38" s="3"/>
      <c r="VFU38" s="3"/>
      <c r="VFV38" s="3"/>
      <c r="VFW38" s="3"/>
      <c r="VFX38" s="3"/>
      <c r="VFY38" s="3"/>
      <c r="VFZ38" s="3"/>
      <c r="VGA38" s="3"/>
      <c r="VGB38" s="3"/>
      <c r="VGC38" s="3"/>
      <c r="VGD38" s="3"/>
      <c r="VGE38" s="3"/>
      <c r="VGF38" s="3"/>
      <c r="VGG38" s="3"/>
      <c r="VGH38" s="3"/>
      <c r="VGI38" s="3"/>
      <c r="VGJ38" s="3"/>
      <c r="VGK38" s="3"/>
      <c r="VGL38" s="3"/>
      <c r="VGM38" s="3"/>
      <c r="VGN38" s="3"/>
      <c r="VGO38" s="3"/>
      <c r="VGP38" s="3"/>
      <c r="VGQ38" s="3"/>
      <c r="VGR38" s="3"/>
      <c r="VGS38" s="3"/>
      <c r="VGT38" s="3"/>
      <c r="VGU38" s="3"/>
      <c r="VGV38" s="3"/>
      <c r="VGW38" s="3"/>
      <c r="VGX38" s="3"/>
      <c r="VGY38" s="3"/>
      <c r="VGZ38" s="3"/>
      <c r="VHA38" s="3"/>
      <c r="VHB38" s="3"/>
      <c r="VHC38" s="3"/>
      <c r="VHD38" s="3"/>
      <c r="VHE38" s="3"/>
      <c r="VHF38" s="3"/>
      <c r="VHG38" s="3"/>
      <c r="VHH38" s="3"/>
      <c r="VHI38" s="3"/>
      <c r="VHJ38" s="3"/>
      <c r="VHK38" s="3"/>
      <c r="VHL38" s="3"/>
      <c r="VHM38" s="3"/>
      <c r="VHN38" s="3"/>
      <c r="VHO38" s="3"/>
      <c r="VHP38" s="3"/>
      <c r="VHQ38" s="3"/>
      <c r="VHR38" s="3"/>
      <c r="VHS38" s="3"/>
      <c r="VHT38" s="3"/>
      <c r="VHU38" s="3"/>
      <c r="VHV38" s="3"/>
      <c r="VHW38" s="3"/>
      <c r="VHX38" s="3"/>
      <c r="VHY38" s="3"/>
      <c r="VHZ38" s="3"/>
      <c r="VIA38" s="3"/>
      <c r="VIB38" s="3"/>
      <c r="VIC38" s="3"/>
      <c r="VID38" s="3"/>
      <c r="VIE38" s="3"/>
      <c r="VIF38" s="3"/>
      <c r="VIG38" s="3"/>
      <c r="VIH38" s="3"/>
      <c r="VII38" s="3"/>
      <c r="VIJ38" s="3"/>
      <c r="VIK38" s="3"/>
      <c r="VIL38" s="3"/>
      <c r="VIM38" s="3"/>
      <c r="VIN38" s="3"/>
      <c r="VIO38" s="3"/>
      <c r="VIP38" s="3"/>
      <c r="VIQ38" s="3"/>
      <c r="VIR38" s="3"/>
      <c r="VIS38" s="3"/>
      <c r="VIT38" s="3"/>
      <c r="VIU38" s="3"/>
      <c r="VIV38" s="3"/>
      <c r="VIW38" s="3"/>
      <c r="VIX38" s="3"/>
      <c r="VIY38" s="3"/>
      <c r="VIZ38" s="3"/>
      <c r="VJA38" s="3"/>
      <c r="VJB38" s="3"/>
      <c r="VJC38" s="3"/>
      <c r="VJD38" s="3"/>
      <c r="VJE38" s="3"/>
      <c r="VJF38" s="3"/>
      <c r="VJG38" s="3"/>
      <c r="VJH38" s="3"/>
      <c r="VJI38" s="3"/>
      <c r="VJJ38" s="3"/>
      <c r="VJK38" s="3"/>
      <c r="VJL38" s="3"/>
      <c r="VJM38" s="3"/>
      <c r="VJN38" s="3"/>
      <c r="VJO38" s="3"/>
      <c r="VJP38" s="3"/>
      <c r="VJQ38" s="3"/>
      <c r="VJR38" s="3"/>
      <c r="VJS38" s="3"/>
      <c r="VJT38" s="3"/>
      <c r="VJU38" s="3"/>
      <c r="VJV38" s="3"/>
      <c r="VJW38" s="3"/>
      <c r="VJX38" s="3"/>
      <c r="VJY38" s="3"/>
      <c r="VJZ38" s="3"/>
      <c r="VKA38" s="3"/>
      <c r="VKB38" s="3"/>
      <c r="VKC38" s="3"/>
      <c r="VKD38" s="3"/>
      <c r="VKE38" s="3"/>
      <c r="VKF38" s="3"/>
      <c r="VKG38" s="3"/>
      <c r="VKH38" s="3"/>
      <c r="VKI38" s="3"/>
      <c r="VKJ38" s="3"/>
      <c r="VKK38" s="3"/>
      <c r="VKL38" s="3"/>
      <c r="VKM38" s="3"/>
      <c r="VKN38" s="3"/>
      <c r="VKO38" s="3"/>
      <c r="VKP38" s="3"/>
      <c r="VKQ38" s="3"/>
      <c r="VKR38" s="3"/>
      <c r="VKS38" s="3"/>
      <c r="VKT38" s="3"/>
      <c r="VKU38" s="3"/>
      <c r="VKV38" s="3"/>
      <c r="VKW38" s="3"/>
      <c r="VKX38" s="3"/>
      <c r="VKY38" s="3"/>
      <c r="VKZ38" s="3"/>
      <c r="VLA38" s="3"/>
      <c r="VLB38" s="3"/>
      <c r="VLC38" s="3"/>
      <c r="VLD38" s="3"/>
      <c r="VLE38" s="3"/>
      <c r="VLF38" s="3"/>
      <c r="VLG38" s="3"/>
      <c r="VLH38" s="3"/>
      <c r="VLI38" s="3"/>
      <c r="VLJ38" s="3"/>
      <c r="VLK38" s="3"/>
      <c r="VLL38" s="3"/>
      <c r="VLM38" s="3"/>
      <c r="VLN38" s="3"/>
      <c r="VLO38" s="3"/>
      <c r="VLP38" s="3"/>
      <c r="VLQ38" s="3"/>
      <c r="VLR38" s="3"/>
      <c r="VLS38" s="3"/>
      <c r="VLT38" s="3"/>
      <c r="VLU38" s="3"/>
      <c r="VLV38" s="3"/>
      <c r="VLW38" s="3"/>
      <c r="VLX38" s="3"/>
      <c r="VLY38" s="3"/>
      <c r="VLZ38" s="3"/>
      <c r="VMA38" s="3"/>
      <c r="VMB38" s="3"/>
      <c r="VMC38" s="3"/>
      <c r="VMD38" s="3"/>
      <c r="VME38" s="3"/>
      <c r="VMF38" s="3"/>
      <c r="VMG38" s="3"/>
      <c r="VMH38" s="3"/>
      <c r="VMI38" s="3"/>
      <c r="VMJ38" s="3"/>
      <c r="VMK38" s="3"/>
      <c r="VML38" s="3"/>
      <c r="VMM38" s="3"/>
      <c r="VMN38" s="3"/>
      <c r="VMO38" s="3"/>
      <c r="VMP38" s="3"/>
      <c r="VMQ38" s="3"/>
      <c r="VMR38" s="3"/>
      <c r="VMS38" s="3"/>
      <c r="VMT38" s="3"/>
      <c r="VMU38" s="3"/>
      <c r="VMV38" s="3"/>
      <c r="VMW38" s="3"/>
      <c r="VMX38" s="3"/>
      <c r="VMY38" s="3"/>
      <c r="VMZ38" s="3"/>
      <c r="VNA38" s="3"/>
      <c r="VNB38" s="3"/>
      <c r="VNC38" s="3"/>
      <c r="VND38" s="3"/>
      <c r="VNE38" s="3"/>
      <c r="VNF38" s="3"/>
      <c r="VNG38" s="3"/>
      <c r="VNH38" s="3"/>
      <c r="VNI38" s="3"/>
      <c r="VNJ38" s="3"/>
      <c r="VNK38" s="3"/>
      <c r="VNL38" s="3"/>
      <c r="VNM38" s="3"/>
      <c r="VNN38" s="3"/>
      <c r="VNO38" s="3"/>
      <c r="VNP38" s="3"/>
      <c r="VNQ38" s="3"/>
      <c r="VNR38" s="3"/>
      <c r="VNS38" s="3"/>
      <c r="VNT38" s="3"/>
      <c r="VNU38" s="3"/>
      <c r="VNV38" s="3"/>
      <c r="VNW38" s="3"/>
      <c r="VNX38" s="3"/>
      <c r="VNY38" s="3"/>
      <c r="VNZ38" s="3"/>
      <c r="VOA38" s="3"/>
      <c r="VOB38" s="3"/>
      <c r="VOC38" s="3"/>
      <c r="VOD38" s="3"/>
      <c r="VOE38" s="3"/>
      <c r="VOF38" s="3"/>
      <c r="VOG38" s="3"/>
      <c r="VOH38" s="3"/>
      <c r="VOI38" s="3"/>
      <c r="VOJ38" s="3"/>
      <c r="VOK38" s="3"/>
      <c r="VOL38" s="3"/>
      <c r="VOM38" s="3"/>
      <c r="VON38" s="3"/>
      <c r="VOO38" s="3"/>
      <c r="VOP38" s="3"/>
      <c r="VOQ38" s="3"/>
      <c r="VOR38" s="3"/>
      <c r="VOS38" s="3"/>
      <c r="VOT38" s="3"/>
      <c r="VOU38" s="3"/>
      <c r="VOV38" s="3"/>
      <c r="VOW38" s="3"/>
      <c r="VOX38" s="3"/>
      <c r="VOY38" s="3"/>
      <c r="VOZ38" s="3"/>
      <c r="VPA38" s="3"/>
      <c r="VPB38" s="3"/>
      <c r="VPC38" s="3"/>
      <c r="VPD38" s="3"/>
      <c r="VPE38" s="3"/>
      <c r="VPF38" s="3"/>
      <c r="VPG38" s="3"/>
      <c r="VPH38" s="3"/>
      <c r="VPI38" s="3"/>
      <c r="VPJ38" s="3"/>
      <c r="VPK38" s="3"/>
      <c r="VPL38" s="3"/>
      <c r="VPM38" s="3"/>
      <c r="VPN38" s="3"/>
      <c r="VPO38" s="3"/>
      <c r="VPP38" s="3"/>
      <c r="VPQ38" s="3"/>
      <c r="VPR38" s="3"/>
      <c r="VPS38" s="3"/>
      <c r="VPT38" s="3"/>
      <c r="VPU38" s="3"/>
      <c r="VPV38" s="3"/>
      <c r="VPW38" s="3"/>
      <c r="VPX38" s="3"/>
      <c r="VPY38" s="3"/>
      <c r="VPZ38" s="3"/>
      <c r="VQA38" s="3"/>
      <c r="VQB38" s="3"/>
      <c r="VQC38" s="3"/>
      <c r="VQD38" s="3"/>
      <c r="VQE38" s="3"/>
      <c r="VQF38" s="3"/>
      <c r="VQG38" s="3"/>
      <c r="VQH38" s="3"/>
      <c r="VQI38" s="3"/>
      <c r="VQJ38" s="3"/>
      <c r="VQK38" s="3"/>
      <c r="VQL38" s="3"/>
      <c r="VQM38" s="3"/>
      <c r="VQN38" s="3"/>
      <c r="VQO38" s="3"/>
      <c r="VQP38" s="3"/>
      <c r="VQQ38" s="3"/>
      <c r="VQR38" s="3"/>
      <c r="VQS38" s="3"/>
      <c r="VQT38" s="3"/>
      <c r="VQU38" s="3"/>
      <c r="VQV38" s="3"/>
      <c r="VQW38" s="3"/>
      <c r="VQX38" s="3"/>
      <c r="VQY38" s="3"/>
      <c r="VQZ38" s="3"/>
      <c r="VRA38" s="3"/>
      <c r="VRB38" s="3"/>
      <c r="VRC38" s="3"/>
      <c r="VRD38" s="3"/>
      <c r="VRE38" s="3"/>
      <c r="VRF38" s="3"/>
      <c r="VRG38" s="3"/>
      <c r="VRH38" s="3"/>
      <c r="VRI38" s="3"/>
      <c r="VRJ38" s="3"/>
      <c r="VRK38" s="3"/>
      <c r="VRL38" s="3"/>
      <c r="VRM38" s="3"/>
      <c r="VRN38" s="3"/>
      <c r="VRO38" s="3"/>
      <c r="VRP38" s="3"/>
      <c r="VRQ38" s="3"/>
      <c r="VRR38" s="3"/>
      <c r="VRS38" s="3"/>
      <c r="VRT38" s="3"/>
      <c r="VRU38" s="3"/>
      <c r="VRV38" s="3"/>
      <c r="VRW38" s="3"/>
      <c r="VRX38" s="3"/>
      <c r="VRY38" s="3"/>
      <c r="VRZ38" s="3"/>
      <c r="VSA38" s="3"/>
      <c r="VSB38" s="3"/>
      <c r="VSC38" s="3"/>
      <c r="VSD38" s="3"/>
      <c r="VSE38" s="3"/>
      <c r="VSF38" s="3"/>
      <c r="VSG38" s="3"/>
      <c r="VSH38" s="3"/>
      <c r="VSI38" s="3"/>
      <c r="VSJ38" s="3"/>
      <c r="VSK38" s="3"/>
      <c r="VSL38" s="3"/>
      <c r="VSM38" s="3"/>
      <c r="VSN38" s="3"/>
      <c r="VSO38" s="3"/>
      <c r="VSP38" s="3"/>
      <c r="VSQ38" s="3"/>
      <c r="VSR38" s="3"/>
      <c r="VSS38" s="3"/>
      <c r="VST38" s="3"/>
      <c r="VSU38" s="3"/>
      <c r="VSV38" s="3"/>
      <c r="VSW38" s="3"/>
      <c r="VSX38" s="3"/>
      <c r="VSY38" s="3"/>
      <c r="VSZ38" s="3"/>
      <c r="VTA38" s="3"/>
      <c r="VTB38" s="3"/>
      <c r="VTC38" s="3"/>
      <c r="VTD38" s="3"/>
      <c r="VTE38" s="3"/>
      <c r="VTF38" s="3"/>
      <c r="VTG38" s="3"/>
      <c r="VTH38" s="3"/>
      <c r="VTI38" s="3"/>
      <c r="VTJ38" s="3"/>
      <c r="VTK38" s="3"/>
      <c r="VTL38" s="3"/>
      <c r="VTM38" s="3"/>
      <c r="VTN38" s="3"/>
      <c r="VTO38" s="3"/>
      <c r="VTP38" s="3"/>
      <c r="VTQ38" s="3"/>
      <c r="VTR38" s="3"/>
      <c r="VTS38" s="3"/>
      <c r="VTT38" s="3"/>
      <c r="VTU38" s="3"/>
      <c r="VTV38" s="3"/>
      <c r="VTW38" s="3"/>
      <c r="VTX38" s="3"/>
      <c r="VTY38" s="3"/>
      <c r="VTZ38" s="3"/>
      <c r="VUA38" s="3"/>
      <c r="VUB38" s="3"/>
      <c r="VUC38" s="3"/>
      <c r="VUD38" s="3"/>
      <c r="VUE38" s="3"/>
      <c r="VUF38" s="3"/>
      <c r="VUG38" s="3"/>
      <c r="VUH38" s="3"/>
      <c r="VUI38" s="3"/>
      <c r="VUJ38" s="3"/>
      <c r="VUK38" s="3"/>
      <c r="VUL38" s="3"/>
      <c r="VUM38" s="3"/>
      <c r="VUN38" s="3"/>
      <c r="VUO38" s="3"/>
      <c r="VUP38" s="3"/>
      <c r="VUQ38" s="3"/>
      <c r="VUR38" s="3"/>
      <c r="VUS38" s="3"/>
      <c r="VUT38" s="3"/>
      <c r="VUU38" s="3"/>
      <c r="VUV38" s="3"/>
      <c r="VUW38" s="3"/>
      <c r="VUX38" s="3"/>
      <c r="VUY38" s="3"/>
      <c r="VUZ38" s="3"/>
      <c r="VVA38" s="3"/>
      <c r="VVB38" s="3"/>
      <c r="VVC38" s="3"/>
      <c r="VVD38" s="3"/>
      <c r="VVE38" s="3"/>
      <c r="VVF38" s="3"/>
      <c r="VVG38" s="3"/>
      <c r="VVH38" s="3"/>
      <c r="VVI38" s="3"/>
      <c r="VVJ38" s="3"/>
      <c r="VVK38" s="3"/>
      <c r="VVL38" s="3"/>
      <c r="VVM38" s="3"/>
      <c r="VVN38" s="3"/>
      <c r="VVO38" s="3"/>
      <c r="VVP38" s="3"/>
      <c r="VVQ38" s="3"/>
      <c r="VVR38" s="3"/>
      <c r="VVS38" s="3"/>
      <c r="VVT38" s="3"/>
      <c r="VVU38" s="3"/>
      <c r="VVV38" s="3"/>
      <c r="VVW38" s="3"/>
      <c r="VVX38" s="3"/>
      <c r="VVY38" s="3"/>
      <c r="VVZ38" s="3"/>
      <c r="VWA38" s="3"/>
      <c r="VWB38" s="3"/>
      <c r="VWC38" s="3"/>
      <c r="VWD38" s="3"/>
      <c r="VWE38" s="3"/>
      <c r="VWF38" s="3"/>
      <c r="VWG38" s="3"/>
      <c r="VWH38" s="3"/>
      <c r="VWI38" s="3"/>
      <c r="VWJ38" s="3"/>
      <c r="VWK38" s="3"/>
      <c r="VWL38" s="3"/>
      <c r="VWM38" s="3"/>
      <c r="VWN38" s="3"/>
      <c r="VWO38" s="3"/>
      <c r="VWP38" s="3"/>
      <c r="VWQ38" s="3"/>
      <c r="VWR38" s="3"/>
      <c r="VWS38" s="3"/>
      <c r="VWT38" s="3"/>
      <c r="VWU38" s="3"/>
      <c r="VWV38" s="3"/>
      <c r="VWW38" s="3"/>
      <c r="VWX38" s="3"/>
      <c r="VWY38" s="3"/>
      <c r="VWZ38" s="3"/>
      <c r="VXA38" s="3"/>
      <c r="VXB38" s="3"/>
      <c r="VXC38" s="3"/>
      <c r="VXD38" s="3"/>
      <c r="VXE38" s="3"/>
      <c r="VXF38" s="3"/>
      <c r="VXG38" s="3"/>
      <c r="VXH38" s="3"/>
      <c r="VXI38" s="3"/>
      <c r="VXJ38" s="3"/>
      <c r="VXK38" s="3"/>
      <c r="VXL38" s="3"/>
      <c r="VXM38" s="3"/>
      <c r="VXN38" s="3"/>
      <c r="VXO38" s="3"/>
      <c r="VXP38" s="3"/>
      <c r="VXQ38" s="3"/>
      <c r="VXR38" s="3"/>
      <c r="VXS38" s="3"/>
      <c r="VXT38" s="3"/>
      <c r="VXU38" s="3"/>
      <c r="VXV38" s="3"/>
      <c r="VXW38" s="3"/>
      <c r="VXX38" s="3"/>
      <c r="VXY38" s="3"/>
      <c r="VXZ38" s="3"/>
      <c r="VYA38" s="3"/>
      <c r="VYB38" s="3"/>
      <c r="VYC38" s="3"/>
      <c r="VYD38" s="3"/>
      <c r="VYE38" s="3"/>
      <c r="VYF38" s="3"/>
      <c r="VYG38" s="3"/>
      <c r="VYH38" s="3"/>
      <c r="VYI38" s="3"/>
      <c r="VYJ38" s="3"/>
      <c r="VYK38" s="3"/>
      <c r="VYL38" s="3"/>
      <c r="VYM38" s="3"/>
      <c r="VYN38" s="3"/>
      <c r="VYO38" s="3"/>
      <c r="VYP38" s="3"/>
      <c r="VYQ38" s="3"/>
      <c r="VYR38" s="3"/>
      <c r="VYS38" s="3"/>
      <c r="VYT38" s="3"/>
      <c r="VYU38" s="3"/>
      <c r="VYV38" s="3"/>
      <c r="VYW38" s="3"/>
      <c r="VYX38" s="3"/>
      <c r="VYY38" s="3"/>
      <c r="VYZ38" s="3"/>
      <c r="VZA38" s="3"/>
      <c r="VZB38" s="3"/>
      <c r="VZC38" s="3"/>
      <c r="VZD38" s="3"/>
      <c r="VZE38" s="3"/>
      <c r="VZF38" s="3"/>
      <c r="VZG38" s="3"/>
      <c r="VZH38" s="3"/>
      <c r="VZI38" s="3"/>
      <c r="VZJ38" s="3"/>
      <c r="VZK38" s="3"/>
      <c r="VZL38" s="3"/>
      <c r="VZM38" s="3"/>
      <c r="VZN38" s="3"/>
      <c r="VZO38" s="3"/>
      <c r="VZP38" s="3"/>
      <c r="VZQ38" s="3"/>
      <c r="VZR38" s="3"/>
      <c r="VZS38" s="3"/>
      <c r="VZT38" s="3"/>
      <c r="VZU38" s="3"/>
      <c r="VZV38" s="3"/>
      <c r="VZW38" s="3"/>
      <c r="VZX38" s="3"/>
      <c r="VZY38" s="3"/>
      <c r="VZZ38" s="3"/>
      <c r="WAA38" s="3"/>
      <c r="WAB38" s="3"/>
      <c r="WAC38" s="3"/>
      <c r="WAD38" s="3"/>
      <c r="WAE38" s="3"/>
      <c r="WAF38" s="3"/>
      <c r="WAG38" s="3"/>
      <c r="WAH38" s="3"/>
      <c r="WAI38" s="3"/>
      <c r="WAJ38" s="3"/>
      <c r="WAK38" s="3"/>
      <c r="WAL38" s="3"/>
      <c r="WAM38" s="3"/>
      <c r="WAN38" s="3"/>
      <c r="WAO38" s="3"/>
      <c r="WAP38" s="3"/>
      <c r="WAQ38" s="3"/>
      <c r="WAR38" s="3"/>
      <c r="WAS38" s="3"/>
      <c r="WAT38" s="3"/>
      <c r="WAU38" s="3"/>
      <c r="WAV38" s="3"/>
      <c r="WAW38" s="3"/>
      <c r="WAX38" s="3"/>
      <c r="WAY38" s="3"/>
      <c r="WAZ38" s="3"/>
      <c r="WBA38" s="3"/>
      <c r="WBB38" s="3"/>
      <c r="WBC38" s="3"/>
      <c r="WBD38" s="3"/>
      <c r="WBE38" s="3"/>
      <c r="WBF38" s="3"/>
      <c r="WBG38" s="3"/>
      <c r="WBH38" s="3"/>
      <c r="WBI38" s="3"/>
      <c r="WBJ38" s="3"/>
      <c r="WBK38" s="3"/>
      <c r="WBL38" s="3"/>
      <c r="WBM38" s="3"/>
      <c r="WBN38" s="3"/>
      <c r="WBO38" s="3"/>
      <c r="WBP38" s="3"/>
      <c r="WBQ38" s="3"/>
      <c r="WBR38" s="3"/>
      <c r="WBS38" s="3"/>
      <c r="WBT38" s="3"/>
      <c r="WBU38" s="3"/>
      <c r="WBV38" s="3"/>
      <c r="WBW38" s="3"/>
      <c r="WBX38" s="3"/>
      <c r="WBY38" s="3"/>
      <c r="WBZ38" s="3"/>
      <c r="WCA38" s="3"/>
      <c r="WCB38" s="3"/>
      <c r="WCC38" s="3"/>
      <c r="WCD38" s="3"/>
      <c r="WCE38" s="3"/>
      <c r="WCF38" s="3"/>
      <c r="WCG38" s="3"/>
      <c r="WCH38" s="3"/>
      <c r="WCI38" s="3"/>
      <c r="WCJ38" s="3"/>
      <c r="WCK38" s="3"/>
      <c r="WCL38" s="3"/>
      <c r="WCM38" s="3"/>
      <c r="WCN38" s="3"/>
      <c r="WCO38" s="3"/>
      <c r="WCP38" s="3"/>
      <c r="WCQ38" s="3"/>
      <c r="WCR38" s="3"/>
      <c r="WCS38" s="3"/>
      <c r="WCT38" s="3"/>
      <c r="WCU38" s="3"/>
      <c r="WCV38" s="3"/>
      <c r="WCW38" s="3"/>
      <c r="WCX38" s="3"/>
      <c r="WCY38" s="3"/>
      <c r="WCZ38" s="3"/>
      <c r="WDA38" s="3"/>
      <c r="WDB38" s="3"/>
      <c r="WDC38" s="3"/>
      <c r="WDD38" s="3"/>
      <c r="WDE38" s="3"/>
      <c r="WDF38" s="3"/>
      <c r="WDG38" s="3"/>
      <c r="WDH38" s="3"/>
      <c r="WDI38" s="3"/>
      <c r="WDJ38" s="3"/>
      <c r="WDK38" s="3"/>
      <c r="WDL38" s="3"/>
      <c r="WDM38" s="3"/>
      <c r="WDN38" s="3"/>
      <c r="WDO38" s="3"/>
      <c r="WDP38" s="3"/>
      <c r="WDQ38" s="3"/>
      <c r="WDR38" s="3"/>
      <c r="WDS38" s="3"/>
      <c r="WDT38" s="3"/>
      <c r="WDU38" s="3"/>
      <c r="WDV38" s="3"/>
      <c r="WDW38" s="3"/>
      <c r="WDX38" s="3"/>
      <c r="WDY38" s="3"/>
      <c r="WDZ38" s="3"/>
      <c r="WEA38" s="3"/>
      <c r="WEB38" s="3"/>
      <c r="WEC38" s="3"/>
      <c r="WED38" s="3"/>
      <c r="WEE38" s="3"/>
      <c r="WEF38" s="3"/>
      <c r="WEG38" s="3"/>
      <c r="WEH38" s="3"/>
      <c r="WEI38" s="3"/>
      <c r="WEJ38" s="3"/>
      <c r="WEK38" s="3"/>
      <c r="WEL38" s="3"/>
      <c r="WEM38" s="3"/>
      <c r="WEN38" s="3"/>
      <c r="WEO38" s="3"/>
      <c r="WEP38" s="3"/>
      <c r="WEQ38" s="3"/>
      <c r="WER38" s="3"/>
      <c r="WES38" s="3"/>
      <c r="WET38" s="3"/>
      <c r="WEU38" s="3"/>
      <c r="WEV38" s="3"/>
      <c r="WEW38" s="3"/>
      <c r="WEX38" s="3"/>
      <c r="WEY38" s="3"/>
      <c r="WEZ38" s="3"/>
      <c r="WFA38" s="3"/>
      <c r="WFB38" s="3"/>
      <c r="WFC38" s="3"/>
      <c r="WFD38" s="3"/>
      <c r="WFE38" s="3"/>
      <c r="WFF38" s="3"/>
      <c r="WFG38" s="3"/>
      <c r="WFH38" s="3"/>
      <c r="WFI38" s="3"/>
      <c r="WFJ38" s="3"/>
      <c r="WFK38" s="3"/>
      <c r="WFL38" s="3"/>
      <c r="WFM38" s="3"/>
      <c r="WFN38" s="3"/>
      <c r="WFO38" s="3"/>
      <c r="WFP38" s="3"/>
      <c r="WFQ38" s="3"/>
      <c r="WFR38" s="3"/>
      <c r="WFS38" s="3"/>
      <c r="WFT38" s="3"/>
      <c r="WFU38" s="3"/>
      <c r="WFV38" s="3"/>
      <c r="WFW38" s="3"/>
      <c r="WFX38" s="3"/>
      <c r="WFY38" s="3"/>
      <c r="WFZ38" s="3"/>
      <c r="WGA38" s="3"/>
      <c r="WGB38" s="3"/>
      <c r="WGC38" s="3"/>
      <c r="WGD38" s="3"/>
      <c r="WGE38" s="3"/>
      <c r="WGF38" s="3"/>
      <c r="WGG38" s="3"/>
      <c r="WGH38" s="3"/>
      <c r="WGI38" s="3"/>
      <c r="WGJ38" s="3"/>
      <c r="WGK38" s="3"/>
      <c r="WGL38" s="3"/>
      <c r="WGM38" s="3"/>
      <c r="WGN38" s="3"/>
      <c r="WGO38" s="3"/>
      <c r="WGP38" s="3"/>
      <c r="WGQ38" s="3"/>
      <c r="WGR38" s="3"/>
      <c r="WGS38" s="3"/>
      <c r="WGT38" s="3"/>
      <c r="WGU38" s="3"/>
      <c r="WGV38" s="3"/>
      <c r="WGW38" s="3"/>
      <c r="WGX38" s="3"/>
      <c r="WGY38" s="3"/>
      <c r="WGZ38" s="3"/>
      <c r="WHA38" s="3"/>
      <c r="WHB38" s="3"/>
      <c r="WHC38" s="3"/>
      <c r="WHD38" s="3"/>
      <c r="WHE38" s="3"/>
      <c r="WHF38" s="3"/>
      <c r="WHG38" s="3"/>
      <c r="WHH38" s="3"/>
      <c r="WHI38" s="3"/>
      <c r="WHJ38" s="3"/>
      <c r="WHK38" s="3"/>
      <c r="WHL38" s="3"/>
      <c r="WHM38" s="3"/>
      <c r="WHN38" s="3"/>
      <c r="WHO38" s="3"/>
      <c r="WHP38" s="3"/>
      <c r="WHQ38" s="3"/>
      <c r="WHR38" s="3"/>
      <c r="WHS38" s="3"/>
      <c r="WHT38" s="3"/>
      <c r="WHU38" s="3"/>
      <c r="WHV38" s="3"/>
      <c r="WHW38" s="3"/>
      <c r="WHX38" s="3"/>
      <c r="WHY38" s="3"/>
      <c r="WHZ38" s="3"/>
      <c r="WIA38" s="3"/>
      <c r="WIB38" s="3"/>
      <c r="WIC38" s="3"/>
      <c r="WID38" s="3"/>
      <c r="WIE38" s="3"/>
      <c r="WIF38" s="3"/>
      <c r="WIG38" s="3"/>
      <c r="WIH38" s="3"/>
      <c r="WII38" s="3"/>
      <c r="WIJ38" s="3"/>
      <c r="WIK38" s="3"/>
      <c r="WIL38" s="3"/>
      <c r="WIM38" s="3"/>
      <c r="WIN38" s="3"/>
      <c r="WIO38" s="3"/>
      <c r="WIP38" s="3"/>
      <c r="WIQ38" s="3"/>
      <c r="WIR38" s="3"/>
      <c r="WIS38" s="3"/>
      <c r="WIT38" s="3"/>
      <c r="WIU38" s="3"/>
      <c r="WIV38" s="3"/>
      <c r="WIW38" s="3"/>
      <c r="WIX38" s="3"/>
      <c r="WIY38" s="3"/>
      <c r="WIZ38" s="3"/>
      <c r="WJA38" s="3"/>
      <c r="WJB38" s="3"/>
      <c r="WJC38" s="3"/>
      <c r="WJD38" s="3"/>
      <c r="WJE38" s="3"/>
      <c r="WJF38" s="3"/>
      <c r="WJG38" s="3"/>
      <c r="WJH38" s="3"/>
      <c r="WJI38" s="3"/>
      <c r="WJJ38" s="3"/>
      <c r="WJK38" s="3"/>
      <c r="WJL38" s="3"/>
      <c r="WJM38" s="3"/>
      <c r="WJN38" s="3"/>
      <c r="WJO38" s="3"/>
      <c r="WJP38" s="3"/>
      <c r="WJQ38" s="3"/>
      <c r="WJR38" s="3"/>
      <c r="WJS38" s="3"/>
      <c r="WJT38" s="3"/>
      <c r="WJU38" s="3"/>
      <c r="WJV38" s="3"/>
      <c r="WJW38" s="3"/>
      <c r="WJX38" s="3"/>
      <c r="WJY38" s="3"/>
      <c r="WJZ38" s="3"/>
      <c r="WKA38" s="3"/>
      <c r="WKB38" s="3"/>
      <c r="WKC38" s="3"/>
      <c r="WKD38" s="3"/>
      <c r="WKE38" s="3"/>
      <c r="WKF38" s="3"/>
      <c r="WKG38" s="3"/>
      <c r="WKH38" s="3"/>
      <c r="WKI38" s="3"/>
      <c r="WKJ38" s="3"/>
      <c r="WKK38" s="3"/>
      <c r="WKL38" s="3"/>
      <c r="WKM38" s="3"/>
      <c r="WKN38" s="3"/>
      <c r="WKO38" s="3"/>
      <c r="WKP38" s="3"/>
      <c r="WKQ38" s="3"/>
      <c r="WKR38" s="3"/>
      <c r="WKS38" s="3"/>
      <c r="WKT38" s="3"/>
      <c r="WKU38" s="3"/>
      <c r="WKV38" s="3"/>
      <c r="WKW38" s="3"/>
      <c r="WKX38" s="3"/>
      <c r="WKY38" s="3"/>
      <c r="WKZ38" s="3"/>
      <c r="WLA38" s="3"/>
      <c r="WLB38" s="3"/>
      <c r="WLC38" s="3"/>
      <c r="WLD38" s="3"/>
      <c r="WLE38" s="3"/>
      <c r="WLF38" s="3"/>
      <c r="WLG38" s="3"/>
      <c r="WLH38" s="3"/>
      <c r="WLI38" s="3"/>
      <c r="WLJ38" s="3"/>
      <c r="WLK38" s="3"/>
      <c r="WLL38" s="3"/>
      <c r="WLM38" s="3"/>
      <c r="WLN38" s="3"/>
      <c r="WLO38" s="3"/>
      <c r="WLP38" s="3"/>
      <c r="WLQ38" s="3"/>
      <c r="WLR38" s="3"/>
      <c r="WLS38" s="3"/>
      <c r="WLT38" s="3"/>
      <c r="WLU38" s="3"/>
      <c r="WLV38" s="3"/>
      <c r="WLW38" s="3"/>
      <c r="WLX38" s="3"/>
      <c r="WLY38" s="3"/>
      <c r="WLZ38" s="3"/>
      <c r="WMA38" s="3"/>
      <c r="WMB38" s="3"/>
      <c r="WMC38" s="3"/>
      <c r="WMD38" s="3"/>
      <c r="WME38" s="3"/>
      <c r="WMF38" s="3"/>
      <c r="WMG38" s="3"/>
      <c r="WMH38" s="3"/>
      <c r="WMI38" s="3"/>
      <c r="WMJ38" s="3"/>
      <c r="WMK38" s="3"/>
      <c r="WML38" s="3"/>
      <c r="WMM38" s="3"/>
      <c r="WMN38" s="3"/>
      <c r="WMO38" s="3"/>
      <c r="WMP38" s="3"/>
      <c r="WMQ38" s="3"/>
      <c r="WMR38" s="3"/>
      <c r="WMS38" s="3"/>
      <c r="WMT38" s="3"/>
      <c r="WMU38" s="3"/>
      <c r="WMV38" s="3"/>
      <c r="WMW38" s="3"/>
      <c r="WMX38" s="3"/>
      <c r="WMY38" s="3"/>
      <c r="WMZ38" s="3"/>
      <c r="WNA38" s="3"/>
      <c r="WNB38" s="3"/>
      <c r="WNC38" s="3"/>
      <c r="WND38" s="3"/>
      <c r="WNE38" s="3"/>
      <c r="WNF38" s="3"/>
      <c r="WNG38" s="3"/>
      <c r="WNH38" s="3"/>
      <c r="WNI38" s="3"/>
      <c r="WNJ38" s="3"/>
      <c r="WNK38" s="3"/>
      <c r="WNL38" s="3"/>
      <c r="WNM38" s="3"/>
      <c r="WNN38" s="3"/>
      <c r="WNO38" s="3"/>
      <c r="WNP38" s="3"/>
      <c r="WNQ38" s="3"/>
      <c r="WNR38" s="3"/>
      <c r="WNS38" s="3"/>
      <c r="WNT38" s="3"/>
      <c r="WNU38" s="3"/>
      <c r="WNV38" s="3"/>
      <c r="WNW38" s="3"/>
      <c r="WNX38" s="3"/>
      <c r="WNY38" s="3"/>
      <c r="WNZ38" s="3"/>
      <c r="WOA38" s="3"/>
      <c r="WOB38" s="3"/>
      <c r="WOC38" s="3"/>
      <c r="WOD38" s="3"/>
      <c r="WOE38" s="3"/>
      <c r="WOF38" s="3"/>
      <c r="WOG38" s="3"/>
      <c r="WOH38" s="3"/>
      <c r="WOI38" s="3"/>
      <c r="WOJ38" s="3"/>
      <c r="WOK38" s="3"/>
      <c r="WOL38" s="3"/>
      <c r="WOM38" s="3"/>
      <c r="WON38" s="3"/>
      <c r="WOO38" s="3"/>
      <c r="WOP38" s="3"/>
      <c r="WOQ38" s="3"/>
      <c r="WOR38" s="3"/>
      <c r="WOS38" s="3"/>
      <c r="WOT38" s="3"/>
      <c r="WOU38" s="3"/>
      <c r="WOV38" s="3"/>
      <c r="WOW38" s="3"/>
      <c r="WOX38" s="3"/>
      <c r="WOY38" s="3"/>
      <c r="WOZ38" s="3"/>
      <c r="WPA38" s="3"/>
      <c r="WPB38" s="3"/>
      <c r="WPC38" s="3"/>
      <c r="WPD38" s="3"/>
      <c r="WPE38" s="3"/>
      <c r="WPF38" s="3"/>
      <c r="WPG38" s="3"/>
      <c r="WPH38" s="3"/>
      <c r="WPI38" s="3"/>
      <c r="WPJ38" s="3"/>
      <c r="WPK38" s="3"/>
      <c r="WPL38" s="3"/>
      <c r="WPM38" s="3"/>
      <c r="WPN38" s="3"/>
      <c r="WPO38" s="3"/>
      <c r="WPP38" s="3"/>
      <c r="WPQ38" s="3"/>
      <c r="WPR38" s="3"/>
      <c r="WPS38" s="3"/>
      <c r="WPT38" s="3"/>
      <c r="WPU38" s="3"/>
      <c r="WPV38" s="3"/>
      <c r="WPW38" s="3"/>
      <c r="WPX38" s="3"/>
      <c r="WPY38" s="3"/>
      <c r="WPZ38" s="3"/>
      <c r="WQA38" s="3"/>
      <c r="WQB38" s="3"/>
      <c r="WQC38" s="3"/>
      <c r="WQD38" s="3"/>
      <c r="WQE38" s="3"/>
      <c r="WQF38" s="3"/>
      <c r="WQG38" s="3"/>
      <c r="WQH38" s="3"/>
      <c r="WQI38" s="3"/>
      <c r="WQJ38" s="3"/>
      <c r="WQK38" s="3"/>
      <c r="WQL38" s="3"/>
      <c r="WQM38" s="3"/>
      <c r="WQN38" s="3"/>
      <c r="WQO38" s="3"/>
      <c r="WQP38" s="3"/>
      <c r="WQQ38" s="3"/>
      <c r="WQR38" s="3"/>
      <c r="WQS38" s="3"/>
      <c r="WQT38" s="3"/>
      <c r="WQU38" s="3"/>
      <c r="WQV38" s="3"/>
      <c r="WQW38" s="3"/>
      <c r="WQX38" s="3"/>
      <c r="WQY38" s="3"/>
      <c r="WQZ38" s="3"/>
      <c r="WRA38" s="3"/>
      <c r="WRB38" s="3"/>
      <c r="WRC38" s="3"/>
      <c r="WRD38" s="3"/>
      <c r="WRE38" s="3"/>
      <c r="WRF38" s="3"/>
      <c r="WRG38" s="3"/>
      <c r="WRH38" s="3"/>
      <c r="WRI38" s="3"/>
      <c r="WRJ38" s="3"/>
      <c r="WRK38" s="3"/>
      <c r="WRL38" s="3"/>
      <c r="WRM38" s="3"/>
      <c r="WRN38" s="3"/>
      <c r="WRO38" s="3"/>
      <c r="WRP38" s="3"/>
      <c r="WRQ38" s="3"/>
      <c r="WRR38" s="3"/>
      <c r="WRS38" s="3"/>
      <c r="WRT38" s="3"/>
      <c r="WRU38" s="3"/>
      <c r="WRV38" s="3"/>
      <c r="WRW38" s="3"/>
      <c r="WRX38" s="3"/>
      <c r="WRY38" s="3"/>
      <c r="WRZ38" s="3"/>
      <c r="WSA38" s="3"/>
      <c r="WSB38" s="3"/>
      <c r="WSC38" s="3"/>
      <c r="WSD38" s="3"/>
      <c r="WSE38" s="3"/>
      <c r="WSF38" s="3"/>
      <c r="WSG38" s="3"/>
      <c r="WSH38" s="3"/>
      <c r="WSI38" s="3"/>
      <c r="WSJ38" s="3"/>
      <c r="WSK38" s="3"/>
      <c r="WSL38" s="3"/>
      <c r="WSM38" s="3"/>
      <c r="WSN38" s="3"/>
      <c r="WSO38" s="3"/>
      <c r="WSP38" s="3"/>
      <c r="WSQ38" s="3"/>
      <c r="WSR38" s="3"/>
      <c r="WSS38" s="3"/>
      <c r="WST38" s="3"/>
      <c r="WSU38" s="3"/>
      <c r="WSV38" s="3"/>
      <c r="WSW38" s="3"/>
      <c r="WSX38" s="3"/>
      <c r="WSY38" s="3"/>
      <c r="WSZ38" s="3"/>
      <c r="WTA38" s="3"/>
      <c r="WTB38" s="3"/>
      <c r="WTC38" s="3"/>
      <c r="WTD38" s="3"/>
      <c r="WTE38" s="3"/>
      <c r="WTF38" s="3"/>
      <c r="WTG38" s="3"/>
      <c r="WTH38" s="3"/>
      <c r="WTI38" s="3"/>
      <c r="WTJ38" s="3"/>
      <c r="WTK38" s="3"/>
      <c r="WTL38" s="3"/>
      <c r="WTM38" s="3"/>
      <c r="WTN38" s="3"/>
      <c r="WTO38" s="3"/>
      <c r="WTP38" s="3"/>
      <c r="WTQ38" s="3"/>
      <c r="WTR38" s="3"/>
      <c r="WTS38" s="3"/>
      <c r="WTT38" s="3"/>
      <c r="WTU38" s="3"/>
      <c r="WTV38" s="3"/>
      <c r="WTW38" s="3"/>
      <c r="WTX38" s="3"/>
      <c r="WTY38" s="3"/>
      <c r="WTZ38" s="3"/>
      <c r="WUA38" s="3"/>
      <c r="WUB38" s="3"/>
      <c r="WUC38" s="3"/>
      <c r="WUD38" s="3"/>
      <c r="WUE38" s="3"/>
      <c r="WUF38" s="3"/>
      <c r="WUG38" s="3"/>
      <c r="WUH38" s="3"/>
      <c r="WUI38" s="3"/>
      <c r="WUJ38" s="3"/>
      <c r="WUK38" s="3"/>
      <c r="WUL38" s="3"/>
      <c r="WUM38" s="3"/>
      <c r="WUN38" s="3"/>
      <c r="WUO38" s="3"/>
      <c r="WUP38" s="3"/>
      <c r="WUQ38" s="3"/>
      <c r="WUR38" s="3"/>
      <c r="WUS38" s="3"/>
      <c r="WUT38" s="3"/>
      <c r="WUU38" s="3"/>
      <c r="WUV38" s="3"/>
      <c r="WUW38" s="3"/>
      <c r="WUX38" s="3"/>
      <c r="WUY38" s="3"/>
      <c r="WUZ38" s="3"/>
      <c r="WVA38" s="3"/>
      <c r="WVB38" s="3"/>
      <c r="WVC38" s="3"/>
      <c r="WVD38" s="3"/>
      <c r="WVE38" s="3"/>
      <c r="WVF38" s="3"/>
      <c r="WVG38" s="3"/>
      <c r="WVH38" s="3"/>
      <c r="WVI38" s="3"/>
      <c r="WVJ38" s="3"/>
      <c r="WVK38" s="3"/>
      <c r="WVL38" s="3"/>
      <c r="WVM38" s="3"/>
      <c r="WVN38" s="3"/>
      <c r="WVO38" s="3"/>
      <c r="WVP38" s="3"/>
      <c r="WVQ38" s="3"/>
      <c r="WVR38" s="3"/>
      <c r="WVS38" s="3"/>
      <c r="WVT38" s="3"/>
      <c r="WVU38" s="3"/>
      <c r="WVV38" s="3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</row>
    <row r="39" customFormat="1" customHeight="1" spans="1:16383">
      <c r="A39" s="122" t="s">
        <v>124</v>
      </c>
      <c r="B39" s="122" t="s">
        <v>598</v>
      </c>
      <c r="C39" s="122" t="s">
        <v>592</v>
      </c>
      <c r="D39" s="122" t="s">
        <v>595</v>
      </c>
      <c r="E39" s="122" t="s">
        <v>597</v>
      </c>
      <c r="F39" s="122" t="s">
        <v>583</v>
      </c>
      <c r="G39" s="122" t="s">
        <v>584</v>
      </c>
      <c r="H39" s="25" t="s">
        <v>547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/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/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/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/>
      <c r="ASO39" s="3"/>
      <c r="ASP39" s="3"/>
      <c r="ASQ39" s="3"/>
      <c r="ASR39" s="3"/>
      <c r="ASS39" s="3"/>
      <c r="AST39" s="3"/>
      <c r="ASU39" s="3"/>
      <c r="ASV39" s="3"/>
      <c r="ASW39" s="3"/>
      <c r="ASX39" s="3"/>
      <c r="ASY39" s="3"/>
      <c r="ASZ39" s="3"/>
      <c r="ATA39" s="3"/>
      <c r="ATB39" s="3"/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/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/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/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/>
      <c r="AZI39" s="3"/>
      <c r="AZJ39" s="3"/>
      <c r="AZK39" s="3"/>
      <c r="AZL39" s="3"/>
      <c r="AZM39" s="3"/>
      <c r="AZN39" s="3"/>
      <c r="AZO39" s="3"/>
      <c r="AZP39" s="3"/>
      <c r="AZQ39" s="3"/>
      <c r="AZR39" s="3"/>
      <c r="AZS39" s="3"/>
      <c r="AZT39" s="3"/>
      <c r="AZU39" s="3"/>
      <c r="AZV39" s="3"/>
      <c r="AZW39" s="3"/>
      <c r="AZX39" s="3"/>
      <c r="AZY39" s="3"/>
      <c r="AZZ39" s="3"/>
      <c r="BAA39" s="3"/>
      <c r="BAB39" s="3"/>
      <c r="BAC39" s="3"/>
      <c r="BAD39" s="3"/>
      <c r="BAE39" s="3"/>
      <c r="BAF39" s="3"/>
      <c r="BAG39" s="3"/>
      <c r="BAH39" s="3"/>
      <c r="BAI39" s="3"/>
      <c r="BAJ39" s="3"/>
      <c r="BAK39" s="3"/>
      <c r="BAL39" s="3"/>
      <c r="BAM39" s="3"/>
      <c r="BAN39" s="3"/>
      <c r="BAO39" s="3"/>
      <c r="BAP39" s="3"/>
      <c r="BAQ39" s="3"/>
      <c r="BAR39" s="3"/>
      <c r="BAS39" s="3"/>
      <c r="BAT39" s="3"/>
      <c r="BAU39" s="3"/>
      <c r="BAV39" s="3"/>
      <c r="BAW39" s="3"/>
      <c r="BAX39" s="3"/>
      <c r="BAY39" s="3"/>
      <c r="BAZ39" s="3"/>
      <c r="BBA39" s="3"/>
      <c r="BBB39" s="3"/>
      <c r="BBC39" s="3"/>
      <c r="BBD39" s="3"/>
      <c r="BBE39" s="3"/>
      <c r="BBF39" s="3"/>
      <c r="BBG39" s="3"/>
      <c r="BBH39" s="3"/>
      <c r="BBI39" s="3"/>
      <c r="BBJ39" s="3"/>
      <c r="BBK39" s="3"/>
      <c r="BBL39" s="3"/>
      <c r="BBM39" s="3"/>
      <c r="BBN39" s="3"/>
      <c r="BBO39" s="3"/>
      <c r="BBP39" s="3"/>
      <c r="BBQ39" s="3"/>
      <c r="BBR39" s="3"/>
      <c r="BBS39" s="3"/>
      <c r="BBT39" s="3"/>
      <c r="BBU39" s="3"/>
      <c r="BBV39" s="3"/>
      <c r="BBW39" s="3"/>
      <c r="BBX39" s="3"/>
      <c r="BBY39" s="3"/>
      <c r="BBZ39" s="3"/>
      <c r="BCA39" s="3"/>
      <c r="BCB39" s="3"/>
      <c r="BCC39" s="3"/>
      <c r="BCD39" s="3"/>
      <c r="BCE39" s="3"/>
      <c r="BCF39" s="3"/>
      <c r="BCG39" s="3"/>
      <c r="BCH39" s="3"/>
      <c r="BCI39" s="3"/>
      <c r="BCJ39" s="3"/>
      <c r="BCK39" s="3"/>
      <c r="BCL39" s="3"/>
      <c r="BCM39" s="3"/>
      <c r="BCN39" s="3"/>
      <c r="BCO39" s="3"/>
      <c r="BCP39" s="3"/>
      <c r="BCQ39" s="3"/>
      <c r="BCR39" s="3"/>
      <c r="BCS39" s="3"/>
      <c r="BCT39" s="3"/>
      <c r="BCU39" s="3"/>
      <c r="BCV39" s="3"/>
      <c r="BCW39" s="3"/>
      <c r="BCX39" s="3"/>
      <c r="BCY39" s="3"/>
      <c r="BCZ39" s="3"/>
      <c r="BDA39" s="3"/>
      <c r="BDB39" s="3"/>
      <c r="BDC39" s="3"/>
      <c r="BDD39" s="3"/>
      <c r="BDE39" s="3"/>
      <c r="BDF39" s="3"/>
      <c r="BDG39" s="3"/>
      <c r="BDH39" s="3"/>
      <c r="BDI39" s="3"/>
      <c r="BDJ39" s="3"/>
      <c r="BDK39" s="3"/>
      <c r="BDL39" s="3"/>
      <c r="BDM39" s="3"/>
      <c r="BDN39" s="3"/>
      <c r="BDO39" s="3"/>
      <c r="BDP39" s="3"/>
      <c r="BDQ39" s="3"/>
      <c r="BDR39" s="3"/>
      <c r="BDS39" s="3"/>
      <c r="BDT39" s="3"/>
      <c r="BDU39" s="3"/>
      <c r="BDV39" s="3"/>
      <c r="BDW39" s="3"/>
      <c r="BDX39" s="3"/>
      <c r="BDY39" s="3"/>
      <c r="BDZ39" s="3"/>
      <c r="BEA39" s="3"/>
      <c r="BEB39" s="3"/>
      <c r="BEC39" s="3"/>
      <c r="BED39" s="3"/>
      <c r="BEE39" s="3"/>
      <c r="BEF39" s="3"/>
      <c r="BEG39" s="3"/>
      <c r="BEH39" s="3"/>
      <c r="BEI39" s="3"/>
      <c r="BEJ39" s="3"/>
      <c r="BEK39" s="3"/>
      <c r="BEL39" s="3"/>
      <c r="BEM39" s="3"/>
      <c r="BEN39" s="3"/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3"/>
      <c r="BGM39" s="3"/>
      <c r="BGN39" s="3"/>
      <c r="BGO39" s="3"/>
      <c r="BGP39" s="3"/>
      <c r="BGQ39" s="3"/>
      <c r="BGR39" s="3"/>
      <c r="BGS39" s="3"/>
      <c r="BGT39" s="3"/>
      <c r="BGU39" s="3"/>
      <c r="BGV39" s="3"/>
      <c r="BGW39" s="3"/>
      <c r="BGX39" s="3"/>
      <c r="BGY39" s="3"/>
      <c r="BGZ39" s="3"/>
      <c r="BHA39" s="3"/>
      <c r="BHB39" s="3"/>
      <c r="BHC39" s="3"/>
      <c r="BHD39" s="3"/>
      <c r="BHE39" s="3"/>
      <c r="BHF39" s="3"/>
      <c r="BHG39" s="3"/>
      <c r="BHH39" s="3"/>
      <c r="BHI39" s="3"/>
      <c r="BHJ39" s="3"/>
      <c r="BHK39" s="3"/>
      <c r="BHL39" s="3"/>
      <c r="BHM39" s="3"/>
      <c r="BHN39" s="3"/>
      <c r="BHO39" s="3"/>
      <c r="BHP39" s="3"/>
      <c r="BHQ39" s="3"/>
      <c r="BHR39" s="3"/>
      <c r="BHS39" s="3"/>
      <c r="BHT39" s="3"/>
      <c r="BHU39" s="3"/>
      <c r="BHV39" s="3"/>
      <c r="BHW39" s="3"/>
      <c r="BHX39" s="3"/>
      <c r="BHY39" s="3"/>
      <c r="BHZ39" s="3"/>
      <c r="BIA39" s="3"/>
      <c r="BIB39" s="3"/>
      <c r="BIC39" s="3"/>
      <c r="BID39" s="3"/>
      <c r="BIE39" s="3"/>
      <c r="BIF39" s="3"/>
      <c r="BIG39" s="3"/>
      <c r="BIH39" s="3"/>
      <c r="BII39" s="3"/>
      <c r="BIJ39" s="3"/>
      <c r="BIK39" s="3"/>
      <c r="BIL39" s="3"/>
      <c r="BIM39" s="3"/>
      <c r="BIN39" s="3"/>
      <c r="BIO39" s="3"/>
      <c r="BIP39" s="3"/>
      <c r="BIQ39" s="3"/>
      <c r="BIR39" s="3"/>
      <c r="BIS39" s="3"/>
      <c r="BIT39" s="3"/>
      <c r="BIU39" s="3"/>
      <c r="BIV39" s="3"/>
      <c r="BIW39" s="3"/>
      <c r="BIX39" s="3"/>
      <c r="BIY39" s="3"/>
      <c r="BIZ39" s="3"/>
      <c r="BJA39" s="3"/>
      <c r="BJB39" s="3"/>
      <c r="BJC39" s="3"/>
      <c r="BJD39" s="3"/>
      <c r="BJE39" s="3"/>
      <c r="BJF39" s="3"/>
      <c r="BJG39" s="3"/>
      <c r="BJH39" s="3"/>
      <c r="BJI39" s="3"/>
      <c r="BJJ39" s="3"/>
      <c r="BJK39" s="3"/>
      <c r="BJL39" s="3"/>
      <c r="BJM39" s="3"/>
      <c r="BJN39" s="3"/>
      <c r="BJO39" s="3"/>
      <c r="BJP39" s="3"/>
      <c r="BJQ39" s="3"/>
      <c r="BJR39" s="3"/>
      <c r="BJS39" s="3"/>
      <c r="BJT39" s="3"/>
      <c r="BJU39" s="3"/>
      <c r="BJV39" s="3"/>
      <c r="BJW39" s="3"/>
      <c r="BJX39" s="3"/>
      <c r="BJY39" s="3"/>
      <c r="BJZ39" s="3"/>
      <c r="BKA39" s="3"/>
      <c r="BKB39" s="3"/>
      <c r="BKC39" s="3"/>
      <c r="BKD39" s="3"/>
      <c r="BKE39" s="3"/>
      <c r="BKF39" s="3"/>
      <c r="BKG39" s="3"/>
      <c r="BKH39" s="3"/>
      <c r="BKI39" s="3"/>
      <c r="BKJ39" s="3"/>
      <c r="BKK39" s="3"/>
      <c r="BKL39" s="3"/>
      <c r="BKM39" s="3"/>
      <c r="BKN39" s="3"/>
      <c r="BKO39" s="3"/>
      <c r="BKP39" s="3"/>
      <c r="BKQ39" s="3"/>
      <c r="BKR39" s="3"/>
      <c r="BKS39" s="3"/>
      <c r="BKT39" s="3"/>
      <c r="BKU39" s="3"/>
      <c r="BKV39" s="3"/>
      <c r="BKW39" s="3"/>
      <c r="BKX39" s="3"/>
      <c r="BKY39" s="3"/>
      <c r="BKZ39" s="3"/>
      <c r="BLA39" s="3"/>
      <c r="BLB39" s="3"/>
      <c r="BLC39" s="3"/>
      <c r="BLD39" s="3"/>
      <c r="BLE39" s="3"/>
      <c r="BLF39" s="3"/>
      <c r="BLG39" s="3"/>
      <c r="BLH39" s="3"/>
      <c r="BLI39" s="3"/>
      <c r="BLJ39" s="3"/>
      <c r="BLK39" s="3"/>
      <c r="BLL39" s="3"/>
      <c r="BLM39" s="3"/>
      <c r="BLN39" s="3"/>
      <c r="BLO39" s="3"/>
      <c r="BLP39" s="3"/>
      <c r="BLQ39" s="3"/>
      <c r="BLR39" s="3"/>
      <c r="BLS39" s="3"/>
      <c r="BLT39" s="3"/>
      <c r="BLU39" s="3"/>
      <c r="BLV39" s="3"/>
      <c r="BLW39" s="3"/>
      <c r="BLX39" s="3"/>
      <c r="BLY39" s="3"/>
      <c r="BLZ39" s="3"/>
      <c r="BMA39" s="3"/>
      <c r="BMB39" s="3"/>
      <c r="BMC39" s="3"/>
      <c r="BMD39" s="3"/>
      <c r="BME39" s="3"/>
      <c r="BMF39" s="3"/>
      <c r="BMG39" s="3"/>
      <c r="BMH39" s="3"/>
      <c r="BMI39" s="3"/>
      <c r="BMJ39" s="3"/>
      <c r="BMK39" s="3"/>
      <c r="BML39" s="3"/>
      <c r="BMM39" s="3"/>
      <c r="BMN39" s="3"/>
      <c r="BMO39" s="3"/>
      <c r="BMP39" s="3"/>
      <c r="BMQ39" s="3"/>
      <c r="BMR39" s="3"/>
      <c r="BMS39" s="3"/>
      <c r="BMT39" s="3"/>
      <c r="BMU39" s="3"/>
      <c r="BMV39" s="3"/>
      <c r="BMW39" s="3"/>
      <c r="BMX39" s="3"/>
      <c r="BMY39" s="3"/>
      <c r="BMZ39" s="3"/>
      <c r="BNA39" s="3"/>
      <c r="BNB39" s="3"/>
      <c r="BNC39" s="3"/>
      <c r="BND39" s="3"/>
      <c r="BNE39" s="3"/>
      <c r="BNF39" s="3"/>
      <c r="BNG39" s="3"/>
      <c r="BNH39" s="3"/>
      <c r="BNI39" s="3"/>
      <c r="BNJ39" s="3"/>
      <c r="BNK39" s="3"/>
      <c r="BNL39" s="3"/>
      <c r="BNM39" s="3"/>
      <c r="BNN39" s="3"/>
      <c r="BNO39" s="3"/>
      <c r="BNP39" s="3"/>
      <c r="BNQ39" s="3"/>
      <c r="BNR39" s="3"/>
      <c r="BNS39" s="3"/>
      <c r="BNT39" s="3"/>
      <c r="BNU39" s="3"/>
      <c r="BNV39" s="3"/>
      <c r="BNW39" s="3"/>
      <c r="BNX39" s="3"/>
      <c r="BNY39" s="3"/>
      <c r="BNZ39" s="3"/>
      <c r="BOA39" s="3"/>
      <c r="BOB39" s="3"/>
      <c r="BOC39" s="3"/>
      <c r="BOD39" s="3"/>
      <c r="BOE39" s="3"/>
      <c r="BOF39" s="3"/>
      <c r="BOG39" s="3"/>
      <c r="BOH39" s="3"/>
      <c r="BOI39" s="3"/>
      <c r="BOJ39" s="3"/>
      <c r="BOK39" s="3"/>
      <c r="BOL39" s="3"/>
      <c r="BOM39" s="3"/>
      <c r="BON39" s="3"/>
      <c r="BOO39" s="3"/>
      <c r="BOP39" s="3"/>
      <c r="BOQ39" s="3"/>
      <c r="BOR39" s="3"/>
      <c r="BOS39" s="3"/>
      <c r="BOT39" s="3"/>
      <c r="BOU39" s="3"/>
      <c r="BOV39" s="3"/>
      <c r="BOW39" s="3"/>
      <c r="BOX39" s="3"/>
      <c r="BOY39" s="3"/>
      <c r="BOZ39" s="3"/>
      <c r="BPA39" s="3"/>
      <c r="BPB39" s="3"/>
      <c r="BPC39" s="3"/>
      <c r="BPD39" s="3"/>
      <c r="BPE39" s="3"/>
      <c r="BPF39" s="3"/>
      <c r="BPG39" s="3"/>
      <c r="BPH39" s="3"/>
      <c r="BPI39" s="3"/>
      <c r="BPJ39" s="3"/>
      <c r="BPK39" s="3"/>
      <c r="BPL39" s="3"/>
      <c r="BPM39" s="3"/>
      <c r="BPN39" s="3"/>
      <c r="BPO39" s="3"/>
      <c r="BPP39" s="3"/>
      <c r="BPQ39" s="3"/>
      <c r="BPR39" s="3"/>
      <c r="BPS39" s="3"/>
      <c r="BPT39" s="3"/>
      <c r="BPU39" s="3"/>
      <c r="BPV39" s="3"/>
      <c r="BPW39" s="3"/>
      <c r="BPX39" s="3"/>
      <c r="BPY39" s="3"/>
      <c r="BPZ39" s="3"/>
      <c r="BQA39" s="3"/>
      <c r="BQB39" s="3"/>
      <c r="BQC39" s="3"/>
      <c r="BQD39" s="3"/>
      <c r="BQE39" s="3"/>
      <c r="BQF39" s="3"/>
      <c r="BQG39" s="3"/>
      <c r="BQH39" s="3"/>
      <c r="BQI39" s="3"/>
      <c r="BQJ39" s="3"/>
      <c r="BQK39" s="3"/>
      <c r="BQL39" s="3"/>
      <c r="BQM39" s="3"/>
      <c r="BQN39" s="3"/>
      <c r="BQO39" s="3"/>
      <c r="BQP39" s="3"/>
      <c r="BQQ39" s="3"/>
      <c r="BQR39" s="3"/>
      <c r="BQS39" s="3"/>
      <c r="BQT39" s="3"/>
      <c r="BQU39" s="3"/>
      <c r="BQV39" s="3"/>
      <c r="BQW39" s="3"/>
      <c r="BQX39" s="3"/>
      <c r="BQY39" s="3"/>
      <c r="BQZ39" s="3"/>
      <c r="BRA39" s="3"/>
      <c r="BRB39" s="3"/>
      <c r="BRC39" s="3"/>
      <c r="BRD39" s="3"/>
      <c r="BRE39" s="3"/>
      <c r="BRF39" s="3"/>
      <c r="BRG39" s="3"/>
      <c r="BRH39" s="3"/>
      <c r="BRI39" s="3"/>
      <c r="BRJ39" s="3"/>
      <c r="BRK39" s="3"/>
      <c r="BRL39" s="3"/>
      <c r="BRM39" s="3"/>
      <c r="BRN39" s="3"/>
      <c r="BRO39" s="3"/>
      <c r="BRP39" s="3"/>
      <c r="BRQ39" s="3"/>
      <c r="BRR39" s="3"/>
      <c r="BRS39" s="3"/>
      <c r="BRT39" s="3"/>
      <c r="BRU39" s="3"/>
      <c r="BRV39" s="3"/>
      <c r="BRW39" s="3"/>
      <c r="BRX39" s="3"/>
      <c r="BRY39" s="3"/>
      <c r="BRZ39" s="3"/>
      <c r="BSA39" s="3"/>
      <c r="BSB39" s="3"/>
      <c r="BSC39" s="3"/>
      <c r="BSD39" s="3"/>
      <c r="BSE39" s="3"/>
      <c r="BSF39" s="3"/>
      <c r="BSG39" s="3"/>
      <c r="BSH39" s="3"/>
      <c r="BSI39" s="3"/>
      <c r="BSJ39" s="3"/>
      <c r="BSK39" s="3"/>
      <c r="BSL39" s="3"/>
      <c r="BSM39" s="3"/>
      <c r="BSN39" s="3"/>
      <c r="BSO39" s="3"/>
      <c r="BSP39" s="3"/>
      <c r="BSQ39" s="3"/>
      <c r="BSR39" s="3"/>
      <c r="BSS39" s="3"/>
      <c r="BST39" s="3"/>
      <c r="BSU39" s="3"/>
      <c r="BSV39" s="3"/>
      <c r="BSW39" s="3"/>
      <c r="BSX39" s="3"/>
      <c r="BSY39" s="3"/>
      <c r="BSZ39" s="3"/>
      <c r="BTA39" s="3"/>
      <c r="BTB39" s="3"/>
      <c r="BTC39" s="3"/>
      <c r="BTD39" s="3"/>
      <c r="BTE39" s="3"/>
      <c r="BTF39" s="3"/>
      <c r="BTG39" s="3"/>
      <c r="BTH39" s="3"/>
      <c r="BTI39" s="3"/>
      <c r="BTJ39" s="3"/>
      <c r="BTK39" s="3"/>
      <c r="BTL39" s="3"/>
      <c r="BTM39" s="3"/>
      <c r="BTN39" s="3"/>
      <c r="BTO39" s="3"/>
      <c r="BTP39" s="3"/>
      <c r="BTQ39" s="3"/>
      <c r="BTR39" s="3"/>
      <c r="BTS39" s="3"/>
      <c r="BTT39" s="3"/>
      <c r="BTU39" s="3"/>
      <c r="BTV39" s="3"/>
      <c r="BTW39" s="3"/>
      <c r="BTX39" s="3"/>
      <c r="BTY39" s="3"/>
      <c r="BTZ39" s="3"/>
      <c r="BUA39" s="3"/>
      <c r="BUB39" s="3"/>
      <c r="BUC39" s="3"/>
      <c r="BUD39" s="3"/>
      <c r="BUE39" s="3"/>
      <c r="BUF39" s="3"/>
      <c r="BUG39" s="3"/>
      <c r="BUH39" s="3"/>
      <c r="BUI39" s="3"/>
      <c r="BUJ39" s="3"/>
      <c r="BUK39" s="3"/>
      <c r="BUL39" s="3"/>
      <c r="BUM39" s="3"/>
      <c r="BUN39" s="3"/>
      <c r="BUO39" s="3"/>
      <c r="BUP39" s="3"/>
      <c r="BUQ39" s="3"/>
      <c r="BUR39" s="3"/>
      <c r="BUS39" s="3"/>
      <c r="BUT39" s="3"/>
      <c r="BUU39" s="3"/>
      <c r="BUV39" s="3"/>
      <c r="BUW39" s="3"/>
      <c r="BUX39" s="3"/>
      <c r="BUY39" s="3"/>
      <c r="BUZ39" s="3"/>
      <c r="BVA39" s="3"/>
      <c r="BVB39" s="3"/>
      <c r="BVC39" s="3"/>
      <c r="BVD39" s="3"/>
      <c r="BVE39" s="3"/>
      <c r="BVF39" s="3"/>
      <c r="BVG39" s="3"/>
      <c r="BVH39" s="3"/>
      <c r="BVI39" s="3"/>
      <c r="BVJ39" s="3"/>
      <c r="BVK39" s="3"/>
      <c r="BVL39" s="3"/>
      <c r="BVM39" s="3"/>
      <c r="BVN39" s="3"/>
      <c r="BVO39" s="3"/>
      <c r="BVP39" s="3"/>
      <c r="BVQ39" s="3"/>
      <c r="BVR39" s="3"/>
      <c r="BVS39" s="3"/>
      <c r="BVT39" s="3"/>
      <c r="BVU39" s="3"/>
      <c r="BVV39" s="3"/>
      <c r="BVW39" s="3"/>
      <c r="BVX39" s="3"/>
      <c r="BVY39" s="3"/>
      <c r="BVZ39" s="3"/>
      <c r="BWA39" s="3"/>
      <c r="BWB39" s="3"/>
      <c r="BWC39" s="3"/>
      <c r="BWD39" s="3"/>
      <c r="BWE39" s="3"/>
      <c r="BWF39" s="3"/>
      <c r="BWG39" s="3"/>
      <c r="BWH39" s="3"/>
      <c r="BWI39" s="3"/>
      <c r="BWJ39" s="3"/>
      <c r="BWK39" s="3"/>
      <c r="BWL39" s="3"/>
      <c r="BWM39" s="3"/>
      <c r="BWN39" s="3"/>
      <c r="BWO39" s="3"/>
      <c r="BWP39" s="3"/>
      <c r="BWQ39" s="3"/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3"/>
      <c r="BYY39" s="3"/>
      <c r="BYZ39" s="3"/>
      <c r="BZA39" s="3"/>
      <c r="BZB39" s="3"/>
      <c r="BZC39" s="3"/>
      <c r="BZD39" s="3"/>
      <c r="BZE39" s="3"/>
      <c r="BZF39" s="3"/>
      <c r="BZG39" s="3"/>
      <c r="BZH39" s="3"/>
      <c r="BZI39" s="3"/>
      <c r="BZJ39" s="3"/>
      <c r="BZK39" s="3"/>
      <c r="BZL39" s="3"/>
      <c r="BZM39" s="3"/>
      <c r="BZN39" s="3"/>
      <c r="BZO39" s="3"/>
      <c r="BZP39" s="3"/>
      <c r="BZQ39" s="3"/>
      <c r="BZR39" s="3"/>
      <c r="BZS39" s="3"/>
      <c r="BZT39" s="3"/>
      <c r="BZU39" s="3"/>
      <c r="BZV39" s="3"/>
      <c r="BZW39" s="3"/>
      <c r="BZX39" s="3"/>
      <c r="BZY39" s="3"/>
      <c r="BZZ39" s="3"/>
      <c r="CAA39" s="3"/>
      <c r="CAB39" s="3"/>
      <c r="CAC39" s="3"/>
      <c r="CAD39" s="3"/>
      <c r="CAE39" s="3"/>
      <c r="CAF39" s="3"/>
      <c r="CAG39" s="3"/>
      <c r="CAH39" s="3"/>
      <c r="CAI39" s="3"/>
      <c r="CAJ39" s="3"/>
      <c r="CAK39" s="3"/>
      <c r="CAL39" s="3"/>
      <c r="CAM39" s="3"/>
      <c r="CAN39" s="3"/>
      <c r="CAO39" s="3"/>
      <c r="CAP39" s="3"/>
      <c r="CAQ39" s="3"/>
      <c r="CAR39" s="3"/>
      <c r="CAS39" s="3"/>
      <c r="CAT39" s="3"/>
      <c r="CAU39" s="3"/>
      <c r="CAV39" s="3"/>
      <c r="CAW39" s="3"/>
      <c r="CAX39" s="3"/>
      <c r="CAY39" s="3"/>
      <c r="CAZ39" s="3"/>
      <c r="CBA39" s="3"/>
      <c r="CBB39" s="3"/>
      <c r="CBC39" s="3"/>
      <c r="CBD39" s="3"/>
      <c r="CBE39" s="3"/>
      <c r="CBF39" s="3"/>
      <c r="CBG39" s="3"/>
      <c r="CBH39" s="3"/>
      <c r="CBI39" s="3"/>
      <c r="CBJ39" s="3"/>
      <c r="CBK39" s="3"/>
      <c r="CBL39" s="3"/>
      <c r="CBM39" s="3"/>
      <c r="CBN39" s="3"/>
      <c r="CBO39" s="3"/>
      <c r="CBP39" s="3"/>
      <c r="CBQ39" s="3"/>
      <c r="CBR39" s="3"/>
      <c r="CBS39" s="3"/>
      <c r="CBT39" s="3"/>
      <c r="CBU39" s="3"/>
      <c r="CBV39" s="3"/>
      <c r="CBW39" s="3"/>
      <c r="CBX39" s="3"/>
      <c r="CBY39" s="3"/>
      <c r="CBZ39" s="3"/>
      <c r="CCA39" s="3"/>
      <c r="CCB39" s="3"/>
      <c r="CCC39" s="3"/>
      <c r="CCD39" s="3"/>
      <c r="CCE39" s="3"/>
      <c r="CCF39" s="3"/>
      <c r="CCG39" s="3"/>
      <c r="CCH39" s="3"/>
      <c r="CCI39" s="3"/>
      <c r="CCJ39" s="3"/>
      <c r="CCK39" s="3"/>
      <c r="CCL39" s="3"/>
      <c r="CCM39" s="3"/>
      <c r="CCN39" s="3"/>
      <c r="CCO39" s="3"/>
      <c r="CCP39" s="3"/>
      <c r="CCQ39" s="3"/>
      <c r="CCR39" s="3"/>
      <c r="CCS39" s="3"/>
      <c r="CCT39" s="3"/>
      <c r="CCU39" s="3"/>
      <c r="CCV39" s="3"/>
      <c r="CCW39" s="3"/>
      <c r="CCX39" s="3"/>
      <c r="CCY39" s="3"/>
      <c r="CCZ39" s="3"/>
      <c r="CDA39" s="3"/>
      <c r="CDB39" s="3"/>
      <c r="CDC39" s="3"/>
      <c r="CDD39" s="3"/>
      <c r="CDE39" s="3"/>
      <c r="CDF39" s="3"/>
      <c r="CDG39" s="3"/>
      <c r="CDH39" s="3"/>
      <c r="CDI39" s="3"/>
      <c r="CDJ39" s="3"/>
      <c r="CDK39" s="3"/>
      <c r="CDL39" s="3"/>
      <c r="CDM39" s="3"/>
      <c r="CDN39" s="3"/>
      <c r="CDO39" s="3"/>
      <c r="CDP39" s="3"/>
      <c r="CDQ39" s="3"/>
      <c r="CDR39" s="3"/>
      <c r="CDS39" s="3"/>
      <c r="CDT39" s="3"/>
      <c r="CDU39" s="3"/>
      <c r="CDV39" s="3"/>
      <c r="CDW39" s="3"/>
      <c r="CDX39" s="3"/>
      <c r="CDY39" s="3"/>
      <c r="CDZ39" s="3"/>
      <c r="CEA39" s="3"/>
      <c r="CEB39" s="3"/>
      <c r="CEC39" s="3"/>
      <c r="CED39" s="3"/>
      <c r="CEE39" s="3"/>
      <c r="CEF39" s="3"/>
      <c r="CEG39" s="3"/>
      <c r="CEH39" s="3"/>
      <c r="CEI39" s="3"/>
      <c r="CEJ39" s="3"/>
      <c r="CEK39" s="3"/>
      <c r="CEL39" s="3"/>
      <c r="CEM39" s="3"/>
      <c r="CEN39" s="3"/>
      <c r="CEO39" s="3"/>
      <c r="CEP39" s="3"/>
      <c r="CEQ39" s="3"/>
      <c r="CER39" s="3"/>
      <c r="CES39" s="3"/>
      <c r="CET39" s="3"/>
      <c r="CEU39" s="3"/>
      <c r="CEV39" s="3"/>
      <c r="CEW39" s="3"/>
      <c r="CEX39" s="3"/>
      <c r="CEY39" s="3"/>
      <c r="CEZ39" s="3"/>
      <c r="CFA39" s="3"/>
      <c r="CFB39" s="3"/>
      <c r="CFC39" s="3"/>
      <c r="CFD39" s="3"/>
      <c r="CFE39" s="3"/>
      <c r="CFF39" s="3"/>
      <c r="CFG39" s="3"/>
      <c r="CFH39" s="3"/>
      <c r="CFI39" s="3"/>
      <c r="CFJ39" s="3"/>
      <c r="CFK39" s="3"/>
      <c r="CFL39" s="3"/>
      <c r="CFM39" s="3"/>
      <c r="CFN39" s="3"/>
      <c r="CFO39" s="3"/>
      <c r="CFP39" s="3"/>
      <c r="CFQ39" s="3"/>
      <c r="CFR39" s="3"/>
      <c r="CFS39" s="3"/>
      <c r="CFT39" s="3"/>
      <c r="CFU39" s="3"/>
      <c r="CFV39" s="3"/>
      <c r="CFW39" s="3"/>
      <c r="CFX39" s="3"/>
      <c r="CFY39" s="3"/>
      <c r="CFZ39" s="3"/>
      <c r="CGA39" s="3"/>
      <c r="CGB39" s="3"/>
      <c r="CGC39" s="3"/>
      <c r="CGD39" s="3"/>
      <c r="CGE39" s="3"/>
      <c r="CGF39" s="3"/>
      <c r="CGG39" s="3"/>
      <c r="CGH39" s="3"/>
      <c r="CGI39" s="3"/>
      <c r="CGJ39" s="3"/>
      <c r="CGK39" s="3"/>
      <c r="CGL39" s="3"/>
      <c r="CGM39" s="3"/>
      <c r="CGN39" s="3"/>
      <c r="CGO39" s="3"/>
      <c r="CGP39" s="3"/>
      <c r="CGQ39" s="3"/>
      <c r="CGR39" s="3"/>
      <c r="CGS39" s="3"/>
      <c r="CGT39" s="3"/>
      <c r="CGU39" s="3"/>
      <c r="CGV39" s="3"/>
      <c r="CGW39" s="3"/>
      <c r="CGX39" s="3"/>
      <c r="CGY39" s="3"/>
      <c r="CGZ39" s="3"/>
      <c r="CHA39" s="3"/>
      <c r="CHB39" s="3"/>
      <c r="CHC39" s="3"/>
      <c r="CHD39" s="3"/>
      <c r="CHE39" s="3"/>
      <c r="CHF39" s="3"/>
      <c r="CHG39" s="3"/>
      <c r="CHH39" s="3"/>
      <c r="CHI39" s="3"/>
      <c r="CHJ39" s="3"/>
      <c r="CHK39" s="3"/>
      <c r="CHL39" s="3"/>
      <c r="CHM39" s="3"/>
      <c r="CHN39" s="3"/>
      <c r="CHO39" s="3"/>
      <c r="CHP39" s="3"/>
      <c r="CHQ39" s="3"/>
      <c r="CHR39" s="3"/>
      <c r="CHS39" s="3"/>
      <c r="CHT39" s="3"/>
      <c r="CHU39" s="3"/>
      <c r="CHV39" s="3"/>
      <c r="CHW39" s="3"/>
      <c r="CHX39" s="3"/>
      <c r="CHY39" s="3"/>
      <c r="CHZ39" s="3"/>
      <c r="CIA39" s="3"/>
      <c r="CIB39" s="3"/>
      <c r="CIC39" s="3"/>
      <c r="CID39" s="3"/>
      <c r="CIE39" s="3"/>
      <c r="CIF39" s="3"/>
      <c r="CIG39" s="3"/>
      <c r="CIH39" s="3"/>
      <c r="CII39" s="3"/>
      <c r="CIJ39" s="3"/>
      <c r="CIK39" s="3"/>
      <c r="CIL39" s="3"/>
      <c r="CIM39" s="3"/>
      <c r="CIN39" s="3"/>
      <c r="CIO39" s="3"/>
      <c r="CIP39" s="3"/>
      <c r="CIQ39" s="3"/>
      <c r="CIR39" s="3"/>
      <c r="CIS39" s="3"/>
      <c r="CIT39" s="3"/>
      <c r="CIU39" s="3"/>
      <c r="CIV39" s="3"/>
      <c r="CIW39" s="3"/>
      <c r="CIX39" s="3"/>
      <c r="CIY39" s="3"/>
      <c r="CIZ39" s="3"/>
      <c r="CJA39" s="3"/>
      <c r="CJB39" s="3"/>
      <c r="CJC39" s="3"/>
      <c r="CJD39" s="3"/>
      <c r="CJE39" s="3"/>
      <c r="CJF39" s="3"/>
      <c r="CJG39" s="3"/>
      <c r="CJH39" s="3"/>
      <c r="CJI39" s="3"/>
      <c r="CJJ39" s="3"/>
      <c r="CJK39" s="3"/>
      <c r="CJL39" s="3"/>
      <c r="CJM39" s="3"/>
      <c r="CJN39" s="3"/>
      <c r="CJO39" s="3"/>
      <c r="CJP39" s="3"/>
      <c r="CJQ39" s="3"/>
      <c r="CJR39" s="3"/>
      <c r="CJS39" s="3"/>
      <c r="CJT39" s="3"/>
      <c r="CJU39" s="3"/>
      <c r="CJV39" s="3"/>
      <c r="CJW39" s="3"/>
      <c r="CJX39" s="3"/>
      <c r="CJY39" s="3"/>
      <c r="CJZ39" s="3"/>
      <c r="CKA39" s="3"/>
      <c r="CKB39" s="3"/>
      <c r="CKC39" s="3"/>
      <c r="CKD39" s="3"/>
      <c r="CKE39" s="3"/>
      <c r="CKF39" s="3"/>
      <c r="CKG39" s="3"/>
      <c r="CKH39" s="3"/>
      <c r="CKI39" s="3"/>
      <c r="CKJ39" s="3"/>
      <c r="CKK39" s="3"/>
      <c r="CKL39" s="3"/>
      <c r="CKM39" s="3"/>
      <c r="CKN39" s="3"/>
      <c r="CKO39" s="3"/>
      <c r="CKP39" s="3"/>
      <c r="CKQ39" s="3"/>
      <c r="CKR39" s="3"/>
      <c r="CKS39" s="3"/>
      <c r="CKT39" s="3"/>
      <c r="CKU39" s="3"/>
      <c r="CKV39" s="3"/>
      <c r="CKW39" s="3"/>
      <c r="CKX39" s="3"/>
      <c r="CKY39" s="3"/>
      <c r="CKZ39" s="3"/>
      <c r="CLA39" s="3"/>
      <c r="CLB39" s="3"/>
      <c r="CLC39" s="3"/>
      <c r="CLD39" s="3"/>
      <c r="CLE39" s="3"/>
      <c r="CLF39" s="3"/>
      <c r="CLG39" s="3"/>
      <c r="CLH39" s="3"/>
      <c r="CLI39" s="3"/>
      <c r="CLJ39" s="3"/>
      <c r="CLK39" s="3"/>
      <c r="CLL39" s="3"/>
      <c r="CLM39" s="3"/>
      <c r="CLN39" s="3"/>
      <c r="CLO39" s="3"/>
      <c r="CLP39" s="3"/>
      <c r="CLQ39" s="3"/>
      <c r="CLR39" s="3"/>
      <c r="CLS39" s="3"/>
      <c r="CLT39" s="3"/>
      <c r="CLU39" s="3"/>
      <c r="CLV39" s="3"/>
      <c r="CLW39" s="3"/>
      <c r="CLX39" s="3"/>
      <c r="CLY39" s="3"/>
      <c r="CLZ39" s="3"/>
      <c r="CMA39" s="3"/>
      <c r="CMB39" s="3"/>
      <c r="CMC39" s="3"/>
      <c r="CMD39" s="3"/>
      <c r="CME39" s="3"/>
      <c r="CMF39" s="3"/>
      <c r="CMG39" s="3"/>
      <c r="CMH39" s="3"/>
      <c r="CMI39" s="3"/>
      <c r="CMJ39" s="3"/>
      <c r="CMK39" s="3"/>
      <c r="CML39" s="3"/>
      <c r="CMM39" s="3"/>
      <c r="CMN39" s="3"/>
      <c r="CMO39" s="3"/>
      <c r="CMP39" s="3"/>
      <c r="CMQ39" s="3"/>
      <c r="CMR39" s="3"/>
      <c r="CMS39" s="3"/>
      <c r="CMT39" s="3"/>
      <c r="CMU39" s="3"/>
      <c r="CMV39" s="3"/>
      <c r="CMW39" s="3"/>
      <c r="CMX39" s="3"/>
      <c r="CMY39" s="3"/>
      <c r="CMZ39" s="3"/>
      <c r="CNA39" s="3"/>
      <c r="CNB39" s="3"/>
      <c r="CNC39" s="3"/>
      <c r="CND39" s="3"/>
      <c r="CNE39" s="3"/>
      <c r="CNF39" s="3"/>
      <c r="CNG39" s="3"/>
      <c r="CNH39" s="3"/>
      <c r="CNI39" s="3"/>
      <c r="CNJ39" s="3"/>
      <c r="CNK39" s="3"/>
      <c r="CNL39" s="3"/>
      <c r="CNM39" s="3"/>
      <c r="CNN39" s="3"/>
      <c r="CNO39" s="3"/>
      <c r="CNP39" s="3"/>
      <c r="CNQ39" s="3"/>
      <c r="CNR39" s="3"/>
      <c r="CNS39" s="3"/>
      <c r="CNT39" s="3"/>
      <c r="CNU39" s="3"/>
      <c r="CNV39" s="3"/>
      <c r="CNW39" s="3"/>
      <c r="CNX39" s="3"/>
      <c r="CNY39" s="3"/>
      <c r="CNZ39" s="3"/>
      <c r="COA39" s="3"/>
      <c r="COB39" s="3"/>
      <c r="COC39" s="3"/>
      <c r="COD39" s="3"/>
      <c r="COE39" s="3"/>
      <c r="COF39" s="3"/>
      <c r="COG39" s="3"/>
      <c r="COH39" s="3"/>
      <c r="COI39" s="3"/>
      <c r="COJ39" s="3"/>
      <c r="COK39" s="3"/>
      <c r="COL39" s="3"/>
      <c r="COM39" s="3"/>
      <c r="CON39" s="3"/>
      <c r="COO39" s="3"/>
      <c r="COP39" s="3"/>
      <c r="COQ39" s="3"/>
      <c r="COR39" s="3"/>
      <c r="COS39" s="3"/>
      <c r="COT39" s="3"/>
      <c r="COU39" s="3"/>
      <c r="COV39" s="3"/>
      <c r="COW39" s="3"/>
      <c r="COX39" s="3"/>
      <c r="COY39" s="3"/>
      <c r="COZ39" s="3"/>
      <c r="CPA39" s="3"/>
      <c r="CPB39" s="3"/>
      <c r="CPC39" s="3"/>
      <c r="CPD39" s="3"/>
      <c r="CPE39" s="3"/>
      <c r="CPF39" s="3"/>
      <c r="CPG39" s="3"/>
      <c r="CPH39" s="3"/>
      <c r="CPI39" s="3"/>
      <c r="CPJ39" s="3"/>
      <c r="CPK39" s="3"/>
      <c r="CPL39" s="3"/>
      <c r="CPM39" s="3"/>
      <c r="CPN39" s="3"/>
      <c r="CPO39" s="3"/>
      <c r="CPP39" s="3"/>
      <c r="CPQ39" s="3"/>
      <c r="CPR39" s="3"/>
      <c r="CPS39" s="3"/>
      <c r="CPT39" s="3"/>
      <c r="CPU39" s="3"/>
      <c r="CPV39" s="3"/>
      <c r="CPW39" s="3"/>
      <c r="CPX39" s="3"/>
      <c r="CPY39" s="3"/>
      <c r="CPZ39" s="3"/>
      <c r="CQA39" s="3"/>
      <c r="CQB39" s="3"/>
      <c r="CQC39" s="3"/>
      <c r="CQD39" s="3"/>
      <c r="CQE39" s="3"/>
      <c r="CQF39" s="3"/>
      <c r="CQG39" s="3"/>
      <c r="CQH39" s="3"/>
      <c r="CQI39" s="3"/>
      <c r="CQJ39" s="3"/>
      <c r="CQK39" s="3"/>
      <c r="CQL39" s="3"/>
      <c r="CQM39" s="3"/>
      <c r="CQN39" s="3"/>
      <c r="CQO39" s="3"/>
      <c r="CQP39" s="3"/>
      <c r="CQQ39" s="3"/>
      <c r="CQR39" s="3"/>
      <c r="CQS39" s="3"/>
      <c r="CQT39" s="3"/>
      <c r="CQU39" s="3"/>
      <c r="CQV39" s="3"/>
      <c r="CQW39" s="3"/>
      <c r="CQX39" s="3"/>
      <c r="CQY39" s="3"/>
      <c r="CQZ39" s="3"/>
      <c r="CRA39" s="3"/>
      <c r="CRB39" s="3"/>
      <c r="CRC39" s="3"/>
      <c r="CRD39" s="3"/>
      <c r="CRE39" s="3"/>
      <c r="CRF39" s="3"/>
      <c r="CRG39" s="3"/>
      <c r="CRH39" s="3"/>
      <c r="CRI39" s="3"/>
      <c r="CRJ39" s="3"/>
      <c r="CRK39" s="3"/>
      <c r="CRL39" s="3"/>
      <c r="CRM39" s="3"/>
      <c r="CRN39" s="3"/>
      <c r="CRO39" s="3"/>
      <c r="CRP39" s="3"/>
      <c r="CRQ39" s="3"/>
      <c r="CRR39" s="3"/>
      <c r="CRS39" s="3"/>
      <c r="CRT39" s="3"/>
      <c r="CRU39" s="3"/>
      <c r="CRV39" s="3"/>
      <c r="CRW39" s="3"/>
      <c r="CRX39" s="3"/>
      <c r="CRY39" s="3"/>
      <c r="CRZ39" s="3"/>
      <c r="CSA39" s="3"/>
      <c r="CSB39" s="3"/>
      <c r="CSC39" s="3"/>
      <c r="CSD39" s="3"/>
      <c r="CSE39" s="3"/>
      <c r="CSF39" s="3"/>
      <c r="CSG39" s="3"/>
      <c r="CSH39" s="3"/>
      <c r="CSI39" s="3"/>
      <c r="CSJ39" s="3"/>
      <c r="CSK39" s="3"/>
      <c r="CSL39" s="3"/>
      <c r="CSM39" s="3"/>
      <c r="CSN39" s="3"/>
      <c r="CSO39" s="3"/>
      <c r="CSP39" s="3"/>
      <c r="CSQ39" s="3"/>
      <c r="CSR39" s="3"/>
      <c r="CSS39" s="3"/>
      <c r="CST39" s="3"/>
      <c r="CSU39" s="3"/>
      <c r="CSV39" s="3"/>
      <c r="CSW39" s="3"/>
      <c r="CSX39" s="3"/>
      <c r="CSY39" s="3"/>
      <c r="CSZ39" s="3"/>
      <c r="CTA39" s="3"/>
      <c r="CTB39" s="3"/>
      <c r="CTC39" s="3"/>
      <c r="CTD39" s="3"/>
      <c r="CTE39" s="3"/>
      <c r="CTF39" s="3"/>
      <c r="CTG39" s="3"/>
      <c r="CTH39" s="3"/>
      <c r="CTI39" s="3"/>
      <c r="CTJ39" s="3"/>
      <c r="CTK39" s="3"/>
      <c r="CTL39" s="3"/>
      <c r="CTM39" s="3"/>
      <c r="CTN39" s="3"/>
      <c r="CTO39" s="3"/>
      <c r="CTP39" s="3"/>
      <c r="CTQ39" s="3"/>
      <c r="CTR39" s="3"/>
      <c r="CTS39" s="3"/>
      <c r="CTT39" s="3"/>
      <c r="CTU39" s="3"/>
      <c r="CTV39" s="3"/>
      <c r="CTW39" s="3"/>
      <c r="CTX39" s="3"/>
      <c r="CTY39" s="3"/>
      <c r="CTZ39" s="3"/>
      <c r="CUA39" s="3"/>
      <c r="CUB39" s="3"/>
      <c r="CUC39" s="3"/>
      <c r="CUD39" s="3"/>
      <c r="CUE39" s="3"/>
      <c r="CUF39" s="3"/>
      <c r="CUG39" s="3"/>
      <c r="CUH39" s="3"/>
      <c r="CUI39" s="3"/>
      <c r="CUJ39" s="3"/>
      <c r="CUK39" s="3"/>
      <c r="CUL39" s="3"/>
      <c r="CUM39" s="3"/>
      <c r="CUN39" s="3"/>
      <c r="CUO39" s="3"/>
      <c r="CUP39" s="3"/>
      <c r="CUQ39" s="3"/>
      <c r="CUR39" s="3"/>
      <c r="CUS39" s="3"/>
      <c r="CUT39" s="3"/>
      <c r="CUU39" s="3"/>
      <c r="CUV39" s="3"/>
      <c r="CUW39" s="3"/>
      <c r="CUX39" s="3"/>
      <c r="CUY39" s="3"/>
      <c r="CUZ39" s="3"/>
      <c r="CVA39" s="3"/>
      <c r="CVB39" s="3"/>
      <c r="CVC39" s="3"/>
      <c r="CVD39" s="3"/>
      <c r="CVE39" s="3"/>
      <c r="CVF39" s="3"/>
      <c r="CVG39" s="3"/>
      <c r="CVH39" s="3"/>
      <c r="CVI39" s="3"/>
      <c r="CVJ39" s="3"/>
      <c r="CVK39" s="3"/>
      <c r="CVL39" s="3"/>
      <c r="CVM39" s="3"/>
      <c r="CVN39" s="3"/>
      <c r="CVO39" s="3"/>
      <c r="CVP39" s="3"/>
      <c r="CVQ39" s="3"/>
      <c r="CVR39" s="3"/>
      <c r="CVS39" s="3"/>
      <c r="CVT39" s="3"/>
      <c r="CVU39" s="3"/>
      <c r="CVV39" s="3"/>
      <c r="CVW39" s="3"/>
      <c r="CVX39" s="3"/>
      <c r="CVY39" s="3"/>
      <c r="CVZ39" s="3"/>
      <c r="CWA39" s="3"/>
      <c r="CWB39" s="3"/>
      <c r="CWC39" s="3"/>
      <c r="CWD39" s="3"/>
      <c r="CWE39" s="3"/>
      <c r="CWF39" s="3"/>
      <c r="CWG39" s="3"/>
      <c r="CWH39" s="3"/>
      <c r="CWI39" s="3"/>
      <c r="CWJ39" s="3"/>
      <c r="CWK39" s="3"/>
      <c r="CWL39" s="3"/>
      <c r="CWM39" s="3"/>
      <c r="CWN39" s="3"/>
      <c r="CWO39" s="3"/>
      <c r="CWP39" s="3"/>
      <c r="CWQ39" s="3"/>
      <c r="CWR39" s="3"/>
      <c r="CWS39" s="3"/>
      <c r="CWT39" s="3"/>
      <c r="CWU39" s="3"/>
      <c r="CWV39" s="3"/>
      <c r="CWW39" s="3"/>
      <c r="CWX39" s="3"/>
      <c r="CWY39" s="3"/>
      <c r="CWZ39" s="3"/>
      <c r="CXA39" s="3"/>
      <c r="CXB39" s="3"/>
      <c r="CXC39" s="3"/>
      <c r="CXD39" s="3"/>
      <c r="CXE39" s="3"/>
      <c r="CXF39" s="3"/>
      <c r="CXG39" s="3"/>
      <c r="CXH39" s="3"/>
      <c r="CXI39" s="3"/>
      <c r="CXJ39" s="3"/>
      <c r="CXK39" s="3"/>
      <c r="CXL39" s="3"/>
      <c r="CXM39" s="3"/>
      <c r="CXN39" s="3"/>
      <c r="CXO39" s="3"/>
      <c r="CXP39" s="3"/>
      <c r="CXQ39" s="3"/>
      <c r="CXR39" s="3"/>
      <c r="CXS39" s="3"/>
      <c r="CXT39" s="3"/>
      <c r="CXU39" s="3"/>
      <c r="CXV39" s="3"/>
      <c r="CXW39" s="3"/>
      <c r="CXX39" s="3"/>
      <c r="CXY39" s="3"/>
      <c r="CXZ39" s="3"/>
      <c r="CYA39" s="3"/>
      <c r="CYB39" s="3"/>
      <c r="CYC39" s="3"/>
      <c r="CYD39" s="3"/>
      <c r="CYE39" s="3"/>
      <c r="CYF39" s="3"/>
      <c r="CYG39" s="3"/>
      <c r="CYH39" s="3"/>
      <c r="CYI39" s="3"/>
      <c r="CYJ39" s="3"/>
      <c r="CYK39" s="3"/>
      <c r="CYL39" s="3"/>
      <c r="CYM39" s="3"/>
      <c r="CYN39" s="3"/>
      <c r="CYO39" s="3"/>
      <c r="CYP39" s="3"/>
      <c r="CYQ39" s="3"/>
      <c r="CYR39" s="3"/>
      <c r="CYS39" s="3"/>
      <c r="CYT39" s="3"/>
      <c r="CYU39" s="3"/>
      <c r="CYV39" s="3"/>
      <c r="CYW39" s="3"/>
      <c r="CYX39" s="3"/>
      <c r="CYY39" s="3"/>
      <c r="CYZ39" s="3"/>
      <c r="CZA39" s="3"/>
      <c r="CZB39" s="3"/>
      <c r="CZC39" s="3"/>
      <c r="CZD39" s="3"/>
      <c r="CZE39" s="3"/>
      <c r="CZF39" s="3"/>
      <c r="CZG39" s="3"/>
      <c r="CZH39" s="3"/>
      <c r="CZI39" s="3"/>
      <c r="CZJ39" s="3"/>
      <c r="CZK39" s="3"/>
      <c r="CZL39" s="3"/>
      <c r="CZM39" s="3"/>
      <c r="CZN39" s="3"/>
      <c r="CZO39" s="3"/>
      <c r="CZP39" s="3"/>
      <c r="CZQ39" s="3"/>
      <c r="CZR39" s="3"/>
      <c r="CZS39" s="3"/>
      <c r="CZT39" s="3"/>
      <c r="CZU39" s="3"/>
      <c r="CZV39" s="3"/>
      <c r="CZW39" s="3"/>
      <c r="CZX39" s="3"/>
      <c r="CZY39" s="3"/>
      <c r="CZZ39" s="3"/>
      <c r="DAA39" s="3"/>
      <c r="DAB39" s="3"/>
      <c r="DAC39" s="3"/>
      <c r="DAD39" s="3"/>
      <c r="DAE39" s="3"/>
      <c r="DAF39" s="3"/>
      <c r="DAG39" s="3"/>
      <c r="DAH39" s="3"/>
      <c r="DAI39" s="3"/>
      <c r="DAJ39" s="3"/>
      <c r="DAK39" s="3"/>
      <c r="DAL39" s="3"/>
      <c r="DAM39" s="3"/>
      <c r="DAN39" s="3"/>
      <c r="DAO39" s="3"/>
      <c r="DAP39" s="3"/>
      <c r="DAQ39" s="3"/>
      <c r="DAR39" s="3"/>
      <c r="DAS39" s="3"/>
      <c r="DAT39" s="3"/>
      <c r="DAU39" s="3"/>
      <c r="DAV39" s="3"/>
      <c r="DAW39" s="3"/>
      <c r="DAX39" s="3"/>
      <c r="DAY39" s="3"/>
      <c r="DAZ39" s="3"/>
      <c r="DBA39" s="3"/>
      <c r="DBB39" s="3"/>
      <c r="DBC39" s="3"/>
      <c r="DBD39" s="3"/>
      <c r="DBE39" s="3"/>
      <c r="DBF39" s="3"/>
      <c r="DBG39" s="3"/>
      <c r="DBH39" s="3"/>
      <c r="DBI39" s="3"/>
      <c r="DBJ39" s="3"/>
      <c r="DBK39" s="3"/>
      <c r="DBL39" s="3"/>
      <c r="DBM39" s="3"/>
      <c r="DBN39" s="3"/>
      <c r="DBO39" s="3"/>
      <c r="DBP39" s="3"/>
      <c r="DBQ39" s="3"/>
      <c r="DBR39" s="3"/>
      <c r="DBS39" s="3"/>
      <c r="DBT39" s="3"/>
      <c r="DBU39" s="3"/>
      <c r="DBV39" s="3"/>
      <c r="DBW39" s="3"/>
      <c r="DBX39" s="3"/>
      <c r="DBY39" s="3"/>
      <c r="DBZ39" s="3"/>
      <c r="DCA39" s="3"/>
      <c r="DCB39" s="3"/>
      <c r="DCC39" s="3"/>
      <c r="DCD39" s="3"/>
      <c r="DCE39" s="3"/>
      <c r="DCF39" s="3"/>
      <c r="DCG39" s="3"/>
      <c r="DCH39" s="3"/>
      <c r="DCI39" s="3"/>
      <c r="DCJ39" s="3"/>
      <c r="DCK39" s="3"/>
      <c r="DCL39" s="3"/>
      <c r="DCM39" s="3"/>
      <c r="DCN39" s="3"/>
      <c r="DCO39" s="3"/>
      <c r="DCP39" s="3"/>
      <c r="DCQ39" s="3"/>
      <c r="DCR39" s="3"/>
      <c r="DCS39" s="3"/>
      <c r="DCT39" s="3"/>
      <c r="DCU39" s="3"/>
      <c r="DCV39" s="3"/>
      <c r="DCW39" s="3"/>
      <c r="DCX39" s="3"/>
      <c r="DCY39" s="3"/>
      <c r="DCZ39" s="3"/>
      <c r="DDA39" s="3"/>
      <c r="DDB39" s="3"/>
      <c r="DDC39" s="3"/>
      <c r="DDD39" s="3"/>
      <c r="DDE39" s="3"/>
      <c r="DDF39" s="3"/>
      <c r="DDG39" s="3"/>
      <c r="DDH39" s="3"/>
      <c r="DDI39" s="3"/>
      <c r="DDJ39" s="3"/>
      <c r="DDK39" s="3"/>
      <c r="DDL39" s="3"/>
      <c r="DDM39" s="3"/>
      <c r="DDN39" s="3"/>
      <c r="DDO39" s="3"/>
      <c r="DDP39" s="3"/>
      <c r="DDQ39" s="3"/>
      <c r="DDR39" s="3"/>
      <c r="DDS39" s="3"/>
      <c r="DDT39" s="3"/>
      <c r="DDU39" s="3"/>
      <c r="DDV39" s="3"/>
      <c r="DDW39" s="3"/>
      <c r="DDX39" s="3"/>
      <c r="DDY39" s="3"/>
      <c r="DDZ39" s="3"/>
      <c r="DEA39" s="3"/>
      <c r="DEB39" s="3"/>
      <c r="DEC39" s="3"/>
      <c r="DED39" s="3"/>
      <c r="DEE39" s="3"/>
      <c r="DEF39" s="3"/>
      <c r="DEG39" s="3"/>
      <c r="DEH39" s="3"/>
      <c r="DEI39" s="3"/>
      <c r="DEJ39" s="3"/>
      <c r="DEK39" s="3"/>
      <c r="DEL39" s="3"/>
      <c r="DEM39" s="3"/>
      <c r="DEN39" s="3"/>
      <c r="DEO39" s="3"/>
      <c r="DEP39" s="3"/>
      <c r="DEQ39" s="3"/>
      <c r="DER39" s="3"/>
      <c r="DES39" s="3"/>
      <c r="DET39" s="3"/>
      <c r="DEU39" s="3"/>
      <c r="DEV39" s="3"/>
      <c r="DEW39" s="3"/>
      <c r="DEX39" s="3"/>
      <c r="DEY39" s="3"/>
      <c r="DEZ39" s="3"/>
      <c r="DFA39" s="3"/>
      <c r="DFB39" s="3"/>
      <c r="DFC39" s="3"/>
      <c r="DFD39" s="3"/>
      <c r="DFE39" s="3"/>
      <c r="DFF39" s="3"/>
      <c r="DFG39" s="3"/>
      <c r="DFH39" s="3"/>
      <c r="DFI39" s="3"/>
      <c r="DFJ39" s="3"/>
      <c r="DFK39" s="3"/>
      <c r="DFL39" s="3"/>
      <c r="DFM39" s="3"/>
      <c r="DFN39" s="3"/>
      <c r="DFO39" s="3"/>
      <c r="DFP39" s="3"/>
      <c r="DFQ39" s="3"/>
      <c r="DFR39" s="3"/>
      <c r="DFS39" s="3"/>
      <c r="DFT39" s="3"/>
      <c r="DFU39" s="3"/>
      <c r="DFV39" s="3"/>
      <c r="DFW39" s="3"/>
      <c r="DFX39" s="3"/>
      <c r="DFY39" s="3"/>
      <c r="DFZ39" s="3"/>
      <c r="DGA39" s="3"/>
      <c r="DGB39" s="3"/>
      <c r="DGC39" s="3"/>
      <c r="DGD39" s="3"/>
      <c r="DGE39" s="3"/>
      <c r="DGF39" s="3"/>
      <c r="DGG39" s="3"/>
      <c r="DGH39" s="3"/>
      <c r="DGI39" s="3"/>
      <c r="DGJ39" s="3"/>
      <c r="DGK39" s="3"/>
      <c r="DGL39" s="3"/>
      <c r="DGM39" s="3"/>
      <c r="DGN39" s="3"/>
      <c r="DGO39" s="3"/>
      <c r="DGP39" s="3"/>
      <c r="DGQ39" s="3"/>
      <c r="DGR39" s="3"/>
      <c r="DGS39" s="3"/>
      <c r="DGT39" s="3"/>
      <c r="DGU39" s="3"/>
      <c r="DGV39" s="3"/>
      <c r="DGW39" s="3"/>
      <c r="DGX39" s="3"/>
      <c r="DGY39" s="3"/>
      <c r="DGZ39" s="3"/>
      <c r="DHA39" s="3"/>
      <c r="DHB39" s="3"/>
      <c r="DHC39" s="3"/>
      <c r="DHD39" s="3"/>
      <c r="DHE39" s="3"/>
      <c r="DHF39" s="3"/>
      <c r="DHG39" s="3"/>
      <c r="DHH39" s="3"/>
      <c r="DHI39" s="3"/>
      <c r="DHJ39" s="3"/>
      <c r="DHK39" s="3"/>
      <c r="DHL39" s="3"/>
      <c r="DHM39" s="3"/>
      <c r="DHN39" s="3"/>
      <c r="DHO39" s="3"/>
      <c r="DHP39" s="3"/>
      <c r="DHQ39" s="3"/>
      <c r="DHR39" s="3"/>
      <c r="DHS39" s="3"/>
      <c r="DHT39" s="3"/>
      <c r="DHU39" s="3"/>
      <c r="DHV39" s="3"/>
      <c r="DHW39" s="3"/>
      <c r="DHX39" s="3"/>
      <c r="DHY39" s="3"/>
      <c r="DHZ39" s="3"/>
      <c r="DIA39" s="3"/>
      <c r="DIB39" s="3"/>
      <c r="DIC39" s="3"/>
      <c r="DID39" s="3"/>
      <c r="DIE39" s="3"/>
      <c r="DIF39" s="3"/>
      <c r="DIG39" s="3"/>
      <c r="DIH39" s="3"/>
      <c r="DII39" s="3"/>
      <c r="DIJ39" s="3"/>
      <c r="DIK39" s="3"/>
      <c r="DIL39" s="3"/>
      <c r="DIM39" s="3"/>
      <c r="DIN39" s="3"/>
      <c r="DIO39" s="3"/>
      <c r="DIP39" s="3"/>
      <c r="DIQ39" s="3"/>
      <c r="DIR39" s="3"/>
      <c r="DIS39" s="3"/>
      <c r="DIT39" s="3"/>
      <c r="DIU39" s="3"/>
      <c r="DIV39" s="3"/>
      <c r="DIW39" s="3"/>
      <c r="DIX39" s="3"/>
      <c r="DIY39" s="3"/>
      <c r="DIZ39" s="3"/>
      <c r="DJA39" s="3"/>
      <c r="DJB39" s="3"/>
      <c r="DJC39" s="3"/>
      <c r="DJD39" s="3"/>
      <c r="DJE39" s="3"/>
      <c r="DJF39" s="3"/>
      <c r="DJG39" s="3"/>
      <c r="DJH39" s="3"/>
      <c r="DJI39" s="3"/>
      <c r="DJJ39" s="3"/>
      <c r="DJK39" s="3"/>
      <c r="DJL39" s="3"/>
      <c r="DJM39" s="3"/>
      <c r="DJN39" s="3"/>
      <c r="DJO39" s="3"/>
      <c r="DJP39" s="3"/>
      <c r="DJQ39" s="3"/>
      <c r="DJR39" s="3"/>
      <c r="DJS39" s="3"/>
      <c r="DJT39" s="3"/>
      <c r="DJU39" s="3"/>
      <c r="DJV39" s="3"/>
      <c r="DJW39" s="3"/>
      <c r="DJX39" s="3"/>
      <c r="DJY39" s="3"/>
      <c r="DJZ39" s="3"/>
      <c r="DKA39" s="3"/>
      <c r="DKB39" s="3"/>
      <c r="DKC39" s="3"/>
      <c r="DKD39" s="3"/>
      <c r="DKE39" s="3"/>
      <c r="DKF39" s="3"/>
      <c r="DKG39" s="3"/>
      <c r="DKH39" s="3"/>
      <c r="DKI39" s="3"/>
      <c r="DKJ39" s="3"/>
      <c r="DKK39" s="3"/>
      <c r="DKL39" s="3"/>
      <c r="DKM39" s="3"/>
      <c r="DKN39" s="3"/>
      <c r="DKO39" s="3"/>
      <c r="DKP39" s="3"/>
      <c r="DKQ39" s="3"/>
      <c r="DKR39" s="3"/>
      <c r="DKS39" s="3"/>
      <c r="DKT39" s="3"/>
      <c r="DKU39" s="3"/>
      <c r="DKV39" s="3"/>
      <c r="DKW39" s="3"/>
      <c r="DKX39" s="3"/>
      <c r="DKY39" s="3"/>
      <c r="DKZ39" s="3"/>
      <c r="DLA39" s="3"/>
      <c r="DLB39" s="3"/>
      <c r="DLC39" s="3"/>
      <c r="DLD39" s="3"/>
      <c r="DLE39" s="3"/>
      <c r="DLF39" s="3"/>
      <c r="DLG39" s="3"/>
      <c r="DLH39" s="3"/>
      <c r="DLI39" s="3"/>
      <c r="DLJ39" s="3"/>
      <c r="DLK39" s="3"/>
      <c r="DLL39" s="3"/>
      <c r="DLM39" s="3"/>
      <c r="DLN39" s="3"/>
      <c r="DLO39" s="3"/>
      <c r="DLP39" s="3"/>
      <c r="DLQ39" s="3"/>
      <c r="DLR39" s="3"/>
      <c r="DLS39" s="3"/>
      <c r="DLT39" s="3"/>
      <c r="DLU39" s="3"/>
      <c r="DLV39" s="3"/>
      <c r="DLW39" s="3"/>
      <c r="DLX39" s="3"/>
      <c r="DLY39" s="3"/>
      <c r="DLZ39" s="3"/>
      <c r="DMA39" s="3"/>
      <c r="DMB39" s="3"/>
      <c r="DMC39" s="3"/>
      <c r="DMD39" s="3"/>
      <c r="DME39" s="3"/>
      <c r="DMF39" s="3"/>
      <c r="DMG39" s="3"/>
      <c r="DMH39" s="3"/>
      <c r="DMI39" s="3"/>
      <c r="DMJ39" s="3"/>
      <c r="DMK39" s="3"/>
      <c r="DML39" s="3"/>
      <c r="DMM39" s="3"/>
      <c r="DMN39" s="3"/>
      <c r="DMO39" s="3"/>
      <c r="DMP39" s="3"/>
      <c r="DMQ39" s="3"/>
      <c r="DMR39" s="3"/>
      <c r="DMS39" s="3"/>
      <c r="DMT39" s="3"/>
      <c r="DMU39" s="3"/>
      <c r="DMV39" s="3"/>
      <c r="DMW39" s="3"/>
      <c r="DMX39" s="3"/>
      <c r="DMY39" s="3"/>
      <c r="DMZ39" s="3"/>
      <c r="DNA39" s="3"/>
      <c r="DNB39" s="3"/>
      <c r="DNC39" s="3"/>
      <c r="DND39" s="3"/>
      <c r="DNE39" s="3"/>
      <c r="DNF39" s="3"/>
      <c r="DNG39" s="3"/>
      <c r="DNH39" s="3"/>
      <c r="DNI39" s="3"/>
      <c r="DNJ39" s="3"/>
      <c r="DNK39" s="3"/>
      <c r="DNL39" s="3"/>
      <c r="DNM39" s="3"/>
      <c r="DNN39" s="3"/>
      <c r="DNO39" s="3"/>
      <c r="DNP39" s="3"/>
      <c r="DNQ39" s="3"/>
      <c r="DNR39" s="3"/>
      <c r="DNS39" s="3"/>
      <c r="DNT39" s="3"/>
      <c r="DNU39" s="3"/>
      <c r="DNV39" s="3"/>
      <c r="DNW39" s="3"/>
      <c r="DNX39" s="3"/>
      <c r="DNY39" s="3"/>
      <c r="DNZ39" s="3"/>
      <c r="DOA39" s="3"/>
      <c r="DOB39" s="3"/>
      <c r="DOC39" s="3"/>
      <c r="DOD39" s="3"/>
      <c r="DOE39" s="3"/>
      <c r="DOF39" s="3"/>
      <c r="DOG39" s="3"/>
      <c r="DOH39" s="3"/>
      <c r="DOI39" s="3"/>
      <c r="DOJ39" s="3"/>
      <c r="DOK39" s="3"/>
      <c r="DOL39" s="3"/>
      <c r="DOM39" s="3"/>
      <c r="DON39" s="3"/>
      <c r="DOO39" s="3"/>
      <c r="DOP39" s="3"/>
      <c r="DOQ39" s="3"/>
      <c r="DOR39" s="3"/>
      <c r="DOS39" s="3"/>
      <c r="DOT39" s="3"/>
      <c r="DOU39" s="3"/>
      <c r="DOV39" s="3"/>
      <c r="DOW39" s="3"/>
      <c r="DOX39" s="3"/>
      <c r="DOY39" s="3"/>
      <c r="DOZ39" s="3"/>
      <c r="DPA39" s="3"/>
      <c r="DPB39" s="3"/>
      <c r="DPC39" s="3"/>
      <c r="DPD39" s="3"/>
      <c r="DPE39" s="3"/>
      <c r="DPF39" s="3"/>
      <c r="DPG39" s="3"/>
      <c r="DPH39" s="3"/>
      <c r="DPI39" s="3"/>
      <c r="DPJ39" s="3"/>
      <c r="DPK39" s="3"/>
      <c r="DPL39" s="3"/>
      <c r="DPM39" s="3"/>
      <c r="DPN39" s="3"/>
      <c r="DPO39" s="3"/>
      <c r="DPP39" s="3"/>
      <c r="DPQ39" s="3"/>
      <c r="DPR39" s="3"/>
      <c r="DPS39" s="3"/>
      <c r="DPT39" s="3"/>
      <c r="DPU39" s="3"/>
      <c r="DPV39" s="3"/>
      <c r="DPW39" s="3"/>
      <c r="DPX39" s="3"/>
      <c r="DPY39" s="3"/>
      <c r="DPZ39" s="3"/>
      <c r="DQA39" s="3"/>
      <c r="DQB39" s="3"/>
      <c r="DQC39" s="3"/>
      <c r="DQD39" s="3"/>
      <c r="DQE39" s="3"/>
      <c r="DQF39" s="3"/>
      <c r="DQG39" s="3"/>
      <c r="DQH39" s="3"/>
      <c r="DQI39" s="3"/>
      <c r="DQJ39" s="3"/>
      <c r="DQK39" s="3"/>
      <c r="DQL39" s="3"/>
      <c r="DQM39" s="3"/>
      <c r="DQN39" s="3"/>
      <c r="DQO39" s="3"/>
      <c r="DQP39" s="3"/>
      <c r="DQQ39" s="3"/>
      <c r="DQR39" s="3"/>
      <c r="DQS39" s="3"/>
      <c r="DQT39" s="3"/>
      <c r="DQU39" s="3"/>
      <c r="DQV39" s="3"/>
      <c r="DQW39" s="3"/>
      <c r="DQX39" s="3"/>
      <c r="DQY39" s="3"/>
      <c r="DQZ39" s="3"/>
      <c r="DRA39" s="3"/>
      <c r="DRB39" s="3"/>
      <c r="DRC39" s="3"/>
      <c r="DRD39" s="3"/>
      <c r="DRE39" s="3"/>
      <c r="DRF39" s="3"/>
      <c r="DRG39" s="3"/>
      <c r="DRH39" s="3"/>
      <c r="DRI39" s="3"/>
      <c r="DRJ39" s="3"/>
      <c r="DRK39" s="3"/>
      <c r="DRL39" s="3"/>
      <c r="DRM39" s="3"/>
      <c r="DRN39" s="3"/>
      <c r="DRO39" s="3"/>
      <c r="DRP39" s="3"/>
      <c r="DRQ39" s="3"/>
      <c r="DRR39" s="3"/>
      <c r="DRS39" s="3"/>
      <c r="DRT39" s="3"/>
      <c r="DRU39" s="3"/>
      <c r="DRV39" s="3"/>
      <c r="DRW39" s="3"/>
      <c r="DRX39" s="3"/>
      <c r="DRY39" s="3"/>
      <c r="DRZ39" s="3"/>
      <c r="DSA39" s="3"/>
      <c r="DSB39" s="3"/>
      <c r="DSC39" s="3"/>
      <c r="DSD39" s="3"/>
      <c r="DSE39" s="3"/>
      <c r="DSF39" s="3"/>
      <c r="DSG39" s="3"/>
      <c r="DSH39" s="3"/>
      <c r="DSI39" s="3"/>
      <c r="DSJ39" s="3"/>
      <c r="DSK39" s="3"/>
      <c r="DSL39" s="3"/>
      <c r="DSM39" s="3"/>
      <c r="DSN39" s="3"/>
      <c r="DSO39" s="3"/>
      <c r="DSP39" s="3"/>
      <c r="DSQ39" s="3"/>
      <c r="DSR39" s="3"/>
      <c r="DSS39" s="3"/>
      <c r="DST39" s="3"/>
      <c r="DSU39" s="3"/>
      <c r="DSV39" s="3"/>
      <c r="DSW39" s="3"/>
      <c r="DSX39" s="3"/>
      <c r="DSY39" s="3"/>
      <c r="DSZ39" s="3"/>
      <c r="DTA39" s="3"/>
      <c r="DTB39" s="3"/>
      <c r="DTC39" s="3"/>
      <c r="DTD39" s="3"/>
      <c r="DTE39" s="3"/>
      <c r="DTF39" s="3"/>
      <c r="DTG39" s="3"/>
      <c r="DTH39" s="3"/>
      <c r="DTI39" s="3"/>
      <c r="DTJ39" s="3"/>
      <c r="DTK39" s="3"/>
      <c r="DTL39" s="3"/>
      <c r="DTM39" s="3"/>
      <c r="DTN39" s="3"/>
      <c r="DTO39" s="3"/>
      <c r="DTP39" s="3"/>
      <c r="DTQ39" s="3"/>
      <c r="DTR39" s="3"/>
      <c r="DTS39" s="3"/>
      <c r="DTT39" s="3"/>
      <c r="DTU39" s="3"/>
      <c r="DTV39" s="3"/>
      <c r="DTW39" s="3"/>
      <c r="DTX39" s="3"/>
      <c r="DTY39" s="3"/>
      <c r="DTZ39" s="3"/>
      <c r="DUA39" s="3"/>
      <c r="DUB39" s="3"/>
      <c r="DUC39" s="3"/>
      <c r="DUD39" s="3"/>
      <c r="DUE39" s="3"/>
      <c r="DUF39" s="3"/>
      <c r="DUG39" s="3"/>
      <c r="DUH39" s="3"/>
      <c r="DUI39" s="3"/>
      <c r="DUJ39" s="3"/>
      <c r="DUK39" s="3"/>
      <c r="DUL39" s="3"/>
      <c r="DUM39" s="3"/>
      <c r="DUN39" s="3"/>
      <c r="DUO39" s="3"/>
      <c r="DUP39" s="3"/>
      <c r="DUQ39" s="3"/>
      <c r="DUR39" s="3"/>
      <c r="DUS39" s="3"/>
      <c r="DUT39" s="3"/>
      <c r="DUU39" s="3"/>
      <c r="DUV39" s="3"/>
      <c r="DUW39" s="3"/>
      <c r="DUX39" s="3"/>
      <c r="DUY39" s="3"/>
      <c r="DUZ39" s="3"/>
      <c r="DVA39" s="3"/>
      <c r="DVB39" s="3"/>
      <c r="DVC39" s="3"/>
      <c r="DVD39" s="3"/>
      <c r="DVE39" s="3"/>
      <c r="DVF39" s="3"/>
      <c r="DVG39" s="3"/>
      <c r="DVH39" s="3"/>
      <c r="DVI39" s="3"/>
      <c r="DVJ39" s="3"/>
      <c r="DVK39" s="3"/>
      <c r="DVL39" s="3"/>
      <c r="DVM39" s="3"/>
      <c r="DVN39" s="3"/>
      <c r="DVO39" s="3"/>
      <c r="DVP39" s="3"/>
      <c r="DVQ39" s="3"/>
      <c r="DVR39" s="3"/>
      <c r="DVS39" s="3"/>
      <c r="DVT39" s="3"/>
      <c r="DVU39" s="3"/>
      <c r="DVV39" s="3"/>
      <c r="DVW39" s="3"/>
      <c r="DVX39" s="3"/>
      <c r="DVY39" s="3"/>
      <c r="DVZ39" s="3"/>
      <c r="DWA39" s="3"/>
      <c r="DWB39" s="3"/>
      <c r="DWC39" s="3"/>
      <c r="DWD39" s="3"/>
      <c r="DWE39" s="3"/>
      <c r="DWF39" s="3"/>
      <c r="DWG39" s="3"/>
      <c r="DWH39" s="3"/>
      <c r="DWI39" s="3"/>
      <c r="DWJ39" s="3"/>
      <c r="DWK39" s="3"/>
      <c r="DWL39" s="3"/>
      <c r="DWM39" s="3"/>
      <c r="DWN39" s="3"/>
      <c r="DWO39" s="3"/>
      <c r="DWP39" s="3"/>
      <c r="DWQ39" s="3"/>
      <c r="DWR39" s="3"/>
      <c r="DWS39" s="3"/>
      <c r="DWT39" s="3"/>
      <c r="DWU39" s="3"/>
      <c r="DWV39" s="3"/>
      <c r="DWW39" s="3"/>
      <c r="DWX39" s="3"/>
      <c r="DWY39" s="3"/>
      <c r="DWZ39" s="3"/>
      <c r="DXA39" s="3"/>
      <c r="DXB39" s="3"/>
      <c r="DXC39" s="3"/>
      <c r="DXD39" s="3"/>
      <c r="DXE39" s="3"/>
      <c r="DXF39" s="3"/>
      <c r="DXG39" s="3"/>
      <c r="DXH39" s="3"/>
      <c r="DXI39" s="3"/>
      <c r="DXJ39" s="3"/>
      <c r="DXK39" s="3"/>
      <c r="DXL39" s="3"/>
      <c r="DXM39" s="3"/>
      <c r="DXN39" s="3"/>
      <c r="DXO39" s="3"/>
      <c r="DXP39" s="3"/>
      <c r="DXQ39" s="3"/>
      <c r="DXR39" s="3"/>
      <c r="DXS39" s="3"/>
      <c r="DXT39" s="3"/>
      <c r="DXU39" s="3"/>
      <c r="DXV39" s="3"/>
      <c r="DXW39" s="3"/>
      <c r="DXX39" s="3"/>
      <c r="DXY39" s="3"/>
      <c r="DXZ39" s="3"/>
      <c r="DYA39" s="3"/>
      <c r="DYB39" s="3"/>
      <c r="DYC39" s="3"/>
      <c r="DYD39" s="3"/>
      <c r="DYE39" s="3"/>
      <c r="DYF39" s="3"/>
      <c r="DYG39" s="3"/>
      <c r="DYH39" s="3"/>
      <c r="DYI39" s="3"/>
      <c r="DYJ39" s="3"/>
      <c r="DYK39" s="3"/>
      <c r="DYL39" s="3"/>
      <c r="DYM39" s="3"/>
      <c r="DYN39" s="3"/>
      <c r="DYO39" s="3"/>
      <c r="DYP39" s="3"/>
      <c r="DYQ39" s="3"/>
      <c r="DYR39" s="3"/>
      <c r="DYS39" s="3"/>
      <c r="DYT39" s="3"/>
      <c r="DYU39" s="3"/>
      <c r="DYV39" s="3"/>
      <c r="DYW39" s="3"/>
      <c r="DYX39" s="3"/>
      <c r="DYY39" s="3"/>
      <c r="DYZ39" s="3"/>
      <c r="DZA39" s="3"/>
      <c r="DZB39" s="3"/>
      <c r="DZC39" s="3"/>
      <c r="DZD39" s="3"/>
      <c r="DZE39" s="3"/>
      <c r="DZF39" s="3"/>
      <c r="DZG39" s="3"/>
      <c r="DZH39" s="3"/>
      <c r="DZI39" s="3"/>
      <c r="DZJ39" s="3"/>
      <c r="DZK39" s="3"/>
      <c r="DZL39" s="3"/>
      <c r="DZM39" s="3"/>
      <c r="DZN39" s="3"/>
      <c r="DZO39" s="3"/>
      <c r="DZP39" s="3"/>
      <c r="DZQ39" s="3"/>
      <c r="DZR39" s="3"/>
      <c r="DZS39" s="3"/>
      <c r="DZT39" s="3"/>
      <c r="DZU39" s="3"/>
      <c r="DZV39" s="3"/>
      <c r="DZW39" s="3"/>
      <c r="DZX39" s="3"/>
      <c r="DZY39" s="3"/>
      <c r="DZZ39" s="3"/>
      <c r="EAA39" s="3"/>
      <c r="EAB39" s="3"/>
      <c r="EAC39" s="3"/>
      <c r="EAD39" s="3"/>
      <c r="EAE39" s="3"/>
      <c r="EAF39" s="3"/>
      <c r="EAG39" s="3"/>
      <c r="EAH39" s="3"/>
      <c r="EAI39" s="3"/>
      <c r="EAJ39" s="3"/>
      <c r="EAK39" s="3"/>
      <c r="EAL39" s="3"/>
      <c r="EAM39" s="3"/>
      <c r="EAN39" s="3"/>
      <c r="EAO39" s="3"/>
      <c r="EAP39" s="3"/>
      <c r="EAQ39" s="3"/>
      <c r="EAR39" s="3"/>
      <c r="EAS39" s="3"/>
      <c r="EAT39" s="3"/>
      <c r="EAU39" s="3"/>
      <c r="EAV39" s="3"/>
      <c r="EAW39" s="3"/>
      <c r="EAX39" s="3"/>
      <c r="EAY39" s="3"/>
      <c r="EAZ39" s="3"/>
      <c r="EBA39" s="3"/>
      <c r="EBB39" s="3"/>
      <c r="EBC39" s="3"/>
      <c r="EBD39" s="3"/>
      <c r="EBE39" s="3"/>
      <c r="EBF39" s="3"/>
      <c r="EBG39" s="3"/>
      <c r="EBH39" s="3"/>
      <c r="EBI39" s="3"/>
      <c r="EBJ39" s="3"/>
      <c r="EBK39" s="3"/>
      <c r="EBL39" s="3"/>
      <c r="EBM39" s="3"/>
      <c r="EBN39" s="3"/>
      <c r="EBO39" s="3"/>
      <c r="EBP39" s="3"/>
      <c r="EBQ39" s="3"/>
      <c r="EBR39" s="3"/>
      <c r="EBS39" s="3"/>
      <c r="EBT39" s="3"/>
      <c r="EBU39" s="3"/>
      <c r="EBV39" s="3"/>
      <c r="EBW39" s="3"/>
      <c r="EBX39" s="3"/>
      <c r="EBY39" s="3"/>
      <c r="EBZ39" s="3"/>
      <c r="ECA39" s="3"/>
      <c r="ECB39" s="3"/>
      <c r="ECC39" s="3"/>
      <c r="ECD39" s="3"/>
      <c r="ECE39" s="3"/>
      <c r="ECF39" s="3"/>
      <c r="ECG39" s="3"/>
      <c r="ECH39" s="3"/>
      <c r="ECI39" s="3"/>
      <c r="ECJ39" s="3"/>
      <c r="ECK39" s="3"/>
      <c r="ECL39" s="3"/>
      <c r="ECM39" s="3"/>
      <c r="ECN39" s="3"/>
      <c r="ECO39" s="3"/>
      <c r="ECP39" s="3"/>
      <c r="ECQ39" s="3"/>
      <c r="ECR39" s="3"/>
      <c r="ECS39" s="3"/>
      <c r="ECT39" s="3"/>
      <c r="ECU39" s="3"/>
      <c r="ECV39" s="3"/>
      <c r="ECW39" s="3"/>
      <c r="ECX39" s="3"/>
      <c r="ECY39" s="3"/>
      <c r="ECZ39" s="3"/>
      <c r="EDA39" s="3"/>
      <c r="EDB39" s="3"/>
      <c r="EDC39" s="3"/>
      <c r="EDD39" s="3"/>
      <c r="EDE39" s="3"/>
      <c r="EDF39" s="3"/>
      <c r="EDG39" s="3"/>
      <c r="EDH39" s="3"/>
      <c r="EDI39" s="3"/>
      <c r="EDJ39" s="3"/>
      <c r="EDK39" s="3"/>
      <c r="EDL39" s="3"/>
      <c r="EDM39" s="3"/>
      <c r="EDN39" s="3"/>
      <c r="EDO39" s="3"/>
      <c r="EDP39" s="3"/>
      <c r="EDQ39" s="3"/>
      <c r="EDR39" s="3"/>
      <c r="EDS39" s="3"/>
      <c r="EDT39" s="3"/>
      <c r="EDU39" s="3"/>
      <c r="EDV39" s="3"/>
      <c r="EDW39" s="3"/>
      <c r="EDX39" s="3"/>
      <c r="EDY39" s="3"/>
      <c r="EDZ39" s="3"/>
      <c r="EEA39" s="3"/>
      <c r="EEB39" s="3"/>
      <c r="EEC39" s="3"/>
      <c r="EED39" s="3"/>
      <c r="EEE39" s="3"/>
      <c r="EEF39" s="3"/>
      <c r="EEG39" s="3"/>
      <c r="EEH39" s="3"/>
      <c r="EEI39" s="3"/>
      <c r="EEJ39" s="3"/>
      <c r="EEK39" s="3"/>
      <c r="EEL39" s="3"/>
      <c r="EEM39" s="3"/>
      <c r="EEN39" s="3"/>
      <c r="EEO39" s="3"/>
      <c r="EEP39" s="3"/>
      <c r="EEQ39" s="3"/>
      <c r="EER39" s="3"/>
      <c r="EES39" s="3"/>
      <c r="EET39" s="3"/>
      <c r="EEU39" s="3"/>
      <c r="EEV39" s="3"/>
      <c r="EEW39" s="3"/>
      <c r="EEX39" s="3"/>
      <c r="EEY39" s="3"/>
      <c r="EEZ39" s="3"/>
      <c r="EFA39" s="3"/>
      <c r="EFB39" s="3"/>
      <c r="EFC39" s="3"/>
      <c r="EFD39" s="3"/>
      <c r="EFE39" s="3"/>
      <c r="EFF39" s="3"/>
      <c r="EFG39" s="3"/>
      <c r="EFH39" s="3"/>
      <c r="EFI39" s="3"/>
      <c r="EFJ39" s="3"/>
      <c r="EFK39" s="3"/>
      <c r="EFL39" s="3"/>
      <c r="EFM39" s="3"/>
      <c r="EFN39" s="3"/>
      <c r="EFO39" s="3"/>
      <c r="EFP39" s="3"/>
      <c r="EFQ39" s="3"/>
      <c r="EFR39" s="3"/>
      <c r="EFS39" s="3"/>
      <c r="EFT39" s="3"/>
      <c r="EFU39" s="3"/>
      <c r="EFV39" s="3"/>
      <c r="EFW39" s="3"/>
      <c r="EFX39" s="3"/>
      <c r="EFY39" s="3"/>
      <c r="EFZ39" s="3"/>
      <c r="EGA39" s="3"/>
      <c r="EGB39" s="3"/>
      <c r="EGC39" s="3"/>
      <c r="EGD39" s="3"/>
      <c r="EGE39" s="3"/>
      <c r="EGF39" s="3"/>
      <c r="EGG39" s="3"/>
      <c r="EGH39" s="3"/>
      <c r="EGI39" s="3"/>
      <c r="EGJ39" s="3"/>
      <c r="EGK39" s="3"/>
      <c r="EGL39" s="3"/>
      <c r="EGM39" s="3"/>
      <c r="EGN39" s="3"/>
      <c r="EGO39" s="3"/>
      <c r="EGP39" s="3"/>
      <c r="EGQ39" s="3"/>
      <c r="EGR39" s="3"/>
      <c r="EGS39" s="3"/>
      <c r="EGT39" s="3"/>
      <c r="EGU39" s="3"/>
      <c r="EGV39" s="3"/>
      <c r="EGW39" s="3"/>
      <c r="EGX39" s="3"/>
      <c r="EGY39" s="3"/>
      <c r="EGZ39" s="3"/>
      <c r="EHA39" s="3"/>
      <c r="EHB39" s="3"/>
      <c r="EHC39" s="3"/>
      <c r="EHD39" s="3"/>
      <c r="EHE39" s="3"/>
      <c r="EHF39" s="3"/>
      <c r="EHG39" s="3"/>
      <c r="EHH39" s="3"/>
      <c r="EHI39" s="3"/>
      <c r="EHJ39" s="3"/>
      <c r="EHK39" s="3"/>
      <c r="EHL39" s="3"/>
      <c r="EHM39" s="3"/>
      <c r="EHN39" s="3"/>
      <c r="EHO39" s="3"/>
      <c r="EHP39" s="3"/>
      <c r="EHQ39" s="3"/>
      <c r="EHR39" s="3"/>
      <c r="EHS39" s="3"/>
      <c r="EHT39" s="3"/>
      <c r="EHU39" s="3"/>
      <c r="EHV39" s="3"/>
      <c r="EHW39" s="3"/>
      <c r="EHX39" s="3"/>
      <c r="EHY39" s="3"/>
      <c r="EHZ39" s="3"/>
      <c r="EIA39" s="3"/>
      <c r="EIB39" s="3"/>
      <c r="EIC39" s="3"/>
      <c r="EID39" s="3"/>
      <c r="EIE39" s="3"/>
      <c r="EIF39" s="3"/>
      <c r="EIG39" s="3"/>
      <c r="EIH39" s="3"/>
      <c r="EII39" s="3"/>
      <c r="EIJ39" s="3"/>
      <c r="EIK39" s="3"/>
      <c r="EIL39" s="3"/>
      <c r="EIM39" s="3"/>
      <c r="EIN39" s="3"/>
      <c r="EIO39" s="3"/>
      <c r="EIP39" s="3"/>
      <c r="EIQ39" s="3"/>
      <c r="EIR39" s="3"/>
      <c r="EIS39" s="3"/>
      <c r="EIT39" s="3"/>
      <c r="EIU39" s="3"/>
      <c r="EIV39" s="3"/>
      <c r="EIW39" s="3"/>
      <c r="EIX39" s="3"/>
      <c r="EIY39" s="3"/>
      <c r="EIZ39" s="3"/>
      <c r="EJA39" s="3"/>
      <c r="EJB39" s="3"/>
      <c r="EJC39" s="3"/>
      <c r="EJD39" s="3"/>
      <c r="EJE39" s="3"/>
      <c r="EJF39" s="3"/>
      <c r="EJG39" s="3"/>
      <c r="EJH39" s="3"/>
      <c r="EJI39" s="3"/>
      <c r="EJJ39" s="3"/>
      <c r="EJK39" s="3"/>
      <c r="EJL39" s="3"/>
      <c r="EJM39" s="3"/>
      <c r="EJN39" s="3"/>
      <c r="EJO39" s="3"/>
      <c r="EJP39" s="3"/>
      <c r="EJQ39" s="3"/>
      <c r="EJR39" s="3"/>
      <c r="EJS39" s="3"/>
      <c r="EJT39" s="3"/>
      <c r="EJU39" s="3"/>
      <c r="EJV39" s="3"/>
      <c r="EJW39" s="3"/>
      <c r="EJX39" s="3"/>
      <c r="EJY39" s="3"/>
      <c r="EJZ39" s="3"/>
      <c r="EKA39" s="3"/>
      <c r="EKB39" s="3"/>
      <c r="EKC39" s="3"/>
      <c r="EKD39" s="3"/>
      <c r="EKE39" s="3"/>
      <c r="EKF39" s="3"/>
      <c r="EKG39" s="3"/>
      <c r="EKH39" s="3"/>
      <c r="EKI39" s="3"/>
      <c r="EKJ39" s="3"/>
      <c r="EKK39" s="3"/>
      <c r="EKL39" s="3"/>
      <c r="EKM39" s="3"/>
      <c r="EKN39" s="3"/>
      <c r="EKO39" s="3"/>
      <c r="EKP39" s="3"/>
      <c r="EKQ39" s="3"/>
      <c r="EKR39" s="3"/>
      <c r="EKS39" s="3"/>
      <c r="EKT39" s="3"/>
      <c r="EKU39" s="3"/>
      <c r="EKV39" s="3"/>
      <c r="EKW39" s="3"/>
      <c r="EKX39" s="3"/>
      <c r="EKY39" s="3"/>
      <c r="EKZ39" s="3"/>
      <c r="ELA39" s="3"/>
      <c r="ELB39" s="3"/>
      <c r="ELC39" s="3"/>
      <c r="ELD39" s="3"/>
      <c r="ELE39" s="3"/>
      <c r="ELF39" s="3"/>
      <c r="ELG39" s="3"/>
      <c r="ELH39" s="3"/>
      <c r="ELI39" s="3"/>
      <c r="ELJ39" s="3"/>
      <c r="ELK39" s="3"/>
      <c r="ELL39" s="3"/>
      <c r="ELM39" s="3"/>
      <c r="ELN39" s="3"/>
      <c r="ELO39" s="3"/>
      <c r="ELP39" s="3"/>
      <c r="ELQ39" s="3"/>
      <c r="ELR39" s="3"/>
      <c r="ELS39" s="3"/>
      <c r="ELT39" s="3"/>
      <c r="ELU39" s="3"/>
      <c r="ELV39" s="3"/>
      <c r="ELW39" s="3"/>
      <c r="ELX39" s="3"/>
      <c r="ELY39" s="3"/>
      <c r="ELZ39" s="3"/>
      <c r="EMA39" s="3"/>
      <c r="EMB39" s="3"/>
      <c r="EMC39" s="3"/>
      <c r="EMD39" s="3"/>
      <c r="EME39" s="3"/>
      <c r="EMF39" s="3"/>
      <c r="EMG39" s="3"/>
      <c r="EMH39" s="3"/>
      <c r="EMI39" s="3"/>
      <c r="EMJ39" s="3"/>
      <c r="EMK39" s="3"/>
      <c r="EML39" s="3"/>
      <c r="EMM39" s="3"/>
      <c r="EMN39" s="3"/>
      <c r="EMO39" s="3"/>
      <c r="EMP39" s="3"/>
      <c r="EMQ39" s="3"/>
      <c r="EMR39" s="3"/>
      <c r="EMS39" s="3"/>
      <c r="EMT39" s="3"/>
      <c r="EMU39" s="3"/>
      <c r="EMV39" s="3"/>
      <c r="EMW39" s="3"/>
      <c r="EMX39" s="3"/>
      <c r="EMY39" s="3"/>
      <c r="EMZ39" s="3"/>
      <c r="ENA39" s="3"/>
      <c r="ENB39" s="3"/>
      <c r="ENC39" s="3"/>
      <c r="END39" s="3"/>
      <c r="ENE39" s="3"/>
      <c r="ENF39" s="3"/>
      <c r="ENG39" s="3"/>
      <c r="ENH39" s="3"/>
      <c r="ENI39" s="3"/>
      <c r="ENJ39" s="3"/>
      <c r="ENK39" s="3"/>
      <c r="ENL39" s="3"/>
      <c r="ENM39" s="3"/>
      <c r="ENN39" s="3"/>
      <c r="ENO39" s="3"/>
      <c r="ENP39" s="3"/>
      <c r="ENQ39" s="3"/>
      <c r="ENR39" s="3"/>
      <c r="ENS39" s="3"/>
      <c r="ENT39" s="3"/>
      <c r="ENU39" s="3"/>
      <c r="ENV39" s="3"/>
      <c r="ENW39" s="3"/>
      <c r="ENX39" s="3"/>
      <c r="ENY39" s="3"/>
      <c r="ENZ39" s="3"/>
      <c r="EOA39" s="3"/>
      <c r="EOB39" s="3"/>
      <c r="EOC39" s="3"/>
      <c r="EOD39" s="3"/>
      <c r="EOE39" s="3"/>
      <c r="EOF39" s="3"/>
      <c r="EOG39" s="3"/>
      <c r="EOH39" s="3"/>
      <c r="EOI39" s="3"/>
      <c r="EOJ39" s="3"/>
      <c r="EOK39" s="3"/>
      <c r="EOL39" s="3"/>
      <c r="EOM39" s="3"/>
      <c r="EON39" s="3"/>
      <c r="EOO39" s="3"/>
      <c r="EOP39" s="3"/>
      <c r="EOQ39" s="3"/>
      <c r="EOR39" s="3"/>
      <c r="EOS39" s="3"/>
      <c r="EOT39" s="3"/>
      <c r="EOU39" s="3"/>
      <c r="EOV39" s="3"/>
      <c r="EOW39" s="3"/>
      <c r="EOX39" s="3"/>
      <c r="EOY39" s="3"/>
      <c r="EOZ39" s="3"/>
      <c r="EPA39" s="3"/>
      <c r="EPB39" s="3"/>
      <c r="EPC39" s="3"/>
      <c r="EPD39" s="3"/>
      <c r="EPE39" s="3"/>
      <c r="EPF39" s="3"/>
      <c r="EPG39" s="3"/>
      <c r="EPH39" s="3"/>
      <c r="EPI39" s="3"/>
      <c r="EPJ39" s="3"/>
      <c r="EPK39" s="3"/>
      <c r="EPL39" s="3"/>
      <c r="EPM39" s="3"/>
      <c r="EPN39" s="3"/>
      <c r="EPO39" s="3"/>
      <c r="EPP39" s="3"/>
      <c r="EPQ39" s="3"/>
      <c r="EPR39" s="3"/>
      <c r="EPS39" s="3"/>
      <c r="EPT39" s="3"/>
      <c r="EPU39" s="3"/>
      <c r="EPV39" s="3"/>
      <c r="EPW39" s="3"/>
      <c r="EPX39" s="3"/>
      <c r="EPY39" s="3"/>
      <c r="EPZ39" s="3"/>
      <c r="EQA39" s="3"/>
      <c r="EQB39" s="3"/>
      <c r="EQC39" s="3"/>
      <c r="EQD39" s="3"/>
      <c r="EQE39" s="3"/>
      <c r="EQF39" s="3"/>
      <c r="EQG39" s="3"/>
      <c r="EQH39" s="3"/>
      <c r="EQI39" s="3"/>
      <c r="EQJ39" s="3"/>
      <c r="EQK39" s="3"/>
      <c r="EQL39" s="3"/>
      <c r="EQM39" s="3"/>
      <c r="EQN39" s="3"/>
      <c r="EQO39" s="3"/>
      <c r="EQP39" s="3"/>
      <c r="EQQ39" s="3"/>
      <c r="EQR39" s="3"/>
      <c r="EQS39" s="3"/>
      <c r="EQT39" s="3"/>
      <c r="EQU39" s="3"/>
      <c r="EQV39" s="3"/>
      <c r="EQW39" s="3"/>
      <c r="EQX39" s="3"/>
      <c r="EQY39" s="3"/>
      <c r="EQZ39" s="3"/>
      <c r="ERA39" s="3"/>
      <c r="ERB39" s="3"/>
      <c r="ERC39" s="3"/>
      <c r="ERD39" s="3"/>
      <c r="ERE39" s="3"/>
      <c r="ERF39" s="3"/>
      <c r="ERG39" s="3"/>
      <c r="ERH39" s="3"/>
      <c r="ERI39" s="3"/>
      <c r="ERJ39" s="3"/>
      <c r="ERK39" s="3"/>
      <c r="ERL39" s="3"/>
      <c r="ERM39" s="3"/>
      <c r="ERN39" s="3"/>
      <c r="ERO39" s="3"/>
      <c r="ERP39" s="3"/>
      <c r="ERQ39" s="3"/>
      <c r="ERR39" s="3"/>
      <c r="ERS39" s="3"/>
      <c r="ERT39" s="3"/>
      <c r="ERU39" s="3"/>
      <c r="ERV39" s="3"/>
      <c r="ERW39" s="3"/>
      <c r="ERX39" s="3"/>
      <c r="ERY39" s="3"/>
      <c r="ERZ39" s="3"/>
      <c r="ESA39" s="3"/>
      <c r="ESB39" s="3"/>
      <c r="ESC39" s="3"/>
      <c r="ESD39" s="3"/>
      <c r="ESE39" s="3"/>
      <c r="ESF39" s="3"/>
      <c r="ESG39" s="3"/>
      <c r="ESH39" s="3"/>
      <c r="ESI39" s="3"/>
      <c r="ESJ39" s="3"/>
      <c r="ESK39" s="3"/>
      <c r="ESL39" s="3"/>
      <c r="ESM39" s="3"/>
      <c r="ESN39" s="3"/>
      <c r="ESO39" s="3"/>
      <c r="ESP39" s="3"/>
      <c r="ESQ39" s="3"/>
      <c r="ESR39" s="3"/>
      <c r="ESS39" s="3"/>
      <c r="EST39" s="3"/>
      <c r="ESU39" s="3"/>
      <c r="ESV39" s="3"/>
      <c r="ESW39" s="3"/>
      <c r="ESX39" s="3"/>
      <c r="ESY39" s="3"/>
      <c r="ESZ39" s="3"/>
      <c r="ETA39" s="3"/>
      <c r="ETB39" s="3"/>
      <c r="ETC39" s="3"/>
      <c r="ETD39" s="3"/>
      <c r="ETE39" s="3"/>
      <c r="ETF39" s="3"/>
      <c r="ETG39" s="3"/>
      <c r="ETH39" s="3"/>
      <c r="ETI39" s="3"/>
      <c r="ETJ39" s="3"/>
      <c r="ETK39" s="3"/>
      <c r="ETL39" s="3"/>
      <c r="ETM39" s="3"/>
      <c r="ETN39" s="3"/>
      <c r="ETO39" s="3"/>
      <c r="ETP39" s="3"/>
      <c r="ETQ39" s="3"/>
      <c r="ETR39" s="3"/>
      <c r="ETS39" s="3"/>
      <c r="ETT39" s="3"/>
      <c r="ETU39" s="3"/>
      <c r="ETV39" s="3"/>
      <c r="ETW39" s="3"/>
      <c r="ETX39" s="3"/>
      <c r="ETY39" s="3"/>
      <c r="ETZ39" s="3"/>
      <c r="EUA39" s="3"/>
      <c r="EUB39" s="3"/>
      <c r="EUC39" s="3"/>
      <c r="EUD39" s="3"/>
      <c r="EUE39" s="3"/>
      <c r="EUF39" s="3"/>
      <c r="EUG39" s="3"/>
      <c r="EUH39" s="3"/>
      <c r="EUI39" s="3"/>
      <c r="EUJ39" s="3"/>
      <c r="EUK39" s="3"/>
      <c r="EUL39" s="3"/>
      <c r="EUM39" s="3"/>
      <c r="EUN39" s="3"/>
      <c r="EUO39" s="3"/>
      <c r="EUP39" s="3"/>
      <c r="EUQ39" s="3"/>
      <c r="EUR39" s="3"/>
      <c r="EUS39" s="3"/>
      <c r="EUT39" s="3"/>
      <c r="EUU39" s="3"/>
      <c r="EUV39" s="3"/>
      <c r="EUW39" s="3"/>
      <c r="EUX39" s="3"/>
      <c r="EUY39" s="3"/>
      <c r="EUZ39" s="3"/>
      <c r="EVA39" s="3"/>
      <c r="EVB39" s="3"/>
      <c r="EVC39" s="3"/>
      <c r="EVD39" s="3"/>
      <c r="EVE39" s="3"/>
      <c r="EVF39" s="3"/>
      <c r="EVG39" s="3"/>
      <c r="EVH39" s="3"/>
      <c r="EVI39" s="3"/>
      <c r="EVJ39" s="3"/>
      <c r="EVK39" s="3"/>
      <c r="EVL39" s="3"/>
      <c r="EVM39" s="3"/>
      <c r="EVN39" s="3"/>
      <c r="EVO39" s="3"/>
      <c r="EVP39" s="3"/>
      <c r="EVQ39" s="3"/>
      <c r="EVR39" s="3"/>
      <c r="EVS39" s="3"/>
      <c r="EVT39" s="3"/>
      <c r="EVU39" s="3"/>
      <c r="EVV39" s="3"/>
      <c r="EVW39" s="3"/>
      <c r="EVX39" s="3"/>
      <c r="EVY39" s="3"/>
      <c r="EVZ39" s="3"/>
      <c r="EWA39" s="3"/>
      <c r="EWB39" s="3"/>
      <c r="EWC39" s="3"/>
      <c r="EWD39" s="3"/>
      <c r="EWE39" s="3"/>
      <c r="EWF39" s="3"/>
      <c r="EWG39" s="3"/>
      <c r="EWH39" s="3"/>
      <c r="EWI39" s="3"/>
      <c r="EWJ39" s="3"/>
      <c r="EWK39" s="3"/>
      <c r="EWL39" s="3"/>
      <c r="EWM39" s="3"/>
      <c r="EWN39" s="3"/>
      <c r="EWO39" s="3"/>
      <c r="EWP39" s="3"/>
      <c r="EWQ39" s="3"/>
      <c r="EWR39" s="3"/>
      <c r="EWS39" s="3"/>
      <c r="EWT39" s="3"/>
      <c r="EWU39" s="3"/>
      <c r="EWV39" s="3"/>
      <c r="EWW39" s="3"/>
      <c r="EWX39" s="3"/>
      <c r="EWY39" s="3"/>
      <c r="EWZ39" s="3"/>
      <c r="EXA39" s="3"/>
      <c r="EXB39" s="3"/>
      <c r="EXC39" s="3"/>
      <c r="EXD39" s="3"/>
      <c r="EXE39" s="3"/>
      <c r="EXF39" s="3"/>
      <c r="EXG39" s="3"/>
      <c r="EXH39" s="3"/>
      <c r="EXI39" s="3"/>
      <c r="EXJ39" s="3"/>
      <c r="EXK39" s="3"/>
      <c r="EXL39" s="3"/>
      <c r="EXM39" s="3"/>
      <c r="EXN39" s="3"/>
      <c r="EXO39" s="3"/>
      <c r="EXP39" s="3"/>
      <c r="EXQ39" s="3"/>
      <c r="EXR39" s="3"/>
      <c r="EXS39" s="3"/>
      <c r="EXT39" s="3"/>
      <c r="EXU39" s="3"/>
      <c r="EXV39" s="3"/>
      <c r="EXW39" s="3"/>
      <c r="EXX39" s="3"/>
      <c r="EXY39" s="3"/>
      <c r="EXZ39" s="3"/>
      <c r="EYA39" s="3"/>
      <c r="EYB39" s="3"/>
      <c r="EYC39" s="3"/>
      <c r="EYD39" s="3"/>
      <c r="EYE39" s="3"/>
      <c r="EYF39" s="3"/>
      <c r="EYG39" s="3"/>
      <c r="EYH39" s="3"/>
      <c r="EYI39" s="3"/>
      <c r="EYJ39" s="3"/>
      <c r="EYK39" s="3"/>
      <c r="EYL39" s="3"/>
      <c r="EYM39" s="3"/>
      <c r="EYN39" s="3"/>
      <c r="EYO39" s="3"/>
      <c r="EYP39" s="3"/>
      <c r="EYQ39" s="3"/>
      <c r="EYR39" s="3"/>
      <c r="EYS39" s="3"/>
      <c r="EYT39" s="3"/>
      <c r="EYU39" s="3"/>
      <c r="EYV39" s="3"/>
      <c r="EYW39" s="3"/>
      <c r="EYX39" s="3"/>
      <c r="EYY39" s="3"/>
      <c r="EYZ39" s="3"/>
      <c r="EZA39" s="3"/>
      <c r="EZB39" s="3"/>
      <c r="EZC39" s="3"/>
      <c r="EZD39" s="3"/>
      <c r="EZE39" s="3"/>
      <c r="EZF39" s="3"/>
      <c r="EZG39" s="3"/>
      <c r="EZH39" s="3"/>
      <c r="EZI39" s="3"/>
      <c r="EZJ39" s="3"/>
      <c r="EZK39" s="3"/>
      <c r="EZL39" s="3"/>
      <c r="EZM39" s="3"/>
      <c r="EZN39" s="3"/>
      <c r="EZO39" s="3"/>
      <c r="EZP39" s="3"/>
      <c r="EZQ39" s="3"/>
      <c r="EZR39" s="3"/>
      <c r="EZS39" s="3"/>
      <c r="EZT39" s="3"/>
      <c r="EZU39" s="3"/>
      <c r="EZV39" s="3"/>
      <c r="EZW39" s="3"/>
      <c r="EZX39" s="3"/>
      <c r="EZY39" s="3"/>
      <c r="EZZ39" s="3"/>
      <c r="FAA39" s="3"/>
      <c r="FAB39" s="3"/>
      <c r="FAC39" s="3"/>
      <c r="FAD39" s="3"/>
      <c r="FAE39" s="3"/>
      <c r="FAF39" s="3"/>
      <c r="FAG39" s="3"/>
      <c r="FAH39" s="3"/>
      <c r="FAI39" s="3"/>
      <c r="FAJ39" s="3"/>
      <c r="FAK39" s="3"/>
      <c r="FAL39" s="3"/>
      <c r="FAM39" s="3"/>
      <c r="FAN39" s="3"/>
      <c r="FAO39" s="3"/>
      <c r="FAP39" s="3"/>
      <c r="FAQ39" s="3"/>
      <c r="FAR39" s="3"/>
      <c r="FAS39" s="3"/>
      <c r="FAT39" s="3"/>
      <c r="FAU39" s="3"/>
      <c r="FAV39" s="3"/>
      <c r="FAW39" s="3"/>
      <c r="FAX39" s="3"/>
      <c r="FAY39" s="3"/>
      <c r="FAZ39" s="3"/>
      <c r="FBA39" s="3"/>
      <c r="FBB39" s="3"/>
      <c r="FBC39" s="3"/>
      <c r="FBD39" s="3"/>
      <c r="FBE39" s="3"/>
      <c r="FBF39" s="3"/>
      <c r="FBG39" s="3"/>
      <c r="FBH39" s="3"/>
      <c r="FBI39" s="3"/>
      <c r="FBJ39" s="3"/>
      <c r="FBK39" s="3"/>
      <c r="FBL39" s="3"/>
      <c r="FBM39" s="3"/>
      <c r="FBN39" s="3"/>
      <c r="FBO39" s="3"/>
      <c r="FBP39" s="3"/>
      <c r="FBQ39" s="3"/>
      <c r="FBR39" s="3"/>
      <c r="FBS39" s="3"/>
      <c r="FBT39" s="3"/>
      <c r="FBU39" s="3"/>
      <c r="FBV39" s="3"/>
      <c r="FBW39" s="3"/>
      <c r="FBX39" s="3"/>
      <c r="FBY39" s="3"/>
      <c r="FBZ39" s="3"/>
      <c r="FCA39" s="3"/>
      <c r="FCB39" s="3"/>
      <c r="FCC39" s="3"/>
      <c r="FCD39" s="3"/>
      <c r="FCE39" s="3"/>
      <c r="FCF39" s="3"/>
      <c r="FCG39" s="3"/>
      <c r="FCH39" s="3"/>
      <c r="FCI39" s="3"/>
      <c r="FCJ39" s="3"/>
      <c r="FCK39" s="3"/>
      <c r="FCL39" s="3"/>
      <c r="FCM39" s="3"/>
      <c r="FCN39" s="3"/>
      <c r="FCO39" s="3"/>
      <c r="FCP39" s="3"/>
      <c r="FCQ39" s="3"/>
      <c r="FCR39" s="3"/>
      <c r="FCS39" s="3"/>
      <c r="FCT39" s="3"/>
      <c r="FCU39" s="3"/>
      <c r="FCV39" s="3"/>
      <c r="FCW39" s="3"/>
      <c r="FCX39" s="3"/>
      <c r="FCY39" s="3"/>
      <c r="FCZ39" s="3"/>
      <c r="FDA39" s="3"/>
      <c r="FDB39" s="3"/>
      <c r="FDC39" s="3"/>
      <c r="FDD39" s="3"/>
      <c r="FDE39" s="3"/>
      <c r="FDF39" s="3"/>
      <c r="FDG39" s="3"/>
      <c r="FDH39" s="3"/>
      <c r="FDI39" s="3"/>
      <c r="FDJ39" s="3"/>
      <c r="FDK39" s="3"/>
      <c r="FDL39" s="3"/>
      <c r="FDM39" s="3"/>
      <c r="FDN39" s="3"/>
      <c r="FDO39" s="3"/>
      <c r="FDP39" s="3"/>
      <c r="FDQ39" s="3"/>
      <c r="FDR39" s="3"/>
      <c r="FDS39" s="3"/>
      <c r="FDT39" s="3"/>
      <c r="FDU39" s="3"/>
      <c r="FDV39" s="3"/>
      <c r="FDW39" s="3"/>
      <c r="FDX39" s="3"/>
      <c r="FDY39" s="3"/>
      <c r="FDZ39" s="3"/>
      <c r="FEA39" s="3"/>
      <c r="FEB39" s="3"/>
      <c r="FEC39" s="3"/>
      <c r="FED39" s="3"/>
      <c r="FEE39" s="3"/>
      <c r="FEF39" s="3"/>
      <c r="FEG39" s="3"/>
      <c r="FEH39" s="3"/>
      <c r="FEI39" s="3"/>
      <c r="FEJ39" s="3"/>
      <c r="FEK39" s="3"/>
      <c r="FEL39" s="3"/>
      <c r="FEM39" s="3"/>
      <c r="FEN39" s="3"/>
      <c r="FEO39" s="3"/>
      <c r="FEP39" s="3"/>
      <c r="FEQ39" s="3"/>
      <c r="FER39" s="3"/>
      <c r="FES39" s="3"/>
      <c r="FET39" s="3"/>
      <c r="FEU39" s="3"/>
      <c r="FEV39" s="3"/>
      <c r="FEW39" s="3"/>
      <c r="FEX39" s="3"/>
      <c r="FEY39" s="3"/>
      <c r="FEZ39" s="3"/>
      <c r="FFA39" s="3"/>
      <c r="FFB39" s="3"/>
      <c r="FFC39" s="3"/>
      <c r="FFD39" s="3"/>
      <c r="FFE39" s="3"/>
      <c r="FFF39" s="3"/>
      <c r="FFG39" s="3"/>
      <c r="FFH39" s="3"/>
      <c r="FFI39" s="3"/>
      <c r="FFJ39" s="3"/>
      <c r="FFK39" s="3"/>
      <c r="FFL39" s="3"/>
      <c r="FFM39" s="3"/>
      <c r="FFN39" s="3"/>
      <c r="FFO39" s="3"/>
      <c r="FFP39" s="3"/>
      <c r="FFQ39" s="3"/>
      <c r="FFR39" s="3"/>
      <c r="FFS39" s="3"/>
      <c r="FFT39" s="3"/>
      <c r="FFU39" s="3"/>
      <c r="FFV39" s="3"/>
      <c r="FFW39" s="3"/>
      <c r="FFX39" s="3"/>
      <c r="FFY39" s="3"/>
      <c r="FFZ39" s="3"/>
      <c r="FGA39" s="3"/>
      <c r="FGB39" s="3"/>
      <c r="FGC39" s="3"/>
      <c r="FGD39" s="3"/>
      <c r="FGE39" s="3"/>
      <c r="FGF39" s="3"/>
      <c r="FGG39" s="3"/>
      <c r="FGH39" s="3"/>
      <c r="FGI39" s="3"/>
      <c r="FGJ39" s="3"/>
      <c r="FGK39" s="3"/>
      <c r="FGL39" s="3"/>
      <c r="FGM39" s="3"/>
      <c r="FGN39" s="3"/>
      <c r="FGO39" s="3"/>
      <c r="FGP39" s="3"/>
      <c r="FGQ39" s="3"/>
      <c r="FGR39" s="3"/>
      <c r="FGS39" s="3"/>
      <c r="FGT39" s="3"/>
      <c r="FGU39" s="3"/>
      <c r="FGV39" s="3"/>
      <c r="FGW39" s="3"/>
      <c r="FGX39" s="3"/>
      <c r="FGY39" s="3"/>
      <c r="FGZ39" s="3"/>
      <c r="FHA39" s="3"/>
      <c r="FHB39" s="3"/>
      <c r="FHC39" s="3"/>
      <c r="FHD39" s="3"/>
      <c r="FHE39" s="3"/>
      <c r="FHF39" s="3"/>
      <c r="FHG39" s="3"/>
      <c r="FHH39" s="3"/>
      <c r="FHI39" s="3"/>
      <c r="FHJ39" s="3"/>
      <c r="FHK39" s="3"/>
      <c r="FHL39" s="3"/>
      <c r="FHM39" s="3"/>
      <c r="FHN39" s="3"/>
      <c r="FHO39" s="3"/>
      <c r="FHP39" s="3"/>
      <c r="FHQ39" s="3"/>
      <c r="FHR39" s="3"/>
      <c r="FHS39" s="3"/>
      <c r="FHT39" s="3"/>
      <c r="FHU39" s="3"/>
      <c r="FHV39" s="3"/>
      <c r="FHW39" s="3"/>
      <c r="FHX39" s="3"/>
      <c r="FHY39" s="3"/>
      <c r="FHZ39" s="3"/>
      <c r="FIA39" s="3"/>
      <c r="FIB39" s="3"/>
      <c r="FIC39" s="3"/>
      <c r="FID39" s="3"/>
      <c r="FIE39" s="3"/>
      <c r="FIF39" s="3"/>
      <c r="FIG39" s="3"/>
      <c r="FIH39" s="3"/>
      <c r="FII39" s="3"/>
      <c r="FIJ39" s="3"/>
      <c r="FIK39" s="3"/>
      <c r="FIL39" s="3"/>
      <c r="FIM39" s="3"/>
      <c r="FIN39" s="3"/>
      <c r="FIO39" s="3"/>
      <c r="FIP39" s="3"/>
      <c r="FIQ39" s="3"/>
      <c r="FIR39" s="3"/>
      <c r="FIS39" s="3"/>
      <c r="FIT39" s="3"/>
      <c r="FIU39" s="3"/>
      <c r="FIV39" s="3"/>
      <c r="FIW39" s="3"/>
      <c r="FIX39" s="3"/>
      <c r="FIY39" s="3"/>
      <c r="FIZ39" s="3"/>
      <c r="FJA39" s="3"/>
      <c r="FJB39" s="3"/>
      <c r="FJC39" s="3"/>
      <c r="FJD39" s="3"/>
      <c r="FJE39" s="3"/>
      <c r="FJF39" s="3"/>
      <c r="FJG39" s="3"/>
      <c r="FJH39" s="3"/>
      <c r="FJI39" s="3"/>
      <c r="FJJ39" s="3"/>
      <c r="FJK39" s="3"/>
      <c r="FJL39" s="3"/>
      <c r="FJM39" s="3"/>
      <c r="FJN39" s="3"/>
      <c r="FJO39" s="3"/>
      <c r="FJP39" s="3"/>
      <c r="FJQ39" s="3"/>
      <c r="FJR39" s="3"/>
      <c r="FJS39" s="3"/>
      <c r="FJT39" s="3"/>
      <c r="FJU39" s="3"/>
      <c r="FJV39" s="3"/>
      <c r="FJW39" s="3"/>
      <c r="FJX39" s="3"/>
      <c r="FJY39" s="3"/>
      <c r="FJZ39" s="3"/>
      <c r="FKA39" s="3"/>
      <c r="FKB39" s="3"/>
      <c r="FKC39" s="3"/>
      <c r="FKD39" s="3"/>
      <c r="FKE39" s="3"/>
      <c r="FKF39" s="3"/>
      <c r="FKG39" s="3"/>
      <c r="FKH39" s="3"/>
      <c r="FKI39" s="3"/>
      <c r="FKJ39" s="3"/>
      <c r="FKK39" s="3"/>
      <c r="FKL39" s="3"/>
      <c r="FKM39" s="3"/>
      <c r="FKN39" s="3"/>
      <c r="FKO39" s="3"/>
      <c r="FKP39" s="3"/>
      <c r="FKQ39" s="3"/>
      <c r="FKR39" s="3"/>
      <c r="FKS39" s="3"/>
      <c r="FKT39" s="3"/>
      <c r="FKU39" s="3"/>
      <c r="FKV39" s="3"/>
      <c r="FKW39" s="3"/>
      <c r="FKX39" s="3"/>
      <c r="FKY39" s="3"/>
      <c r="FKZ39" s="3"/>
      <c r="FLA39" s="3"/>
      <c r="FLB39" s="3"/>
      <c r="FLC39" s="3"/>
      <c r="FLD39" s="3"/>
      <c r="FLE39" s="3"/>
      <c r="FLF39" s="3"/>
      <c r="FLG39" s="3"/>
      <c r="FLH39" s="3"/>
      <c r="FLI39" s="3"/>
      <c r="FLJ39" s="3"/>
      <c r="FLK39" s="3"/>
      <c r="FLL39" s="3"/>
      <c r="FLM39" s="3"/>
      <c r="FLN39" s="3"/>
      <c r="FLO39" s="3"/>
      <c r="FLP39" s="3"/>
      <c r="FLQ39" s="3"/>
      <c r="FLR39" s="3"/>
      <c r="FLS39" s="3"/>
      <c r="FLT39" s="3"/>
      <c r="FLU39" s="3"/>
      <c r="FLV39" s="3"/>
      <c r="FLW39" s="3"/>
      <c r="FLX39" s="3"/>
      <c r="FLY39" s="3"/>
      <c r="FLZ39" s="3"/>
      <c r="FMA39" s="3"/>
      <c r="FMB39" s="3"/>
      <c r="FMC39" s="3"/>
      <c r="FMD39" s="3"/>
      <c r="FME39" s="3"/>
      <c r="FMF39" s="3"/>
      <c r="FMG39" s="3"/>
      <c r="FMH39" s="3"/>
      <c r="FMI39" s="3"/>
      <c r="FMJ39" s="3"/>
      <c r="FMK39" s="3"/>
      <c r="FML39" s="3"/>
      <c r="FMM39" s="3"/>
      <c r="FMN39" s="3"/>
      <c r="FMO39" s="3"/>
      <c r="FMP39" s="3"/>
      <c r="FMQ39" s="3"/>
      <c r="FMR39" s="3"/>
      <c r="FMS39" s="3"/>
      <c r="FMT39" s="3"/>
      <c r="FMU39" s="3"/>
      <c r="FMV39" s="3"/>
      <c r="FMW39" s="3"/>
      <c r="FMX39" s="3"/>
      <c r="FMY39" s="3"/>
      <c r="FMZ39" s="3"/>
      <c r="FNA39" s="3"/>
      <c r="FNB39" s="3"/>
      <c r="FNC39" s="3"/>
      <c r="FND39" s="3"/>
      <c r="FNE39" s="3"/>
      <c r="FNF39" s="3"/>
      <c r="FNG39" s="3"/>
      <c r="FNH39" s="3"/>
      <c r="FNI39" s="3"/>
      <c r="FNJ39" s="3"/>
      <c r="FNK39" s="3"/>
      <c r="FNL39" s="3"/>
      <c r="FNM39" s="3"/>
      <c r="FNN39" s="3"/>
      <c r="FNO39" s="3"/>
      <c r="FNP39" s="3"/>
      <c r="FNQ39" s="3"/>
      <c r="FNR39" s="3"/>
      <c r="FNS39" s="3"/>
      <c r="FNT39" s="3"/>
      <c r="FNU39" s="3"/>
      <c r="FNV39" s="3"/>
      <c r="FNW39" s="3"/>
      <c r="FNX39" s="3"/>
      <c r="FNY39" s="3"/>
      <c r="FNZ39" s="3"/>
      <c r="FOA39" s="3"/>
      <c r="FOB39" s="3"/>
      <c r="FOC39" s="3"/>
      <c r="FOD39" s="3"/>
      <c r="FOE39" s="3"/>
      <c r="FOF39" s="3"/>
      <c r="FOG39" s="3"/>
      <c r="FOH39" s="3"/>
      <c r="FOI39" s="3"/>
      <c r="FOJ39" s="3"/>
      <c r="FOK39" s="3"/>
      <c r="FOL39" s="3"/>
      <c r="FOM39" s="3"/>
      <c r="FON39" s="3"/>
      <c r="FOO39" s="3"/>
      <c r="FOP39" s="3"/>
      <c r="FOQ39" s="3"/>
      <c r="FOR39" s="3"/>
      <c r="FOS39" s="3"/>
      <c r="FOT39" s="3"/>
      <c r="FOU39" s="3"/>
      <c r="FOV39" s="3"/>
      <c r="FOW39" s="3"/>
      <c r="FOX39" s="3"/>
      <c r="FOY39" s="3"/>
      <c r="FOZ39" s="3"/>
      <c r="FPA39" s="3"/>
      <c r="FPB39" s="3"/>
      <c r="FPC39" s="3"/>
      <c r="FPD39" s="3"/>
      <c r="FPE39" s="3"/>
      <c r="FPF39" s="3"/>
      <c r="FPG39" s="3"/>
      <c r="FPH39" s="3"/>
      <c r="FPI39" s="3"/>
      <c r="FPJ39" s="3"/>
      <c r="FPK39" s="3"/>
      <c r="FPL39" s="3"/>
      <c r="FPM39" s="3"/>
      <c r="FPN39" s="3"/>
      <c r="FPO39" s="3"/>
      <c r="FPP39" s="3"/>
      <c r="FPQ39" s="3"/>
      <c r="FPR39" s="3"/>
      <c r="FPS39" s="3"/>
      <c r="FPT39" s="3"/>
      <c r="FPU39" s="3"/>
      <c r="FPV39" s="3"/>
      <c r="FPW39" s="3"/>
      <c r="FPX39" s="3"/>
      <c r="FPY39" s="3"/>
      <c r="FPZ39" s="3"/>
      <c r="FQA39" s="3"/>
      <c r="FQB39" s="3"/>
      <c r="FQC39" s="3"/>
      <c r="FQD39" s="3"/>
      <c r="FQE39" s="3"/>
      <c r="FQF39" s="3"/>
      <c r="FQG39" s="3"/>
      <c r="FQH39" s="3"/>
      <c r="FQI39" s="3"/>
      <c r="FQJ39" s="3"/>
      <c r="FQK39" s="3"/>
      <c r="FQL39" s="3"/>
      <c r="FQM39" s="3"/>
      <c r="FQN39" s="3"/>
      <c r="FQO39" s="3"/>
      <c r="FQP39" s="3"/>
      <c r="FQQ39" s="3"/>
      <c r="FQR39" s="3"/>
      <c r="FQS39" s="3"/>
      <c r="FQT39" s="3"/>
      <c r="FQU39" s="3"/>
      <c r="FQV39" s="3"/>
      <c r="FQW39" s="3"/>
      <c r="FQX39" s="3"/>
      <c r="FQY39" s="3"/>
      <c r="FQZ39" s="3"/>
      <c r="FRA39" s="3"/>
      <c r="FRB39" s="3"/>
      <c r="FRC39" s="3"/>
      <c r="FRD39" s="3"/>
      <c r="FRE39" s="3"/>
      <c r="FRF39" s="3"/>
      <c r="FRG39" s="3"/>
      <c r="FRH39" s="3"/>
      <c r="FRI39" s="3"/>
      <c r="FRJ39" s="3"/>
      <c r="FRK39" s="3"/>
      <c r="FRL39" s="3"/>
      <c r="FRM39" s="3"/>
      <c r="FRN39" s="3"/>
      <c r="FRO39" s="3"/>
      <c r="FRP39" s="3"/>
      <c r="FRQ39" s="3"/>
      <c r="FRR39" s="3"/>
      <c r="FRS39" s="3"/>
      <c r="FRT39" s="3"/>
      <c r="FRU39" s="3"/>
      <c r="FRV39" s="3"/>
      <c r="FRW39" s="3"/>
      <c r="FRX39" s="3"/>
      <c r="FRY39" s="3"/>
      <c r="FRZ39" s="3"/>
      <c r="FSA39" s="3"/>
      <c r="FSB39" s="3"/>
      <c r="FSC39" s="3"/>
      <c r="FSD39" s="3"/>
      <c r="FSE39" s="3"/>
      <c r="FSF39" s="3"/>
      <c r="FSG39" s="3"/>
      <c r="FSH39" s="3"/>
      <c r="FSI39" s="3"/>
      <c r="FSJ39" s="3"/>
      <c r="FSK39" s="3"/>
      <c r="FSL39" s="3"/>
      <c r="FSM39" s="3"/>
      <c r="FSN39" s="3"/>
      <c r="FSO39" s="3"/>
      <c r="FSP39" s="3"/>
      <c r="FSQ39" s="3"/>
      <c r="FSR39" s="3"/>
      <c r="FSS39" s="3"/>
      <c r="FST39" s="3"/>
      <c r="FSU39" s="3"/>
      <c r="FSV39" s="3"/>
      <c r="FSW39" s="3"/>
      <c r="FSX39" s="3"/>
      <c r="FSY39" s="3"/>
      <c r="FSZ39" s="3"/>
      <c r="FTA39" s="3"/>
      <c r="FTB39" s="3"/>
      <c r="FTC39" s="3"/>
      <c r="FTD39" s="3"/>
      <c r="FTE39" s="3"/>
      <c r="FTF39" s="3"/>
      <c r="FTG39" s="3"/>
      <c r="FTH39" s="3"/>
      <c r="FTI39" s="3"/>
      <c r="FTJ39" s="3"/>
      <c r="FTK39" s="3"/>
      <c r="FTL39" s="3"/>
      <c r="FTM39" s="3"/>
      <c r="FTN39" s="3"/>
      <c r="FTO39" s="3"/>
      <c r="FTP39" s="3"/>
      <c r="FTQ39" s="3"/>
      <c r="FTR39" s="3"/>
      <c r="FTS39" s="3"/>
      <c r="FTT39" s="3"/>
      <c r="FTU39" s="3"/>
      <c r="FTV39" s="3"/>
      <c r="FTW39" s="3"/>
      <c r="FTX39" s="3"/>
      <c r="FTY39" s="3"/>
      <c r="FTZ39" s="3"/>
      <c r="FUA39" s="3"/>
      <c r="FUB39" s="3"/>
      <c r="FUC39" s="3"/>
      <c r="FUD39" s="3"/>
      <c r="FUE39" s="3"/>
      <c r="FUF39" s="3"/>
      <c r="FUG39" s="3"/>
      <c r="FUH39" s="3"/>
      <c r="FUI39" s="3"/>
      <c r="FUJ39" s="3"/>
      <c r="FUK39" s="3"/>
      <c r="FUL39" s="3"/>
      <c r="FUM39" s="3"/>
      <c r="FUN39" s="3"/>
      <c r="FUO39" s="3"/>
      <c r="FUP39" s="3"/>
      <c r="FUQ39" s="3"/>
      <c r="FUR39" s="3"/>
      <c r="FUS39" s="3"/>
      <c r="FUT39" s="3"/>
      <c r="FUU39" s="3"/>
      <c r="FUV39" s="3"/>
      <c r="FUW39" s="3"/>
      <c r="FUX39" s="3"/>
      <c r="FUY39" s="3"/>
      <c r="FUZ39" s="3"/>
      <c r="FVA39" s="3"/>
      <c r="FVB39" s="3"/>
      <c r="FVC39" s="3"/>
      <c r="FVD39" s="3"/>
      <c r="FVE39" s="3"/>
      <c r="FVF39" s="3"/>
      <c r="FVG39" s="3"/>
      <c r="FVH39" s="3"/>
      <c r="FVI39" s="3"/>
      <c r="FVJ39" s="3"/>
      <c r="FVK39" s="3"/>
      <c r="FVL39" s="3"/>
      <c r="FVM39" s="3"/>
      <c r="FVN39" s="3"/>
      <c r="FVO39" s="3"/>
      <c r="FVP39" s="3"/>
      <c r="FVQ39" s="3"/>
      <c r="FVR39" s="3"/>
      <c r="FVS39" s="3"/>
      <c r="FVT39" s="3"/>
      <c r="FVU39" s="3"/>
      <c r="FVV39" s="3"/>
      <c r="FVW39" s="3"/>
      <c r="FVX39" s="3"/>
      <c r="FVY39" s="3"/>
      <c r="FVZ39" s="3"/>
      <c r="FWA39" s="3"/>
      <c r="FWB39" s="3"/>
      <c r="FWC39" s="3"/>
      <c r="FWD39" s="3"/>
      <c r="FWE39" s="3"/>
      <c r="FWF39" s="3"/>
      <c r="FWG39" s="3"/>
      <c r="FWH39" s="3"/>
      <c r="FWI39" s="3"/>
      <c r="FWJ39" s="3"/>
      <c r="FWK39" s="3"/>
      <c r="FWL39" s="3"/>
      <c r="FWM39" s="3"/>
      <c r="FWN39" s="3"/>
      <c r="FWO39" s="3"/>
      <c r="FWP39" s="3"/>
      <c r="FWQ39" s="3"/>
      <c r="FWR39" s="3"/>
      <c r="FWS39" s="3"/>
      <c r="FWT39" s="3"/>
      <c r="FWU39" s="3"/>
      <c r="FWV39" s="3"/>
      <c r="FWW39" s="3"/>
      <c r="FWX39" s="3"/>
      <c r="FWY39" s="3"/>
      <c r="FWZ39" s="3"/>
      <c r="FXA39" s="3"/>
      <c r="FXB39" s="3"/>
      <c r="FXC39" s="3"/>
      <c r="FXD39" s="3"/>
      <c r="FXE39" s="3"/>
      <c r="FXF39" s="3"/>
      <c r="FXG39" s="3"/>
      <c r="FXH39" s="3"/>
      <c r="FXI39" s="3"/>
      <c r="FXJ39" s="3"/>
      <c r="FXK39" s="3"/>
      <c r="FXL39" s="3"/>
      <c r="FXM39" s="3"/>
      <c r="FXN39" s="3"/>
      <c r="FXO39" s="3"/>
      <c r="FXP39" s="3"/>
      <c r="FXQ39" s="3"/>
      <c r="FXR39" s="3"/>
      <c r="FXS39" s="3"/>
      <c r="FXT39" s="3"/>
      <c r="FXU39" s="3"/>
      <c r="FXV39" s="3"/>
      <c r="FXW39" s="3"/>
      <c r="FXX39" s="3"/>
      <c r="FXY39" s="3"/>
      <c r="FXZ39" s="3"/>
      <c r="FYA39" s="3"/>
      <c r="FYB39" s="3"/>
      <c r="FYC39" s="3"/>
      <c r="FYD39" s="3"/>
      <c r="FYE39" s="3"/>
      <c r="FYF39" s="3"/>
      <c r="FYG39" s="3"/>
      <c r="FYH39" s="3"/>
      <c r="FYI39" s="3"/>
      <c r="FYJ39" s="3"/>
      <c r="FYK39" s="3"/>
      <c r="FYL39" s="3"/>
      <c r="FYM39" s="3"/>
      <c r="FYN39" s="3"/>
      <c r="FYO39" s="3"/>
      <c r="FYP39" s="3"/>
      <c r="FYQ39" s="3"/>
      <c r="FYR39" s="3"/>
      <c r="FYS39" s="3"/>
      <c r="FYT39" s="3"/>
      <c r="FYU39" s="3"/>
      <c r="FYV39" s="3"/>
      <c r="FYW39" s="3"/>
      <c r="FYX39" s="3"/>
      <c r="FYY39" s="3"/>
      <c r="FYZ39" s="3"/>
      <c r="FZA39" s="3"/>
      <c r="FZB39" s="3"/>
      <c r="FZC39" s="3"/>
      <c r="FZD39" s="3"/>
      <c r="FZE39" s="3"/>
      <c r="FZF39" s="3"/>
      <c r="FZG39" s="3"/>
      <c r="FZH39" s="3"/>
      <c r="FZI39" s="3"/>
      <c r="FZJ39" s="3"/>
      <c r="FZK39" s="3"/>
      <c r="FZL39" s="3"/>
      <c r="FZM39" s="3"/>
      <c r="FZN39" s="3"/>
      <c r="FZO39" s="3"/>
      <c r="FZP39" s="3"/>
      <c r="FZQ39" s="3"/>
      <c r="FZR39" s="3"/>
      <c r="FZS39" s="3"/>
      <c r="FZT39" s="3"/>
      <c r="FZU39" s="3"/>
      <c r="FZV39" s="3"/>
      <c r="FZW39" s="3"/>
      <c r="FZX39" s="3"/>
      <c r="FZY39" s="3"/>
      <c r="FZZ39" s="3"/>
      <c r="GAA39" s="3"/>
      <c r="GAB39" s="3"/>
      <c r="GAC39" s="3"/>
      <c r="GAD39" s="3"/>
      <c r="GAE39" s="3"/>
      <c r="GAF39" s="3"/>
      <c r="GAG39" s="3"/>
      <c r="GAH39" s="3"/>
      <c r="GAI39" s="3"/>
      <c r="GAJ39" s="3"/>
      <c r="GAK39" s="3"/>
      <c r="GAL39" s="3"/>
      <c r="GAM39" s="3"/>
      <c r="GAN39" s="3"/>
      <c r="GAO39" s="3"/>
      <c r="GAP39" s="3"/>
      <c r="GAQ39" s="3"/>
      <c r="GAR39" s="3"/>
      <c r="GAS39" s="3"/>
      <c r="GAT39" s="3"/>
      <c r="GAU39" s="3"/>
      <c r="GAV39" s="3"/>
      <c r="GAW39" s="3"/>
      <c r="GAX39" s="3"/>
      <c r="GAY39" s="3"/>
      <c r="GAZ39" s="3"/>
      <c r="GBA39" s="3"/>
      <c r="GBB39" s="3"/>
      <c r="GBC39" s="3"/>
      <c r="GBD39" s="3"/>
      <c r="GBE39" s="3"/>
      <c r="GBF39" s="3"/>
      <c r="GBG39" s="3"/>
      <c r="GBH39" s="3"/>
      <c r="GBI39" s="3"/>
      <c r="GBJ39" s="3"/>
      <c r="GBK39" s="3"/>
      <c r="GBL39" s="3"/>
      <c r="GBM39" s="3"/>
      <c r="GBN39" s="3"/>
      <c r="GBO39" s="3"/>
      <c r="GBP39" s="3"/>
      <c r="GBQ39" s="3"/>
      <c r="GBR39" s="3"/>
      <c r="GBS39" s="3"/>
      <c r="GBT39" s="3"/>
      <c r="GBU39" s="3"/>
      <c r="GBV39" s="3"/>
      <c r="GBW39" s="3"/>
      <c r="GBX39" s="3"/>
      <c r="GBY39" s="3"/>
      <c r="GBZ39" s="3"/>
      <c r="GCA39" s="3"/>
      <c r="GCB39" s="3"/>
      <c r="GCC39" s="3"/>
      <c r="GCD39" s="3"/>
      <c r="GCE39" s="3"/>
      <c r="GCF39" s="3"/>
      <c r="GCG39" s="3"/>
      <c r="GCH39" s="3"/>
      <c r="GCI39" s="3"/>
      <c r="GCJ39" s="3"/>
      <c r="GCK39" s="3"/>
      <c r="GCL39" s="3"/>
      <c r="GCM39" s="3"/>
      <c r="GCN39" s="3"/>
      <c r="GCO39" s="3"/>
      <c r="GCP39" s="3"/>
      <c r="GCQ39" s="3"/>
      <c r="GCR39" s="3"/>
      <c r="GCS39" s="3"/>
      <c r="GCT39" s="3"/>
      <c r="GCU39" s="3"/>
      <c r="GCV39" s="3"/>
      <c r="GCW39" s="3"/>
      <c r="GCX39" s="3"/>
      <c r="GCY39" s="3"/>
      <c r="GCZ39" s="3"/>
      <c r="GDA39" s="3"/>
      <c r="GDB39" s="3"/>
      <c r="GDC39" s="3"/>
      <c r="GDD39" s="3"/>
      <c r="GDE39" s="3"/>
      <c r="GDF39" s="3"/>
      <c r="GDG39" s="3"/>
      <c r="GDH39" s="3"/>
      <c r="GDI39" s="3"/>
      <c r="GDJ39" s="3"/>
      <c r="GDK39" s="3"/>
      <c r="GDL39" s="3"/>
      <c r="GDM39" s="3"/>
      <c r="GDN39" s="3"/>
      <c r="GDO39" s="3"/>
      <c r="GDP39" s="3"/>
      <c r="GDQ39" s="3"/>
      <c r="GDR39" s="3"/>
      <c r="GDS39" s="3"/>
      <c r="GDT39" s="3"/>
      <c r="GDU39" s="3"/>
      <c r="GDV39" s="3"/>
      <c r="GDW39" s="3"/>
      <c r="GDX39" s="3"/>
      <c r="GDY39" s="3"/>
      <c r="GDZ39" s="3"/>
      <c r="GEA39" s="3"/>
      <c r="GEB39" s="3"/>
      <c r="GEC39" s="3"/>
      <c r="GED39" s="3"/>
      <c r="GEE39" s="3"/>
      <c r="GEF39" s="3"/>
      <c r="GEG39" s="3"/>
      <c r="GEH39" s="3"/>
      <c r="GEI39" s="3"/>
      <c r="GEJ39" s="3"/>
      <c r="GEK39" s="3"/>
      <c r="GEL39" s="3"/>
      <c r="GEM39" s="3"/>
      <c r="GEN39" s="3"/>
      <c r="GEO39" s="3"/>
      <c r="GEP39" s="3"/>
      <c r="GEQ39" s="3"/>
      <c r="GER39" s="3"/>
      <c r="GES39" s="3"/>
      <c r="GET39" s="3"/>
      <c r="GEU39" s="3"/>
      <c r="GEV39" s="3"/>
      <c r="GEW39" s="3"/>
      <c r="GEX39" s="3"/>
      <c r="GEY39" s="3"/>
      <c r="GEZ39" s="3"/>
      <c r="GFA39" s="3"/>
      <c r="GFB39" s="3"/>
      <c r="GFC39" s="3"/>
      <c r="GFD39" s="3"/>
      <c r="GFE39" s="3"/>
      <c r="GFF39" s="3"/>
      <c r="GFG39" s="3"/>
      <c r="GFH39" s="3"/>
      <c r="GFI39" s="3"/>
      <c r="GFJ39" s="3"/>
      <c r="GFK39" s="3"/>
      <c r="GFL39" s="3"/>
      <c r="GFM39" s="3"/>
      <c r="GFN39" s="3"/>
      <c r="GFO39" s="3"/>
      <c r="GFP39" s="3"/>
      <c r="GFQ39" s="3"/>
      <c r="GFR39" s="3"/>
      <c r="GFS39" s="3"/>
      <c r="GFT39" s="3"/>
      <c r="GFU39" s="3"/>
      <c r="GFV39" s="3"/>
      <c r="GFW39" s="3"/>
      <c r="GFX39" s="3"/>
      <c r="GFY39" s="3"/>
      <c r="GFZ39" s="3"/>
      <c r="GGA39" s="3"/>
      <c r="GGB39" s="3"/>
      <c r="GGC39" s="3"/>
      <c r="GGD39" s="3"/>
      <c r="GGE39" s="3"/>
      <c r="GGF39" s="3"/>
      <c r="GGG39" s="3"/>
      <c r="GGH39" s="3"/>
      <c r="GGI39" s="3"/>
      <c r="GGJ39" s="3"/>
      <c r="GGK39" s="3"/>
      <c r="GGL39" s="3"/>
      <c r="GGM39" s="3"/>
      <c r="GGN39" s="3"/>
      <c r="GGO39" s="3"/>
      <c r="GGP39" s="3"/>
      <c r="GGQ39" s="3"/>
      <c r="GGR39" s="3"/>
      <c r="GGS39" s="3"/>
      <c r="GGT39" s="3"/>
      <c r="GGU39" s="3"/>
      <c r="GGV39" s="3"/>
      <c r="GGW39" s="3"/>
      <c r="GGX39" s="3"/>
      <c r="GGY39" s="3"/>
      <c r="GGZ39" s="3"/>
      <c r="GHA39" s="3"/>
      <c r="GHB39" s="3"/>
      <c r="GHC39" s="3"/>
      <c r="GHD39" s="3"/>
      <c r="GHE39" s="3"/>
      <c r="GHF39" s="3"/>
      <c r="GHG39" s="3"/>
      <c r="GHH39" s="3"/>
      <c r="GHI39" s="3"/>
      <c r="GHJ39" s="3"/>
      <c r="GHK39" s="3"/>
      <c r="GHL39" s="3"/>
      <c r="GHM39" s="3"/>
      <c r="GHN39" s="3"/>
      <c r="GHO39" s="3"/>
      <c r="GHP39" s="3"/>
      <c r="GHQ39" s="3"/>
      <c r="GHR39" s="3"/>
      <c r="GHS39" s="3"/>
      <c r="GHT39" s="3"/>
      <c r="GHU39" s="3"/>
      <c r="GHV39" s="3"/>
      <c r="GHW39" s="3"/>
      <c r="GHX39" s="3"/>
      <c r="GHY39" s="3"/>
      <c r="GHZ39" s="3"/>
      <c r="GIA39" s="3"/>
      <c r="GIB39" s="3"/>
      <c r="GIC39" s="3"/>
      <c r="GID39" s="3"/>
      <c r="GIE39" s="3"/>
      <c r="GIF39" s="3"/>
      <c r="GIG39" s="3"/>
      <c r="GIH39" s="3"/>
      <c r="GII39" s="3"/>
      <c r="GIJ39" s="3"/>
      <c r="GIK39" s="3"/>
      <c r="GIL39" s="3"/>
      <c r="GIM39" s="3"/>
      <c r="GIN39" s="3"/>
      <c r="GIO39" s="3"/>
      <c r="GIP39" s="3"/>
      <c r="GIQ39" s="3"/>
      <c r="GIR39" s="3"/>
      <c r="GIS39" s="3"/>
      <c r="GIT39" s="3"/>
      <c r="GIU39" s="3"/>
      <c r="GIV39" s="3"/>
      <c r="GIW39" s="3"/>
      <c r="GIX39" s="3"/>
      <c r="GIY39" s="3"/>
      <c r="GIZ39" s="3"/>
      <c r="GJA39" s="3"/>
      <c r="GJB39" s="3"/>
      <c r="GJC39" s="3"/>
      <c r="GJD39" s="3"/>
      <c r="GJE39" s="3"/>
      <c r="GJF39" s="3"/>
      <c r="GJG39" s="3"/>
      <c r="GJH39" s="3"/>
      <c r="GJI39" s="3"/>
      <c r="GJJ39" s="3"/>
      <c r="GJK39" s="3"/>
      <c r="GJL39" s="3"/>
      <c r="GJM39" s="3"/>
      <c r="GJN39" s="3"/>
      <c r="GJO39" s="3"/>
      <c r="GJP39" s="3"/>
      <c r="GJQ39" s="3"/>
      <c r="GJR39" s="3"/>
      <c r="GJS39" s="3"/>
      <c r="GJT39" s="3"/>
      <c r="GJU39" s="3"/>
      <c r="GJV39" s="3"/>
      <c r="GJW39" s="3"/>
      <c r="GJX39" s="3"/>
      <c r="GJY39" s="3"/>
      <c r="GJZ39" s="3"/>
      <c r="GKA39" s="3"/>
      <c r="GKB39" s="3"/>
      <c r="GKC39" s="3"/>
      <c r="GKD39" s="3"/>
      <c r="GKE39" s="3"/>
      <c r="GKF39" s="3"/>
      <c r="GKG39" s="3"/>
      <c r="GKH39" s="3"/>
      <c r="GKI39" s="3"/>
      <c r="GKJ39" s="3"/>
      <c r="GKK39" s="3"/>
      <c r="GKL39" s="3"/>
      <c r="GKM39" s="3"/>
      <c r="GKN39" s="3"/>
      <c r="GKO39" s="3"/>
      <c r="GKP39" s="3"/>
      <c r="GKQ39" s="3"/>
      <c r="GKR39" s="3"/>
      <c r="GKS39" s="3"/>
      <c r="GKT39" s="3"/>
      <c r="GKU39" s="3"/>
      <c r="GKV39" s="3"/>
      <c r="GKW39" s="3"/>
      <c r="GKX39" s="3"/>
      <c r="GKY39" s="3"/>
      <c r="GKZ39" s="3"/>
      <c r="GLA39" s="3"/>
      <c r="GLB39" s="3"/>
      <c r="GLC39" s="3"/>
      <c r="GLD39" s="3"/>
      <c r="GLE39" s="3"/>
      <c r="GLF39" s="3"/>
      <c r="GLG39" s="3"/>
      <c r="GLH39" s="3"/>
      <c r="GLI39" s="3"/>
      <c r="GLJ39" s="3"/>
      <c r="GLK39" s="3"/>
      <c r="GLL39" s="3"/>
      <c r="GLM39" s="3"/>
      <c r="GLN39" s="3"/>
      <c r="GLO39" s="3"/>
      <c r="GLP39" s="3"/>
      <c r="GLQ39" s="3"/>
      <c r="GLR39" s="3"/>
      <c r="GLS39" s="3"/>
      <c r="GLT39" s="3"/>
      <c r="GLU39" s="3"/>
      <c r="GLV39" s="3"/>
      <c r="GLW39" s="3"/>
      <c r="GLX39" s="3"/>
      <c r="GLY39" s="3"/>
      <c r="GLZ39" s="3"/>
      <c r="GMA39" s="3"/>
      <c r="GMB39" s="3"/>
      <c r="GMC39" s="3"/>
      <c r="GMD39" s="3"/>
      <c r="GME39" s="3"/>
      <c r="GMF39" s="3"/>
      <c r="GMG39" s="3"/>
      <c r="GMH39" s="3"/>
      <c r="GMI39" s="3"/>
      <c r="GMJ39" s="3"/>
      <c r="GMK39" s="3"/>
      <c r="GML39" s="3"/>
      <c r="GMM39" s="3"/>
      <c r="GMN39" s="3"/>
      <c r="GMO39" s="3"/>
      <c r="GMP39" s="3"/>
      <c r="GMQ39" s="3"/>
      <c r="GMR39" s="3"/>
      <c r="GMS39" s="3"/>
      <c r="GMT39" s="3"/>
      <c r="GMU39" s="3"/>
      <c r="GMV39" s="3"/>
      <c r="GMW39" s="3"/>
      <c r="GMX39" s="3"/>
      <c r="GMY39" s="3"/>
      <c r="GMZ39" s="3"/>
      <c r="GNA39" s="3"/>
      <c r="GNB39" s="3"/>
      <c r="GNC39" s="3"/>
      <c r="GND39" s="3"/>
      <c r="GNE39" s="3"/>
      <c r="GNF39" s="3"/>
      <c r="GNG39" s="3"/>
      <c r="GNH39" s="3"/>
      <c r="GNI39" s="3"/>
      <c r="GNJ39" s="3"/>
      <c r="GNK39" s="3"/>
      <c r="GNL39" s="3"/>
      <c r="GNM39" s="3"/>
      <c r="GNN39" s="3"/>
      <c r="GNO39" s="3"/>
      <c r="GNP39" s="3"/>
      <c r="GNQ39" s="3"/>
      <c r="GNR39" s="3"/>
      <c r="GNS39" s="3"/>
      <c r="GNT39" s="3"/>
      <c r="GNU39" s="3"/>
      <c r="GNV39" s="3"/>
      <c r="GNW39" s="3"/>
      <c r="GNX39" s="3"/>
      <c r="GNY39" s="3"/>
      <c r="GNZ39" s="3"/>
      <c r="GOA39" s="3"/>
      <c r="GOB39" s="3"/>
      <c r="GOC39" s="3"/>
      <c r="GOD39" s="3"/>
      <c r="GOE39" s="3"/>
      <c r="GOF39" s="3"/>
      <c r="GOG39" s="3"/>
      <c r="GOH39" s="3"/>
      <c r="GOI39" s="3"/>
      <c r="GOJ39" s="3"/>
      <c r="GOK39" s="3"/>
      <c r="GOL39" s="3"/>
      <c r="GOM39" s="3"/>
      <c r="GON39" s="3"/>
      <c r="GOO39" s="3"/>
      <c r="GOP39" s="3"/>
      <c r="GOQ39" s="3"/>
      <c r="GOR39" s="3"/>
      <c r="GOS39" s="3"/>
      <c r="GOT39" s="3"/>
      <c r="GOU39" s="3"/>
      <c r="GOV39" s="3"/>
      <c r="GOW39" s="3"/>
      <c r="GOX39" s="3"/>
      <c r="GOY39" s="3"/>
      <c r="GOZ39" s="3"/>
      <c r="GPA39" s="3"/>
      <c r="GPB39" s="3"/>
      <c r="GPC39" s="3"/>
      <c r="GPD39" s="3"/>
      <c r="GPE39" s="3"/>
      <c r="GPF39" s="3"/>
      <c r="GPG39" s="3"/>
      <c r="GPH39" s="3"/>
      <c r="GPI39" s="3"/>
      <c r="GPJ39" s="3"/>
      <c r="GPK39" s="3"/>
      <c r="GPL39" s="3"/>
      <c r="GPM39" s="3"/>
      <c r="GPN39" s="3"/>
      <c r="GPO39" s="3"/>
      <c r="GPP39" s="3"/>
      <c r="GPQ39" s="3"/>
      <c r="GPR39" s="3"/>
      <c r="GPS39" s="3"/>
      <c r="GPT39" s="3"/>
      <c r="GPU39" s="3"/>
      <c r="GPV39" s="3"/>
      <c r="GPW39" s="3"/>
      <c r="GPX39" s="3"/>
      <c r="GPY39" s="3"/>
      <c r="GPZ39" s="3"/>
      <c r="GQA39" s="3"/>
      <c r="GQB39" s="3"/>
      <c r="GQC39" s="3"/>
      <c r="GQD39" s="3"/>
      <c r="GQE39" s="3"/>
      <c r="GQF39" s="3"/>
      <c r="GQG39" s="3"/>
      <c r="GQH39" s="3"/>
      <c r="GQI39" s="3"/>
      <c r="GQJ39" s="3"/>
      <c r="GQK39" s="3"/>
      <c r="GQL39" s="3"/>
      <c r="GQM39" s="3"/>
      <c r="GQN39" s="3"/>
      <c r="GQO39" s="3"/>
      <c r="GQP39" s="3"/>
      <c r="GQQ39" s="3"/>
      <c r="GQR39" s="3"/>
      <c r="GQS39" s="3"/>
      <c r="GQT39" s="3"/>
      <c r="GQU39" s="3"/>
      <c r="GQV39" s="3"/>
      <c r="GQW39" s="3"/>
      <c r="GQX39" s="3"/>
      <c r="GQY39" s="3"/>
      <c r="GQZ39" s="3"/>
      <c r="GRA39" s="3"/>
      <c r="GRB39" s="3"/>
      <c r="GRC39" s="3"/>
      <c r="GRD39" s="3"/>
      <c r="GRE39" s="3"/>
      <c r="GRF39" s="3"/>
      <c r="GRG39" s="3"/>
      <c r="GRH39" s="3"/>
      <c r="GRI39" s="3"/>
      <c r="GRJ39" s="3"/>
      <c r="GRK39" s="3"/>
      <c r="GRL39" s="3"/>
      <c r="GRM39" s="3"/>
      <c r="GRN39" s="3"/>
      <c r="GRO39" s="3"/>
      <c r="GRP39" s="3"/>
      <c r="GRQ39" s="3"/>
      <c r="GRR39" s="3"/>
      <c r="GRS39" s="3"/>
      <c r="GRT39" s="3"/>
      <c r="GRU39" s="3"/>
      <c r="GRV39" s="3"/>
      <c r="GRW39" s="3"/>
      <c r="GRX39" s="3"/>
      <c r="GRY39" s="3"/>
      <c r="GRZ39" s="3"/>
      <c r="GSA39" s="3"/>
      <c r="GSB39" s="3"/>
      <c r="GSC39" s="3"/>
      <c r="GSD39" s="3"/>
      <c r="GSE39" s="3"/>
      <c r="GSF39" s="3"/>
      <c r="GSG39" s="3"/>
      <c r="GSH39" s="3"/>
      <c r="GSI39" s="3"/>
      <c r="GSJ39" s="3"/>
      <c r="GSK39" s="3"/>
      <c r="GSL39" s="3"/>
      <c r="GSM39" s="3"/>
      <c r="GSN39" s="3"/>
      <c r="GSO39" s="3"/>
      <c r="GSP39" s="3"/>
      <c r="GSQ39" s="3"/>
      <c r="GSR39" s="3"/>
      <c r="GSS39" s="3"/>
      <c r="GST39" s="3"/>
      <c r="GSU39" s="3"/>
      <c r="GSV39" s="3"/>
      <c r="GSW39" s="3"/>
      <c r="GSX39" s="3"/>
      <c r="GSY39" s="3"/>
      <c r="GSZ39" s="3"/>
      <c r="GTA39" s="3"/>
      <c r="GTB39" s="3"/>
      <c r="GTC39" s="3"/>
      <c r="GTD39" s="3"/>
      <c r="GTE39" s="3"/>
      <c r="GTF39" s="3"/>
      <c r="GTG39" s="3"/>
      <c r="GTH39" s="3"/>
      <c r="GTI39" s="3"/>
      <c r="GTJ39" s="3"/>
      <c r="GTK39" s="3"/>
      <c r="GTL39" s="3"/>
      <c r="GTM39" s="3"/>
      <c r="GTN39" s="3"/>
      <c r="GTO39" s="3"/>
      <c r="GTP39" s="3"/>
      <c r="GTQ39" s="3"/>
      <c r="GTR39" s="3"/>
      <c r="GTS39" s="3"/>
      <c r="GTT39" s="3"/>
      <c r="GTU39" s="3"/>
      <c r="GTV39" s="3"/>
      <c r="GTW39" s="3"/>
      <c r="GTX39" s="3"/>
      <c r="GTY39" s="3"/>
      <c r="GTZ39" s="3"/>
      <c r="GUA39" s="3"/>
      <c r="GUB39" s="3"/>
      <c r="GUC39" s="3"/>
      <c r="GUD39" s="3"/>
      <c r="GUE39" s="3"/>
      <c r="GUF39" s="3"/>
      <c r="GUG39" s="3"/>
      <c r="GUH39" s="3"/>
      <c r="GUI39" s="3"/>
      <c r="GUJ39" s="3"/>
      <c r="GUK39" s="3"/>
      <c r="GUL39" s="3"/>
      <c r="GUM39" s="3"/>
      <c r="GUN39" s="3"/>
      <c r="GUO39" s="3"/>
      <c r="GUP39" s="3"/>
      <c r="GUQ39" s="3"/>
      <c r="GUR39" s="3"/>
      <c r="GUS39" s="3"/>
      <c r="GUT39" s="3"/>
      <c r="GUU39" s="3"/>
      <c r="GUV39" s="3"/>
      <c r="GUW39" s="3"/>
      <c r="GUX39" s="3"/>
      <c r="GUY39" s="3"/>
      <c r="GUZ39" s="3"/>
      <c r="GVA39" s="3"/>
      <c r="GVB39" s="3"/>
      <c r="GVC39" s="3"/>
      <c r="GVD39" s="3"/>
      <c r="GVE39" s="3"/>
      <c r="GVF39" s="3"/>
      <c r="GVG39" s="3"/>
      <c r="GVH39" s="3"/>
      <c r="GVI39" s="3"/>
      <c r="GVJ39" s="3"/>
      <c r="GVK39" s="3"/>
      <c r="GVL39" s="3"/>
      <c r="GVM39" s="3"/>
      <c r="GVN39" s="3"/>
      <c r="GVO39" s="3"/>
      <c r="GVP39" s="3"/>
      <c r="GVQ39" s="3"/>
      <c r="GVR39" s="3"/>
      <c r="GVS39" s="3"/>
      <c r="GVT39" s="3"/>
      <c r="GVU39" s="3"/>
      <c r="GVV39" s="3"/>
      <c r="GVW39" s="3"/>
      <c r="GVX39" s="3"/>
      <c r="GVY39" s="3"/>
      <c r="GVZ39" s="3"/>
      <c r="GWA39" s="3"/>
      <c r="GWB39" s="3"/>
      <c r="GWC39" s="3"/>
      <c r="GWD39" s="3"/>
      <c r="GWE39" s="3"/>
      <c r="GWF39" s="3"/>
      <c r="GWG39" s="3"/>
      <c r="GWH39" s="3"/>
      <c r="GWI39" s="3"/>
      <c r="GWJ39" s="3"/>
      <c r="GWK39" s="3"/>
      <c r="GWL39" s="3"/>
      <c r="GWM39" s="3"/>
      <c r="GWN39" s="3"/>
      <c r="GWO39" s="3"/>
      <c r="GWP39" s="3"/>
      <c r="GWQ39" s="3"/>
      <c r="GWR39" s="3"/>
      <c r="GWS39" s="3"/>
      <c r="GWT39" s="3"/>
      <c r="GWU39" s="3"/>
      <c r="GWV39" s="3"/>
      <c r="GWW39" s="3"/>
      <c r="GWX39" s="3"/>
      <c r="GWY39" s="3"/>
      <c r="GWZ39" s="3"/>
      <c r="GXA39" s="3"/>
      <c r="GXB39" s="3"/>
      <c r="GXC39" s="3"/>
      <c r="GXD39" s="3"/>
      <c r="GXE39" s="3"/>
      <c r="GXF39" s="3"/>
      <c r="GXG39" s="3"/>
      <c r="GXH39" s="3"/>
      <c r="GXI39" s="3"/>
      <c r="GXJ39" s="3"/>
      <c r="GXK39" s="3"/>
      <c r="GXL39" s="3"/>
      <c r="GXM39" s="3"/>
      <c r="GXN39" s="3"/>
      <c r="GXO39" s="3"/>
      <c r="GXP39" s="3"/>
      <c r="GXQ39" s="3"/>
      <c r="GXR39" s="3"/>
      <c r="GXS39" s="3"/>
      <c r="GXT39" s="3"/>
      <c r="GXU39" s="3"/>
      <c r="GXV39" s="3"/>
      <c r="GXW39" s="3"/>
      <c r="GXX39" s="3"/>
      <c r="GXY39" s="3"/>
      <c r="GXZ39" s="3"/>
      <c r="GYA39" s="3"/>
      <c r="GYB39" s="3"/>
      <c r="GYC39" s="3"/>
      <c r="GYD39" s="3"/>
      <c r="GYE39" s="3"/>
      <c r="GYF39" s="3"/>
      <c r="GYG39" s="3"/>
      <c r="GYH39" s="3"/>
      <c r="GYI39" s="3"/>
      <c r="GYJ39" s="3"/>
      <c r="GYK39" s="3"/>
      <c r="GYL39" s="3"/>
      <c r="GYM39" s="3"/>
      <c r="GYN39" s="3"/>
      <c r="GYO39" s="3"/>
      <c r="GYP39" s="3"/>
      <c r="GYQ39" s="3"/>
      <c r="GYR39" s="3"/>
      <c r="GYS39" s="3"/>
      <c r="GYT39" s="3"/>
      <c r="GYU39" s="3"/>
      <c r="GYV39" s="3"/>
      <c r="GYW39" s="3"/>
      <c r="GYX39" s="3"/>
      <c r="GYY39" s="3"/>
      <c r="GYZ39" s="3"/>
      <c r="GZA39" s="3"/>
      <c r="GZB39" s="3"/>
      <c r="GZC39" s="3"/>
      <c r="GZD39" s="3"/>
      <c r="GZE39" s="3"/>
      <c r="GZF39" s="3"/>
      <c r="GZG39" s="3"/>
      <c r="GZH39" s="3"/>
      <c r="GZI39" s="3"/>
      <c r="GZJ39" s="3"/>
      <c r="GZK39" s="3"/>
      <c r="GZL39" s="3"/>
      <c r="GZM39" s="3"/>
      <c r="GZN39" s="3"/>
      <c r="GZO39" s="3"/>
      <c r="GZP39" s="3"/>
      <c r="GZQ39" s="3"/>
      <c r="GZR39" s="3"/>
      <c r="GZS39" s="3"/>
      <c r="GZT39" s="3"/>
      <c r="GZU39" s="3"/>
      <c r="GZV39" s="3"/>
      <c r="GZW39" s="3"/>
      <c r="GZX39" s="3"/>
      <c r="GZY39" s="3"/>
      <c r="GZZ39" s="3"/>
      <c r="HAA39" s="3"/>
      <c r="HAB39" s="3"/>
      <c r="HAC39" s="3"/>
      <c r="HAD39" s="3"/>
      <c r="HAE39" s="3"/>
      <c r="HAF39" s="3"/>
      <c r="HAG39" s="3"/>
      <c r="HAH39" s="3"/>
      <c r="HAI39" s="3"/>
      <c r="HAJ39" s="3"/>
      <c r="HAK39" s="3"/>
      <c r="HAL39" s="3"/>
      <c r="HAM39" s="3"/>
      <c r="HAN39" s="3"/>
      <c r="HAO39" s="3"/>
      <c r="HAP39" s="3"/>
      <c r="HAQ39" s="3"/>
      <c r="HAR39" s="3"/>
      <c r="HAS39" s="3"/>
      <c r="HAT39" s="3"/>
      <c r="HAU39" s="3"/>
      <c r="HAV39" s="3"/>
      <c r="HAW39" s="3"/>
      <c r="HAX39" s="3"/>
      <c r="HAY39" s="3"/>
      <c r="HAZ39" s="3"/>
      <c r="HBA39" s="3"/>
      <c r="HBB39" s="3"/>
      <c r="HBC39" s="3"/>
      <c r="HBD39" s="3"/>
      <c r="HBE39" s="3"/>
      <c r="HBF39" s="3"/>
      <c r="HBG39" s="3"/>
      <c r="HBH39" s="3"/>
      <c r="HBI39" s="3"/>
      <c r="HBJ39" s="3"/>
      <c r="HBK39" s="3"/>
      <c r="HBL39" s="3"/>
      <c r="HBM39" s="3"/>
      <c r="HBN39" s="3"/>
      <c r="HBO39" s="3"/>
      <c r="HBP39" s="3"/>
      <c r="HBQ39" s="3"/>
      <c r="HBR39" s="3"/>
      <c r="HBS39" s="3"/>
      <c r="HBT39" s="3"/>
      <c r="HBU39" s="3"/>
      <c r="HBV39" s="3"/>
      <c r="HBW39" s="3"/>
      <c r="HBX39" s="3"/>
      <c r="HBY39" s="3"/>
      <c r="HBZ39" s="3"/>
      <c r="HCA39" s="3"/>
      <c r="HCB39" s="3"/>
      <c r="HCC39" s="3"/>
      <c r="HCD39" s="3"/>
      <c r="HCE39" s="3"/>
      <c r="HCF39" s="3"/>
      <c r="HCG39" s="3"/>
      <c r="HCH39" s="3"/>
      <c r="HCI39" s="3"/>
      <c r="HCJ39" s="3"/>
      <c r="HCK39" s="3"/>
      <c r="HCL39" s="3"/>
      <c r="HCM39" s="3"/>
      <c r="HCN39" s="3"/>
      <c r="HCO39" s="3"/>
      <c r="HCP39" s="3"/>
      <c r="HCQ39" s="3"/>
      <c r="HCR39" s="3"/>
      <c r="HCS39" s="3"/>
      <c r="HCT39" s="3"/>
      <c r="HCU39" s="3"/>
      <c r="HCV39" s="3"/>
      <c r="HCW39" s="3"/>
      <c r="HCX39" s="3"/>
      <c r="HCY39" s="3"/>
      <c r="HCZ39" s="3"/>
      <c r="HDA39" s="3"/>
      <c r="HDB39" s="3"/>
      <c r="HDC39" s="3"/>
      <c r="HDD39" s="3"/>
      <c r="HDE39" s="3"/>
      <c r="HDF39" s="3"/>
      <c r="HDG39" s="3"/>
      <c r="HDH39" s="3"/>
      <c r="HDI39" s="3"/>
      <c r="HDJ39" s="3"/>
      <c r="HDK39" s="3"/>
      <c r="HDL39" s="3"/>
      <c r="HDM39" s="3"/>
      <c r="HDN39" s="3"/>
      <c r="HDO39" s="3"/>
      <c r="HDP39" s="3"/>
      <c r="HDQ39" s="3"/>
      <c r="HDR39" s="3"/>
      <c r="HDS39" s="3"/>
      <c r="HDT39" s="3"/>
      <c r="HDU39" s="3"/>
      <c r="HDV39" s="3"/>
      <c r="HDW39" s="3"/>
      <c r="HDX39" s="3"/>
      <c r="HDY39" s="3"/>
      <c r="HDZ39" s="3"/>
      <c r="HEA39" s="3"/>
      <c r="HEB39" s="3"/>
      <c r="HEC39" s="3"/>
      <c r="HED39" s="3"/>
      <c r="HEE39" s="3"/>
      <c r="HEF39" s="3"/>
      <c r="HEG39" s="3"/>
      <c r="HEH39" s="3"/>
      <c r="HEI39" s="3"/>
      <c r="HEJ39" s="3"/>
      <c r="HEK39" s="3"/>
      <c r="HEL39" s="3"/>
      <c r="HEM39" s="3"/>
      <c r="HEN39" s="3"/>
      <c r="HEO39" s="3"/>
      <c r="HEP39" s="3"/>
      <c r="HEQ39" s="3"/>
      <c r="HER39" s="3"/>
      <c r="HES39" s="3"/>
      <c r="HET39" s="3"/>
      <c r="HEU39" s="3"/>
      <c r="HEV39" s="3"/>
      <c r="HEW39" s="3"/>
      <c r="HEX39" s="3"/>
      <c r="HEY39" s="3"/>
      <c r="HEZ39" s="3"/>
      <c r="HFA39" s="3"/>
      <c r="HFB39" s="3"/>
      <c r="HFC39" s="3"/>
      <c r="HFD39" s="3"/>
      <c r="HFE39" s="3"/>
      <c r="HFF39" s="3"/>
      <c r="HFG39" s="3"/>
      <c r="HFH39" s="3"/>
      <c r="HFI39" s="3"/>
      <c r="HFJ39" s="3"/>
      <c r="HFK39" s="3"/>
      <c r="HFL39" s="3"/>
      <c r="HFM39" s="3"/>
      <c r="HFN39" s="3"/>
      <c r="HFO39" s="3"/>
      <c r="HFP39" s="3"/>
      <c r="HFQ39" s="3"/>
      <c r="HFR39" s="3"/>
      <c r="HFS39" s="3"/>
      <c r="HFT39" s="3"/>
      <c r="HFU39" s="3"/>
      <c r="HFV39" s="3"/>
      <c r="HFW39" s="3"/>
      <c r="HFX39" s="3"/>
      <c r="HFY39" s="3"/>
      <c r="HFZ39" s="3"/>
      <c r="HGA39" s="3"/>
      <c r="HGB39" s="3"/>
      <c r="HGC39" s="3"/>
      <c r="HGD39" s="3"/>
      <c r="HGE39" s="3"/>
      <c r="HGF39" s="3"/>
      <c r="HGG39" s="3"/>
      <c r="HGH39" s="3"/>
      <c r="HGI39" s="3"/>
      <c r="HGJ39" s="3"/>
      <c r="HGK39" s="3"/>
      <c r="HGL39" s="3"/>
      <c r="HGM39" s="3"/>
      <c r="HGN39" s="3"/>
      <c r="HGO39" s="3"/>
      <c r="HGP39" s="3"/>
      <c r="HGQ39" s="3"/>
      <c r="HGR39" s="3"/>
      <c r="HGS39" s="3"/>
      <c r="HGT39" s="3"/>
      <c r="HGU39" s="3"/>
      <c r="HGV39" s="3"/>
      <c r="HGW39" s="3"/>
      <c r="HGX39" s="3"/>
      <c r="HGY39" s="3"/>
      <c r="HGZ39" s="3"/>
      <c r="HHA39" s="3"/>
      <c r="HHB39" s="3"/>
      <c r="HHC39" s="3"/>
      <c r="HHD39" s="3"/>
      <c r="HHE39" s="3"/>
      <c r="HHF39" s="3"/>
      <c r="HHG39" s="3"/>
      <c r="HHH39" s="3"/>
      <c r="HHI39" s="3"/>
      <c r="HHJ39" s="3"/>
      <c r="HHK39" s="3"/>
      <c r="HHL39" s="3"/>
      <c r="HHM39" s="3"/>
      <c r="HHN39" s="3"/>
      <c r="HHO39" s="3"/>
      <c r="HHP39" s="3"/>
      <c r="HHQ39" s="3"/>
      <c r="HHR39" s="3"/>
      <c r="HHS39" s="3"/>
      <c r="HHT39" s="3"/>
      <c r="HHU39" s="3"/>
      <c r="HHV39" s="3"/>
      <c r="HHW39" s="3"/>
      <c r="HHX39" s="3"/>
      <c r="HHY39" s="3"/>
      <c r="HHZ39" s="3"/>
      <c r="HIA39" s="3"/>
      <c r="HIB39" s="3"/>
      <c r="HIC39" s="3"/>
      <c r="HID39" s="3"/>
      <c r="HIE39" s="3"/>
      <c r="HIF39" s="3"/>
      <c r="HIG39" s="3"/>
      <c r="HIH39" s="3"/>
      <c r="HII39" s="3"/>
      <c r="HIJ39" s="3"/>
      <c r="HIK39" s="3"/>
      <c r="HIL39" s="3"/>
      <c r="HIM39" s="3"/>
      <c r="HIN39" s="3"/>
      <c r="HIO39" s="3"/>
      <c r="HIP39" s="3"/>
      <c r="HIQ39" s="3"/>
      <c r="HIR39" s="3"/>
      <c r="HIS39" s="3"/>
      <c r="HIT39" s="3"/>
      <c r="HIU39" s="3"/>
      <c r="HIV39" s="3"/>
      <c r="HIW39" s="3"/>
      <c r="HIX39" s="3"/>
      <c r="HIY39" s="3"/>
      <c r="HIZ39" s="3"/>
      <c r="HJA39" s="3"/>
      <c r="HJB39" s="3"/>
      <c r="HJC39" s="3"/>
      <c r="HJD39" s="3"/>
      <c r="HJE39" s="3"/>
      <c r="HJF39" s="3"/>
      <c r="HJG39" s="3"/>
      <c r="HJH39" s="3"/>
      <c r="HJI39" s="3"/>
      <c r="HJJ39" s="3"/>
      <c r="HJK39" s="3"/>
      <c r="HJL39" s="3"/>
      <c r="HJM39" s="3"/>
      <c r="HJN39" s="3"/>
      <c r="HJO39" s="3"/>
      <c r="HJP39" s="3"/>
      <c r="HJQ39" s="3"/>
      <c r="HJR39" s="3"/>
      <c r="HJS39" s="3"/>
      <c r="HJT39" s="3"/>
      <c r="HJU39" s="3"/>
      <c r="HJV39" s="3"/>
      <c r="HJW39" s="3"/>
      <c r="HJX39" s="3"/>
      <c r="HJY39" s="3"/>
      <c r="HJZ39" s="3"/>
      <c r="HKA39" s="3"/>
      <c r="HKB39" s="3"/>
      <c r="HKC39" s="3"/>
      <c r="HKD39" s="3"/>
      <c r="HKE39" s="3"/>
      <c r="HKF39" s="3"/>
      <c r="HKG39" s="3"/>
      <c r="HKH39" s="3"/>
      <c r="HKI39" s="3"/>
      <c r="HKJ39" s="3"/>
      <c r="HKK39" s="3"/>
      <c r="HKL39" s="3"/>
      <c r="HKM39" s="3"/>
      <c r="HKN39" s="3"/>
      <c r="HKO39" s="3"/>
      <c r="HKP39" s="3"/>
      <c r="HKQ39" s="3"/>
      <c r="HKR39" s="3"/>
      <c r="HKS39" s="3"/>
      <c r="HKT39" s="3"/>
      <c r="HKU39" s="3"/>
      <c r="HKV39" s="3"/>
      <c r="HKW39" s="3"/>
      <c r="HKX39" s="3"/>
      <c r="HKY39" s="3"/>
      <c r="HKZ39" s="3"/>
      <c r="HLA39" s="3"/>
      <c r="HLB39" s="3"/>
      <c r="HLC39" s="3"/>
      <c r="HLD39" s="3"/>
      <c r="HLE39" s="3"/>
      <c r="HLF39" s="3"/>
      <c r="HLG39" s="3"/>
      <c r="HLH39" s="3"/>
      <c r="HLI39" s="3"/>
      <c r="HLJ39" s="3"/>
      <c r="HLK39" s="3"/>
      <c r="HLL39" s="3"/>
      <c r="HLM39" s="3"/>
      <c r="HLN39" s="3"/>
      <c r="HLO39" s="3"/>
      <c r="HLP39" s="3"/>
      <c r="HLQ39" s="3"/>
      <c r="HLR39" s="3"/>
      <c r="HLS39" s="3"/>
      <c r="HLT39" s="3"/>
      <c r="HLU39" s="3"/>
      <c r="HLV39" s="3"/>
      <c r="HLW39" s="3"/>
      <c r="HLX39" s="3"/>
      <c r="HLY39" s="3"/>
      <c r="HLZ39" s="3"/>
      <c r="HMA39" s="3"/>
      <c r="HMB39" s="3"/>
      <c r="HMC39" s="3"/>
      <c r="HMD39" s="3"/>
      <c r="HME39" s="3"/>
      <c r="HMF39" s="3"/>
      <c r="HMG39" s="3"/>
      <c r="HMH39" s="3"/>
      <c r="HMI39" s="3"/>
      <c r="HMJ39" s="3"/>
      <c r="HMK39" s="3"/>
      <c r="HML39" s="3"/>
      <c r="HMM39" s="3"/>
      <c r="HMN39" s="3"/>
      <c r="HMO39" s="3"/>
      <c r="HMP39" s="3"/>
      <c r="HMQ39" s="3"/>
      <c r="HMR39" s="3"/>
      <c r="HMS39" s="3"/>
      <c r="HMT39" s="3"/>
      <c r="HMU39" s="3"/>
      <c r="HMV39" s="3"/>
      <c r="HMW39" s="3"/>
      <c r="HMX39" s="3"/>
      <c r="HMY39" s="3"/>
      <c r="HMZ39" s="3"/>
      <c r="HNA39" s="3"/>
      <c r="HNB39" s="3"/>
      <c r="HNC39" s="3"/>
      <c r="HND39" s="3"/>
      <c r="HNE39" s="3"/>
      <c r="HNF39" s="3"/>
      <c r="HNG39" s="3"/>
      <c r="HNH39" s="3"/>
      <c r="HNI39" s="3"/>
      <c r="HNJ39" s="3"/>
      <c r="HNK39" s="3"/>
      <c r="HNL39" s="3"/>
      <c r="HNM39" s="3"/>
      <c r="HNN39" s="3"/>
      <c r="HNO39" s="3"/>
      <c r="HNP39" s="3"/>
      <c r="HNQ39" s="3"/>
      <c r="HNR39" s="3"/>
      <c r="HNS39" s="3"/>
      <c r="HNT39" s="3"/>
      <c r="HNU39" s="3"/>
      <c r="HNV39" s="3"/>
      <c r="HNW39" s="3"/>
      <c r="HNX39" s="3"/>
      <c r="HNY39" s="3"/>
      <c r="HNZ39" s="3"/>
      <c r="HOA39" s="3"/>
      <c r="HOB39" s="3"/>
      <c r="HOC39" s="3"/>
      <c r="HOD39" s="3"/>
      <c r="HOE39" s="3"/>
      <c r="HOF39" s="3"/>
      <c r="HOG39" s="3"/>
      <c r="HOH39" s="3"/>
      <c r="HOI39" s="3"/>
      <c r="HOJ39" s="3"/>
      <c r="HOK39" s="3"/>
      <c r="HOL39" s="3"/>
      <c r="HOM39" s="3"/>
      <c r="HON39" s="3"/>
      <c r="HOO39" s="3"/>
      <c r="HOP39" s="3"/>
      <c r="HOQ39" s="3"/>
      <c r="HOR39" s="3"/>
      <c r="HOS39" s="3"/>
      <c r="HOT39" s="3"/>
      <c r="HOU39" s="3"/>
      <c r="HOV39" s="3"/>
      <c r="HOW39" s="3"/>
      <c r="HOX39" s="3"/>
      <c r="HOY39" s="3"/>
      <c r="HOZ39" s="3"/>
      <c r="HPA39" s="3"/>
      <c r="HPB39" s="3"/>
      <c r="HPC39" s="3"/>
      <c r="HPD39" s="3"/>
      <c r="HPE39" s="3"/>
      <c r="HPF39" s="3"/>
      <c r="HPG39" s="3"/>
      <c r="HPH39" s="3"/>
      <c r="HPI39" s="3"/>
      <c r="HPJ39" s="3"/>
      <c r="HPK39" s="3"/>
      <c r="HPL39" s="3"/>
      <c r="HPM39" s="3"/>
      <c r="HPN39" s="3"/>
      <c r="HPO39" s="3"/>
      <c r="HPP39" s="3"/>
      <c r="HPQ39" s="3"/>
      <c r="HPR39" s="3"/>
      <c r="HPS39" s="3"/>
      <c r="HPT39" s="3"/>
      <c r="HPU39" s="3"/>
      <c r="HPV39" s="3"/>
      <c r="HPW39" s="3"/>
      <c r="HPX39" s="3"/>
      <c r="HPY39" s="3"/>
      <c r="HPZ39" s="3"/>
      <c r="HQA39" s="3"/>
      <c r="HQB39" s="3"/>
      <c r="HQC39" s="3"/>
      <c r="HQD39" s="3"/>
      <c r="HQE39" s="3"/>
      <c r="HQF39" s="3"/>
      <c r="HQG39" s="3"/>
      <c r="HQH39" s="3"/>
      <c r="HQI39" s="3"/>
      <c r="HQJ39" s="3"/>
      <c r="HQK39" s="3"/>
      <c r="HQL39" s="3"/>
      <c r="HQM39" s="3"/>
      <c r="HQN39" s="3"/>
      <c r="HQO39" s="3"/>
      <c r="HQP39" s="3"/>
      <c r="HQQ39" s="3"/>
      <c r="HQR39" s="3"/>
      <c r="HQS39" s="3"/>
      <c r="HQT39" s="3"/>
      <c r="HQU39" s="3"/>
      <c r="HQV39" s="3"/>
      <c r="HQW39" s="3"/>
      <c r="HQX39" s="3"/>
      <c r="HQY39" s="3"/>
      <c r="HQZ39" s="3"/>
      <c r="HRA39" s="3"/>
      <c r="HRB39" s="3"/>
      <c r="HRC39" s="3"/>
      <c r="HRD39" s="3"/>
      <c r="HRE39" s="3"/>
      <c r="HRF39" s="3"/>
      <c r="HRG39" s="3"/>
      <c r="HRH39" s="3"/>
      <c r="HRI39" s="3"/>
      <c r="HRJ39" s="3"/>
      <c r="HRK39" s="3"/>
      <c r="HRL39" s="3"/>
      <c r="HRM39" s="3"/>
      <c r="HRN39" s="3"/>
      <c r="HRO39" s="3"/>
      <c r="HRP39" s="3"/>
      <c r="HRQ39" s="3"/>
      <c r="HRR39" s="3"/>
      <c r="HRS39" s="3"/>
      <c r="HRT39" s="3"/>
      <c r="HRU39" s="3"/>
      <c r="HRV39" s="3"/>
      <c r="HRW39" s="3"/>
      <c r="HRX39" s="3"/>
      <c r="HRY39" s="3"/>
      <c r="HRZ39" s="3"/>
      <c r="HSA39" s="3"/>
      <c r="HSB39" s="3"/>
      <c r="HSC39" s="3"/>
      <c r="HSD39" s="3"/>
      <c r="HSE39" s="3"/>
      <c r="HSF39" s="3"/>
      <c r="HSG39" s="3"/>
      <c r="HSH39" s="3"/>
      <c r="HSI39" s="3"/>
      <c r="HSJ39" s="3"/>
      <c r="HSK39" s="3"/>
      <c r="HSL39" s="3"/>
      <c r="HSM39" s="3"/>
      <c r="HSN39" s="3"/>
      <c r="HSO39" s="3"/>
      <c r="HSP39" s="3"/>
      <c r="HSQ39" s="3"/>
      <c r="HSR39" s="3"/>
      <c r="HSS39" s="3"/>
      <c r="HST39" s="3"/>
      <c r="HSU39" s="3"/>
      <c r="HSV39" s="3"/>
      <c r="HSW39" s="3"/>
      <c r="HSX39" s="3"/>
      <c r="HSY39" s="3"/>
      <c r="HSZ39" s="3"/>
      <c r="HTA39" s="3"/>
      <c r="HTB39" s="3"/>
      <c r="HTC39" s="3"/>
      <c r="HTD39" s="3"/>
      <c r="HTE39" s="3"/>
      <c r="HTF39" s="3"/>
      <c r="HTG39" s="3"/>
      <c r="HTH39" s="3"/>
      <c r="HTI39" s="3"/>
      <c r="HTJ39" s="3"/>
      <c r="HTK39" s="3"/>
      <c r="HTL39" s="3"/>
      <c r="HTM39" s="3"/>
      <c r="HTN39" s="3"/>
      <c r="HTO39" s="3"/>
      <c r="HTP39" s="3"/>
      <c r="HTQ39" s="3"/>
      <c r="HTR39" s="3"/>
      <c r="HTS39" s="3"/>
      <c r="HTT39" s="3"/>
      <c r="HTU39" s="3"/>
      <c r="HTV39" s="3"/>
      <c r="HTW39" s="3"/>
      <c r="HTX39" s="3"/>
      <c r="HTY39" s="3"/>
      <c r="HTZ39" s="3"/>
      <c r="HUA39" s="3"/>
      <c r="HUB39" s="3"/>
      <c r="HUC39" s="3"/>
      <c r="HUD39" s="3"/>
      <c r="HUE39" s="3"/>
      <c r="HUF39" s="3"/>
      <c r="HUG39" s="3"/>
      <c r="HUH39" s="3"/>
      <c r="HUI39" s="3"/>
      <c r="HUJ39" s="3"/>
      <c r="HUK39" s="3"/>
      <c r="HUL39" s="3"/>
      <c r="HUM39" s="3"/>
      <c r="HUN39" s="3"/>
      <c r="HUO39" s="3"/>
      <c r="HUP39" s="3"/>
      <c r="HUQ39" s="3"/>
      <c r="HUR39" s="3"/>
      <c r="HUS39" s="3"/>
      <c r="HUT39" s="3"/>
      <c r="HUU39" s="3"/>
      <c r="HUV39" s="3"/>
      <c r="HUW39" s="3"/>
      <c r="HUX39" s="3"/>
      <c r="HUY39" s="3"/>
      <c r="HUZ39" s="3"/>
      <c r="HVA39" s="3"/>
      <c r="HVB39" s="3"/>
      <c r="HVC39" s="3"/>
      <c r="HVD39" s="3"/>
      <c r="HVE39" s="3"/>
      <c r="HVF39" s="3"/>
      <c r="HVG39" s="3"/>
      <c r="HVH39" s="3"/>
      <c r="HVI39" s="3"/>
      <c r="HVJ39" s="3"/>
      <c r="HVK39" s="3"/>
      <c r="HVL39" s="3"/>
      <c r="HVM39" s="3"/>
      <c r="HVN39" s="3"/>
      <c r="HVO39" s="3"/>
      <c r="HVP39" s="3"/>
      <c r="HVQ39" s="3"/>
      <c r="HVR39" s="3"/>
      <c r="HVS39" s="3"/>
      <c r="HVT39" s="3"/>
      <c r="HVU39" s="3"/>
      <c r="HVV39" s="3"/>
      <c r="HVW39" s="3"/>
      <c r="HVX39" s="3"/>
      <c r="HVY39" s="3"/>
      <c r="HVZ39" s="3"/>
      <c r="HWA39" s="3"/>
      <c r="HWB39" s="3"/>
      <c r="HWC39" s="3"/>
      <c r="HWD39" s="3"/>
      <c r="HWE39" s="3"/>
      <c r="HWF39" s="3"/>
      <c r="HWG39" s="3"/>
      <c r="HWH39" s="3"/>
      <c r="HWI39" s="3"/>
      <c r="HWJ39" s="3"/>
      <c r="HWK39" s="3"/>
      <c r="HWL39" s="3"/>
      <c r="HWM39" s="3"/>
      <c r="HWN39" s="3"/>
      <c r="HWO39" s="3"/>
      <c r="HWP39" s="3"/>
      <c r="HWQ39" s="3"/>
      <c r="HWR39" s="3"/>
      <c r="HWS39" s="3"/>
      <c r="HWT39" s="3"/>
      <c r="HWU39" s="3"/>
      <c r="HWV39" s="3"/>
      <c r="HWW39" s="3"/>
      <c r="HWX39" s="3"/>
      <c r="HWY39" s="3"/>
      <c r="HWZ39" s="3"/>
      <c r="HXA39" s="3"/>
      <c r="HXB39" s="3"/>
      <c r="HXC39" s="3"/>
      <c r="HXD39" s="3"/>
      <c r="HXE39" s="3"/>
      <c r="HXF39" s="3"/>
      <c r="HXG39" s="3"/>
      <c r="HXH39" s="3"/>
      <c r="HXI39" s="3"/>
      <c r="HXJ39" s="3"/>
      <c r="HXK39" s="3"/>
      <c r="HXL39" s="3"/>
      <c r="HXM39" s="3"/>
      <c r="HXN39" s="3"/>
      <c r="HXO39" s="3"/>
      <c r="HXP39" s="3"/>
      <c r="HXQ39" s="3"/>
      <c r="HXR39" s="3"/>
      <c r="HXS39" s="3"/>
      <c r="HXT39" s="3"/>
      <c r="HXU39" s="3"/>
      <c r="HXV39" s="3"/>
      <c r="HXW39" s="3"/>
      <c r="HXX39" s="3"/>
      <c r="HXY39" s="3"/>
      <c r="HXZ39" s="3"/>
      <c r="HYA39" s="3"/>
      <c r="HYB39" s="3"/>
      <c r="HYC39" s="3"/>
      <c r="HYD39" s="3"/>
      <c r="HYE39" s="3"/>
      <c r="HYF39" s="3"/>
      <c r="HYG39" s="3"/>
      <c r="HYH39" s="3"/>
      <c r="HYI39" s="3"/>
      <c r="HYJ39" s="3"/>
      <c r="HYK39" s="3"/>
      <c r="HYL39" s="3"/>
      <c r="HYM39" s="3"/>
      <c r="HYN39" s="3"/>
      <c r="HYO39" s="3"/>
      <c r="HYP39" s="3"/>
      <c r="HYQ39" s="3"/>
      <c r="HYR39" s="3"/>
      <c r="HYS39" s="3"/>
      <c r="HYT39" s="3"/>
      <c r="HYU39" s="3"/>
      <c r="HYV39" s="3"/>
      <c r="HYW39" s="3"/>
      <c r="HYX39" s="3"/>
      <c r="HYY39" s="3"/>
      <c r="HYZ39" s="3"/>
      <c r="HZA39" s="3"/>
      <c r="HZB39" s="3"/>
      <c r="HZC39" s="3"/>
      <c r="HZD39" s="3"/>
      <c r="HZE39" s="3"/>
      <c r="HZF39" s="3"/>
      <c r="HZG39" s="3"/>
      <c r="HZH39" s="3"/>
      <c r="HZI39" s="3"/>
      <c r="HZJ39" s="3"/>
      <c r="HZK39" s="3"/>
      <c r="HZL39" s="3"/>
      <c r="HZM39" s="3"/>
      <c r="HZN39" s="3"/>
      <c r="HZO39" s="3"/>
      <c r="HZP39" s="3"/>
      <c r="HZQ39" s="3"/>
      <c r="HZR39" s="3"/>
      <c r="HZS39" s="3"/>
      <c r="HZT39" s="3"/>
      <c r="HZU39" s="3"/>
      <c r="HZV39" s="3"/>
      <c r="HZW39" s="3"/>
      <c r="HZX39" s="3"/>
      <c r="HZY39" s="3"/>
      <c r="HZZ39" s="3"/>
      <c r="IAA39" s="3"/>
      <c r="IAB39" s="3"/>
      <c r="IAC39" s="3"/>
      <c r="IAD39" s="3"/>
      <c r="IAE39" s="3"/>
      <c r="IAF39" s="3"/>
      <c r="IAG39" s="3"/>
      <c r="IAH39" s="3"/>
      <c r="IAI39" s="3"/>
      <c r="IAJ39" s="3"/>
      <c r="IAK39" s="3"/>
      <c r="IAL39" s="3"/>
      <c r="IAM39" s="3"/>
      <c r="IAN39" s="3"/>
      <c r="IAO39" s="3"/>
      <c r="IAP39" s="3"/>
      <c r="IAQ39" s="3"/>
      <c r="IAR39" s="3"/>
      <c r="IAS39" s="3"/>
      <c r="IAT39" s="3"/>
      <c r="IAU39" s="3"/>
      <c r="IAV39" s="3"/>
      <c r="IAW39" s="3"/>
      <c r="IAX39" s="3"/>
      <c r="IAY39" s="3"/>
      <c r="IAZ39" s="3"/>
      <c r="IBA39" s="3"/>
      <c r="IBB39" s="3"/>
      <c r="IBC39" s="3"/>
      <c r="IBD39" s="3"/>
      <c r="IBE39" s="3"/>
      <c r="IBF39" s="3"/>
      <c r="IBG39" s="3"/>
      <c r="IBH39" s="3"/>
      <c r="IBI39" s="3"/>
      <c r="IBJ39" s="3"/>
      <c r="IBK39" s="3"/>
      <c r="IBL39" s="3"/>
      <c r="IBM39" s="3"/>
      <c r="IBN39" s="3"/>
      <c r="IBO39" s="3"/>
      <c r="IBP39" s="3"/>
      <c r="IBQ39" s="3"/>
      <c r="IBR39" s="3"/>
      <c r="IBS39" s="3"/>
      <c r="IBT39" s="3"/>
      <c r="IBU39" s="3"/>
      <c r="IBV39" s="3"/>
      <c r="IBW39" s="3"/>
      <c r="IBX39" s="3"/>
      <c r="IBY39" s="3"/>
      <c r="IBZ39" s="3"/>
      <c r="ICA39" s="3"/>
      <c r="ICB39" s="3"/>
      <c r="ICC39" s="3"/>
      <c r="ICD39" s="3"/>
      <c r="ICE39" s="3"/>
      <c r="ICF39" s="3"/>
      <c r="ICG39" s="3"/>
      <c r="ICH39" s="3"/>
      <c r="ICI39" s="3"/>
      <c r="ICJ39" s="3"/>
      <c r="ICK39" s="3"/>
      <c r="ICL39" s="3"/>
      <c r="ICM39" s="3"/>
      <c r="ICN39" s="3"/>
      <c r="ICO39" s="3"/>
      <c r="ICP39" s="3"/>
      <c r="ICQ39" s="3"/>
      <c r="ICR39" s="3"/>
      <c r="ICS39" s="3"/>
      <c r="ICT39" s="3"/>
      <c r="ICU39" s="3"/>
      <c r="ICV39" s="3"/>
      <c r="ICW39" s="3"/>
      <c r="ICX39" s="3"/>
      <c r="ICY39" s="3"/>
      <c r="ICZ39" s="3"/>
      <c r="IDA39" s="3"/>
      <c r="IDB39" s="3"/>
      <c r="IDC39" s="3"/>
      <c r="IDD39" s="3"/>
      <c r="IDE39" s="3"/>
      <c r="IDF39" s="3"/>
      <c r="IDG39" s="3"/>
      <c r="IDH39" s="3"/>
      <c r="IDI39" s="3"/>
      <c r="IDJ39" s="3"/>
      <c r="IDK39" s="3"/>
      <c r="IDL39" s="3"/>
      <c r="IDM39" s="3"/>
      <c r="IDN39" s="3"/>
      <c r="IDO39" s="3"/>
      <c r="IDP39" s="3"/>
      <c r="IDQ39" s="3"/>
      <c r="IDR39" s="3"/>
      <c r="IDS39" s="3"/>
      <c r="IDT39" s="3"/>
      <c r="IDU39" s="3"/>
      <c r="IDV39" s="3"/>
      <c r="IDW39" s="3"/>
      <c r="IDX39" s="3"/>
      <c r="IDY39" s="3"/>
      <c r="IDZ39" s="3"/>
      <c r="IEA39" s="3"/>
      <c r="IEB39" s="3"/>
      <c r="IEC39" s="3"/>
      <c r="IED39" s="3"/>
      <c r="IEE39" s="3"/>
      <c r="IEF39" s="3"/>
      <c r="IEG39" s="3"/>
      <c r="IEH39" s="3"/>
      <c r="IEI39" s="3"/>
      <c r="IEJ39" s="3"/>
      <c r="IEK39" s="3"/>
      <c r="IEL39" s="3"/>
      <c r="IEM39" s="3"/>
      <c r="IEN39" s="3"/>
      <c r="IEO39" s="3"/>
      <c r="IEP39" s="3"/>
      <c r="IEQ39" s="3"/>
      <c r="IER39" s="3"/>
      <c r="IES39" s="3"/>
      <c r="IET39" s="3"/>
      <c r="IEU39" s="3"/>
      <c r="IEV39" s="3"/>
      <c r="IEW39" s="3"/>
      <c r="IEX39" s="3"/>
      <c r="IEY39" s="3"/>
      <c r="IEZ39" s="3"/>
      <c r="IFA39" s="3"/>
      <c r="IFB39" s="3"/>
      <c r="IFC39" s="3"/>
      <c r="IFD39" s="3"/>
      <c r="IFE39" s="3"/>
      <c r="IFF39" s="3"/>
      <c r="IFG39" s="3"/>
      <c r="IFH39" s="3"/>
      <c r="IFI39" s="3"/>
      <c r="IFJ39" s="3"/>
      <c r="IFK39" s="3"/>
      <c r="IFL39" s="3"/>
      <c r="IFM39" s="3"/>
      <c r="IFN39" s="3"/>
      <c r="IFO39" s="3"/>
      <c r="IFP39" s="3"/>
      <c r="IFQ39" s="3"/>
      <c r="IFR39" s="3"/>
      <c r="IFS39" s="3"/>
      <c r="IFT39" s="3"/>
      <c r="IFU39" s="3"/>
      <c r="IFV39" s="3"/>
      <c r="IFW39" s="3"/>
      <c r="IFX39" s="3"/>
      <c r="IFY39" s="3"/>
      <c r="IFZ39" s="3"/>
      <c r="IGA39" s="3"/>
      <c r="IGB39" s="3"/>
      <c r="IGC39" s="3"/>
      <c r="IGD39" s="3"/>
      <c r="IGE39" s="3"/>
      <c r="IGF39" s="3"/>
      <c r="IGG39" s="3"/>
      <c r="IGH39" s="3"/>
      <c r="IGI39" s="3"/>
      <c r="IGJ39" s="3"/>
      <c r="IGK39" s="3"/>
      <c r="IGL39" s="3"/>
      <c r="IGM39" s="3"/>
      <c r="IGN39" s="3"/>
      <c r="IGO39" s="3"/>
      <c r="IGP39" s="3"/>
      <c r="IGQ39" s="3"/>
      <c r="IGR39" s="3"/>
      <c r="IGS39" s="3"/>
      <c r="IGT39" s="3"/>
      <c r="IGU39" s="3"/>
      <c r="IGV39" s="3"/>
      <c r="IGW39" s="3"/>
      <c r="IGX39" s="3"/>
      <c r="IGY39" s="3"/>
      <c r="IGZ39" s="3"/>
      <c r="IHA39" s="3"/>
      <c r="IHB39" s="3"/>
      <c r="IHC39" s="3"/>
      <c r="IHD39" s="3"/>
      <c r="IHE39" s="3"/>
      <c r="IHF39" s="3"/>
      <c r="IHG39" s="3"/>
      <c r="IHH39" s="3"/>
      <c r="IHI39" s="3"/>
      <c r="IHJ39" s="3"/>
      <c r="IHK39" s="3"/>
      <c r="IHL39" s="3"/>
      <c r="IHM39" s="3"/>
      <c r="IHN39" s="3"/>
      <c r="IHO39" s="3"/>
      <c r="IHP39" s="3"/>
      <c r="IHQ39" s="3"/>
      <c r="IHR39" s="3"/>
      <c r="IHS39" s="3"/>
      <c r="IHT39" s="3"/>
      <c r="IHU39" s="3"/>
      <c r="IHV39" s="3"/>
      <c r="IHW39" s="3"/>
      <c r="IHX39" s="3"/>
      <c r="IHY39" s="3"/>
      <c r="IHZ39" s="3"/>
      <c r="IIA39" s="3"/>
      <c r="IIB39" s="3"/>
      <c r="IIC39" s="3"/>
      <c r="IID39" s="3"/>
      <c r="IIE39" s="3"/>
      <c r="IIF39" s="3"/>
      <c r="IIG39" s="3"/>
      <c r="IIH39" s="3"/>
      <c r="III39" s="3"/>
      <c r="IIJ39" s="3"/>
      <c r="IIK39" s="3"/>
      <c r="IIL39" s="3"/>
      <c r="IIM39" s="3"/>
      <c r="IIN39" s="3"/>
      <c r="IIO39" s="3"/>
      <c r="IIP39" s="3"/>
      <c r="IIQ39" s="3"/>
      <c r="IIR39" s="3"/>
      <c r="IIS39" s="3"/>
      <c r="IIT39" s="3"/>
      <c r="IIU39" s="3"/>
      <c r="IIV39" s="3"/>
      <c r="IIW39" s="3"/>
      <c r="IIX39" s="3"/>
      <c r="IIY39" s="3"/>
      <c r="IIZ39" s="3"/>
      <c r="IJA39" s="3"/>
      <c r="IJB39" s="3"/>
      <c r="IJC39" s="3"/>
      <c r="IJD39" s="3"/>
      <c r="IJE39" s="3"/>
      <c r="IJF39" s="3"/>
      <c r="IJG39" s="3"/>
      <c r="IJH39" s="3"/>
      <c r="IJI39" s="3"/>
      <c r="IJJ39" s="3"/>
      <c r="IJK39" s="3"/>
      <c r="IJL39" s="3"/>
      <c r="IJM39" s="3"/>
      <c r="IJN39" s="3"/>
      <c r="IJO39" s="3"/>
      <c r="IJP39" s="3"/>
      <c r="IJQ39" s="3"/>
      <c r="IJR39" s="3"/>
      <c r="IJS39" s="3"/>
      <c r="IJT39" s="3"/>
      <c r="IJU39" s="3"/>
      <c r="IJV39" s="3"/>
      <c r="IJW39" s="3"/>
      <c r="IJX39" s="3"/>
      <c r="IJY39" s="3"/>
      <c r="IJZ39" s="3"/>
      <c r="IKA39" s="3"/>
      <c r="IKB39" s="3"/>
      <c r="IKC39" s="3"/>
      <c r="IKD39" s="3"/>
      <c r="IKE39" s="3"/>
      <c r="IKF39" s="3"/>
      <c r="IKG39" s="3"/>
      <c r="IKH39" s="3"/>
      <c r="IKI39" s="3"/>
      <c r="IKJ39" s="3"/>
      <c r="IKK39" s="3"/>
      <c r="IKL39" s="3"/>
      <c r="IKM39" s="3"/>
      <c r="IKN39" s="3"/>
      <c r="IKO39" s="3"/>
      <c r="IKP39" s="3"/>
      <c r="IKQ39" s="3"/>
      <c r="IKR39" s="3"/>
      <c r="IKS39" s="3"/>
      <c r="IKT39" s="3"/>
      <c r="IKU39" s="3"/>
      <c r="IKV39" s="3"/>
      <c r="IKW39" s="3"/>
      <c r="IKX39" s="3"/>
      <c r="IKY39" s="3"/>
      <c r="IKZ39" s="3"/>
      <c r="ILA39" s="3"/>
      <c r="ILB39" s="3"/>
      <c r="ILC39" s="3"/>
      <c r="ILD39" s="3"/>
      <c r="ILE39" s="3"/>
      <c r="ILF39" s="3"/>
      <c r="ILG39" s="3"/>
      <c r="ILH39" s="3"/>
      <c r="ILI39" s="3"/>
      <c r="ILJ39" s="3"/>
      <c r="ILK39" s="3"/>
      <c r="ILL39" s="3"/>
      <c r="ILM39" s="3"/>
      <c r="ILN39" s="3"/>
      <c r="ILO39" s="3"/>
      <c r="ILP39" s="3"/>
      <c r="ILQ39" s="3"/>
      <c r="ILR39" s="3"/>
      <c r="ILS39" s="3"/>
      <c r="ILT39" s="3"/>
      <c r="ILU39" s="3"/>
      <c r="ILV39" s="3"/>
      <c r="ILW39" s="3"/>
      <c r="ILX39" s="3"/>
      <c r="ILY39" s="3"/>
      <c r="ILZ39" s="3"/>
      <c r="IMA39" s="3"/>
      <c r="IMB39" s="3"/>
      <c r="IMC39" s="3"/>
      <c r="IMD39" s="3"/>
      <c r="IME39" s="3"/>
      <c r="IMF39" s="3"/>
      <c r="IMG39" s="3"/>
      <c r="IMH39" s="3"/>
      <c r="IMI39" s="3"/>
      <c r="IMJ39" s="3"/>
      <c r="IMK39" s="3"/>
      <c r="IML39" s="3"/>
      <c r="IMM39" s="3"/>
      <c r="IMN39" s="3"/>
      <c r="IMO39" s="3"/>
      <c r="IMP39" s="3"/>
      <c r="IMQ39" s="3"/>
      <c r="IMR39" s="3"/>
      <c r="IMS39" s="3"/>
      <c r="IMT39" s="3"/>
      <c r="IMU39" s="3"/>
      <c r="IMV39" s="3"/>
      <c r="IMW39" s="3"/>
      <c r="IMX39" s="3"/>
      <c r="IMY39" s="3"/>
      <c r="IMZ39" s="3"/>
      <c r="INA39" s="3"/>
      <c r="INB39" s="3"/>
      <c r="INC39" s="3"/>
      <c r="IND39" s="3"/>
      <c r="INE39" s="3"/>
      <c r="INF39" s="3"/>
      <c r="ING39" s="3"/>
      <c r="INH39" s="3"/>
      <c r="INI39" s="3"/>
      <c r="INJ39" s="3"/>
      <c r="INK39" s="3"/>
      <c r="INL39" s="3"/>
      <c r="INM39" s="3"/>
      <c r="INN39" s="3"/>
      <c r="INO39" s="3"/>
      <c r="INP39" s="3"/>
      <c r="INQ39" s="3"/>
      <c r="INR39" s="3"/>
      <c r="INS39" s="3"/>
      <c r="INT39" s="3"/>
      <c r="INU39" s="3"/>
      <c r="INV39" s="3"/>
      <c r="INW39" s="3"/>
      <c r="INX39" s="3"/>
      <c r="INY39" s="3"/>
      <c r="INZ39" s="3"/>
      <c r="IOA39" s="3"/>
      <c r="IOB39" s="3"/>
      <c r="IOC39" s="3"/>
      <c r="IOD39" s="3"/>
      <c r="IOE39" s="3"/>
      <c r="IOF39" s="3"/>
      <c r="IOG39" s="3"/>
      <c r="IOH39" s="3"/>
      <c r="IOI39" s="3"/>
      <c r="IOJ39" s="3"/>
      <c r="IOK39" s="3"/>
      <c r="IOL39" s="3"/>
      <c r="IOM39" s="3"/>
      <c r="ION39" s="3"/>
      <c r="IOO39" s="3"/>
      <c r="IOP39" s="3"/>
      <c r="IOQ39" s="3"/>
      <c r="IOR39" s="3"/>
      <c r="IOS39" s="3"/>
      <c r="IOT39" s="3"/>
      <c r="IOU39" s="3"/>
      <c r="IOV39" s="3"/>
      <c r="IOW39" s="3"/>
      <c r="IOX39" s="3"/>
      <c r="IOY39" s="3"/>
      <c r="IOZ39" s="3"/>
      <c r="IPA39" s="3"/>
      <c r="IPB39" s="3"/>
      <c r="IPC39" s="3"/>
      <c r="IPD39" s="3"/>
      <c r="IPE39" s="3"/>
      <c r="IPF39" s="3"/>
      <c r="IPG39" s="3"/>
      <c r="IPH39" s="3"/>
      <c r="IPI39" s="3"/>
      <c r="IPJ39" s="3"/>
      <c r="IPK39" s="3"/>
      <c r="IPL39" s="3"/>
      <c r="IPM39" s="3"/>
      <c r="IPN39" s="3"/>
      <c r="IPO39" s="3"/>
      <c r="IPP39" s="3"/>
      <c r="IPQ39" s="3"/>
      <c r="IPR39" s="3"/>
      <c r="IPS39" s="3"/>
      <c r="IPT39" s="3"/>
      <c r="IPU39" s="3"/>
      <c r="IPV39" s="3"/>
      <c r="IPW39" s="3"/>
      <c r="IPX39" s="3"/>
      <c r="IPY39" s="3"/>
      <c r="IPZ39" s="3"/>
      <c r="IQA39" s="3"/>
      <c r="IQB39" s="3"/>
      <c r="IQC39" s="3"/>
      <c r="IQD39" s="3"/>
      <c r="IQE39" s="3"/>
      <c r="IQF39" s="3"/>
      <c r="IQG39" s="3"/>
      <c r="IQH39" s="3"/>
      <c r="IQI39" s="3"/>
      <c r="IQJ39" s="3"/>
      <c r="IQK39" s="3"/>
      <c r="IQL39" s="3"/>
      <c r="IQM39" s="3"/>
      <c r="IQN39" s="3"/>
      <c r="IQO39" s="3"/>
      <c r="IQP39" s="3"/>
      <c r="IQQ39" s="3"/>
      <c r="IQR39" s="3"/>
      <c r="IQS39" s="3"/>
      <c r="IQT39" s="3"/>
      <c r="IQU39" s="3"/>
      <c r="IQV39" s="3"/>
      <c r="IQW39" s="3"/>
      <c r="IQX39" s="3"/>
      <c r="IQY39" s="3"/>
      <c r="IQZ39" s="3"/>
      <c r="IRA39" s="3"/>
      <c r="IRB39" s="3"/>
      <c r="IRC39" s="3"/>
      <c r="IRD39" s="3"/>
      <c r="IRE39" s="3"/>
      <c r="IRF39" s="3"/>
      <c r="IRG39" s="3"/>
      <c r="IRH39" s="3"/>
      <c r="IRI39" s="3"/>
      <c r="IRJ39" s="3"/>
      <c r="IRK39" s="3"/>
      <c r="IRL39" s="3"/>
      <c r="IRM39" s="3"/>
      <c r="IRN39" s="3"/>
      <c r="IRO39" s="3"/>
      <c r="IRP39" s="3"/>
      <c r="IRQ39" s="3"/>
      <c r="IRR39" s="3"/>
      <c r="IRS39" s="3"/>
      <c r="IRT39" s="3"/>
      <c r="IRU39" s="3"/>
      <c r="IRV39" s="3"/>
      <c r="IRW39" s="3"/>
      <c r="IRX39" s="3"/>
      <c r="IRY39" s="3"/>
      <c r="IRZ39" s="3"/>
      <c r="ISA39" s="3"/>
      <c r="ISB39" s="3"/>
      <c r="ISC39" s="3"/>
      <c r="ISD39" s="3"/>
      <c r="ISE39" s="3"/>
      <c r="ISF39" s="3"/>
      <c r="ISG39" s="3"/>
      <c r="ISH39" s="3"/>
      <c r="ISI39" s="3"/>
      <c r="ISJ39" s="3"/>
      <c r="ISK39" s="3"/>
      <c r="ISL39" s="3"/>
      <c r="ISM39" s="3"/>
      <c r="ISN39" s="3"/>
      <c r="ISO39" s="3"/>
      <c r="ISP39" s="3"/>
      <c r="ISQ39" s="3"/>
      <c r="ISR39" s="3"/>
      <c r="ISS39" s="3"/>
      <c r="IST39" s="3"/>
      <c r="ISU39" s="3"/>
      <c r="ISV39" s="3"/>
      <c r="ISW39" s="3"/>
      <c r="ISX39" s="3"/>
      <c r="ISY39" s="3"/>
      <c r="ISZ39" s="3"/>
      <c r="ITA39" s="3"/>
      <c r="ITB39" s="3"/>
      <c r="ITC39" s="3"/>
      <c r="ITD39" s="3"/>
      <c r="ITE39" s="3"/>
      <c r="ITF39" s="3"/>
      <c r="ITG39" s="3"/>
      <c r="ITH39" s="3"/>
      <c r="ITI39" s="3"/>
      <c r="ITJ39" s="3"/>
      <c r="ITK39" s="3"/>
      <c r="ITL39" s="3"/>
      <c r="ITM39" s="3"/>
      <c r="ITN39" s="3"/>
      <c r="ITO39" s="3"/>
      <c r="ITP39" s="3"/>
      <c r="ITQ39" s="3"/>
      <c r="ITR39" s="3"/>
      <c r="ITS39" s="3"/>
      <c r="ITT39" s="3"/>
      <c r="ITU39" s="3"/>
      <c r="ITV39" s="3"/>
      <c r="ITW39" s="3"/>
      <c r="ITX39" s="3"/>
      <c r="ITY39" s="3"/>
      <c r="ITZ39" s="3"/>
      <c r="IUA39" s="3"/>
      <c r="IUB39" s="3"/>
      <c r="IUC39" s="3"/>
      <c r="IUD39" s="3"/>
      <c r="IUE39" s="3"/>
      <c r="IUF39" s="3"/>
      <c r="IUG39" s="3"/>
      <c r="IUH39" s="3"/>
      <c r="IUI39" s="3"/>
      <c r="IUJ39" s="3"/>
      <c r="IUK39" s="3"/>
      <c r="IUL39" s="3"/>
      <c r="IUM39" s="3"/>
      <c r="IUN39" s="3"/>
      <c r="IUO39" s="3"/>
      <c r="IUP39" s="3"/>
      <c r="IUQ39" s="3"/>
      <c r="IUR39" s="3"/>
      <c r="IUS39" s="3"/>
      <c r="IUT39" s="3"/>
      <c r="IUU39" s="3"/>
      <c r="IUV39" s="3"/>
      <c r="IUW39" s="3"/>
      <c r="IUX39" s="3"/>
      <c r="IUY39" s="3"/>
      <c r="IUZ39" s="3"/>
      <c r="IVA39" s="3"/>
      <c r="IVB39" s="3"/>
      <c r="IVC39" s="3"/>
      <c r="IVD39" s="3"/>
      <c r="IVE39" s="3"/>
      <c r="IVF39" s="3"/>
      <c r="IVG39" s="3"/>
      <c r="IVH39" s="3"/>
      <c r="IVI39" s="3"/>
      <c r="IVJ39" s="3"/>
      <c r="IVK39" s="3"/>
      <c r="IVL39" s="3"/>
      <c r="IVM39" s="3"/>
      <c r="IVN39" s="3"/>
      <c r="IVO39" s="3"/>
      <c r="IVP39" s="3"/>
      <c r="IVQ39" s="3"/>
      <c r="IVR39" s="3"/>
      <c r="IVS39" s="3"/>
      <c r="IVT39" s="3"/>
      <c r="IVU39" s="3"/>
      <c r="IVV39" s="3"/>
      <c r="IVW39" s="3"/>
      <c r="IVX39" s="3"/>
      <c r="IVY39" s="3"/>
      <c r="IVZ39" s="3"/>
      <c r="IWA39" s="3"/>
      <c r="IWB39" s="3"/>
      <c r="IWC39" s="3"/>
      <c r="IWD39" s="3"/>
      <c r="IWE39" s="3"/>
      <c r="IWF39" s="3"/>
      <c r="IWG39" s="3"/>
      <c r="IWH39" s="3"/>
      <c r="IWI39" s="3"/>
      <c r="IWJ39" s="3"/>
      <c r="IWK39" s="3"/>
      <c r="IWL39" s="3"/>
      <c r="IWM39" s="3"/>
      <c r="IWN39" s="3"/>
      <c r="IWO39" s="3"/>
      <c r="IWP39" s="3"/>
      <c r="IWQ39" s="3"/>
      <c r="IWR39" s="3"/>
      <c r="IWS39" s="3"/>
      <c r="IWT39" s="3"/>
      <c r="IWU39" s="3"/>
      <c r="IWV39" s="3"/>
      <c r="IWW39" s="3"/>
      <c r="IWX39" s="3"/>
      <c r="IWY39" s="3"/>
      <c r="IWZ39" s="3"/>
      <c r="IXA39" s="3"/>
      <c r="IXB39" s="3"/>
      <c r="IXC39" s="3"/>
      <c r="IXD39" s="3"/>
      <c r="IXE39" s="3"/>
      <c r="IXF39" s="3"/>
      <c r="IXG39" s="3"/>
      <c r="IXH39" s="3"/>
      <c r="IXI39" s="3"/>
      <c r="IXJ39" s="3"/>
      <c r="IXK39" s="3"/>
      <c r="IXL39" s="3"/>
      <c r="IXM39" s="3"/>
      <c r="IXN39" s="3"/>
      <c r="IXO39" s="3"/>
      <c r="IXP39" s="3"/>
      <c r="IXQ39" s="3"/>
      <c r="IXR39" s="3"/>
      <c r="IXS39" s="3"/>
      <c r="IXT39" s="3"/>
      <c r="IXU39" s="3"/>
      <c r="IXV39" s="3"/>
      <c r="IXW39" s="3"/>
      <c r="IXX39" s="3"/>
      <c r="IXY39" s="3"/>
      <c r="IXZ39" s="3"/>
      <c r="IYA39" s="3"/>
      <c r="IYB39" s="3"/>
      <c r="IYC39" s="3"/>
      <c r="IYD39" s="3"/>
      <c r="IYE39" s="3"/>
      <c r="IYF39" s="3"/>
      <c r="IYG39" s="3"/>
      <c r="IYH39" s="3"/>
      <c r="IYI39" s="3"/>
      <c r="IYJ39" s="3"/>
      <c r="IYK39" s="3"/>
      <c r="IYL39" s="3"/>
      <c r="IYM39" s="3"/>
      <c r="IYN39" s="3"/>
      <c r="IYO39" s="3"/>
      <c r="IYP39" s="3"/>
      <c r="IYQ39" s="3"/>
      <c r="IYR39" s="3"/>
      <c r="IYS39" s="3"/>
      <c r="IYT39" s="3"/>
      <c r="IYU39" s="3"/>
      <c r="IYV39" s="3"/>
      <c r="IYW39" s="3"/>
      <c r="IYX39" s="3"/>
      <c r="IYY39" s="3"/>
      <c r="IYZ39" s="3"/>
      <c r="IZA39" s="3"/>
      <c r="IZB39" s="3"/>
      <c r="IZC39" s="3"/>
      <c r="IZD39" s="3"/>
      <c r="IZE39" s="3"/>
      <c r="IZF39" s="3"/>
      <c r="IZG39" s="3"/>
      <c r="IZH39" s="3"/>
      <c r="IZI39" s="3"/>
      <c r="IZJ39" s="3"/>
      <c r="IZK39" s="3"/>
      <c r="IZL39" s="3"/>
      <c r="IZM39" s="3"/>
      <c r="IZN39" s="3"/>
      <c r="IZO39" s="3"/>
      <c r="IZP39" s="3"/>
      <c r="IZQ39" s="3"/>
      <c r="IZR39" s="3"/>
      <c r="IZS39" s="3"/>
      <c r="IZT39" s="3"/>
      <c r="IZU39" s="3"/>
      <c r="IZV39" s="3"/>
      <c r="IZW39" s="3"/>
      <c r="IZX39" s="3"/>
      <c r="IZY39" s="3"/>
      <c r="IZZ39" s="3"/>
      <c r="JAA39" s="3"/>
      <c r="JAB39" s="3"/>
      <c r="JAC39" s="3"/>
      <c r="JAD39" s="3"/>
      <c r="JAE39" s="3"/>
      <c r="JAF39" s="3"/>
      <c r="JAG39" s="3"/>
      <c r="JAH39" s="3"/>
      <c r="JAI39" s="3"/>
      <c r="JAJ39" s="3"/>
      <c r="JAK39" s="3"/>
      <c r="JAL39" s="3"/>
      <c r="JAM39" s="3"/>
      <c r="JAN39" s="3"/>
      <c r="JAO39" s="3"/>
      <c r="JAP39" s="3"/>
      <c r="JAQ39" s="3"/>
      <c r="JAR39" s="3"/>
      <c r="JAS39" s="3"/>
      <c r="JAT39" s="3"/>
      <c r="JAU39" s="3"/>
      <c r="JAV39" s="3"/>
      <c r="JAW39" s="3"/>
      <c r="JAX39" s="3"/>
      <c r="JAY39" s="3"/>
      <c r="JAZ39" s="3"/>
      <c r="JBA39" s="3"/>
      <c r="JBB39" s="3"/>
      <c r="JBC39" s="3"/>
      <c r="JBD39" s="3"/>
      <c r="JBE39" s="3"/>
      <c r="JBF39" s="3"/>
      <c r="JBG39" s="3"/>
      <c r="JBH39" s="3"/>
      <c r="JBI39" s="3"/>
      <c r="JBJ39" s="3"/>
      <c r="JBK39" s="3"/>
      <c r="JBL39" s="3"/>
      <c r="JBM39" s="3"/>
      <c r="JBN39" s="3"/>
      <c r="JBO39" s="3"/>
      <c r="JBP39" s="3"/>
      <c r="JBQ39" s="3"/>
      <c r="JBR39" s="3"/>
      <c r="JBS39" s="3"/>
      <c r="JBT39" s="3"/>
      <c r="JBU39" s="3"/>
      <c r="JBV39" s="3"/>
      <c r="JBW39" s="3"/>
      <c r="JBX39" s="3"/>
      <c r="JBY39" s="3"/>
      <c r="JBZ39" s="3"/>
      <c r="JCA39" s="3"/>
      <c r="JCB39" s="3"/>
      <c r="JCC39" s="3"/>
      <c r="JCD39" s="3"/>
      <c r="JCE39" s="3"/>
      <c r="JCF39" s="3"/>
      <c r="JCG39" s="3"/>
      <c r="JCH39" s="3"/>
      <c r="JCI39" s="3"/>
      <c r="JCJ39" s="3"/>
      <c r="JCK39" s="3"/>
      <c r="JCL39" s="3"/>
      <c r="JCM39" s="3"/>
      <c r="JCN39" s="3"/>
      <c r="JCO39" s="3"/>
      <c r="JCP39" s="3"/>
      <c r="JCQ39" s="3"/>
      <c r="JCR39" s="3"/>
      <c r="JCS39" s="3"/>
      <c r="JCT39" s="3"/>
      <c r="JCU39" s="3"/>
      <c r="JCV39" s="3"/>
      <c r="JCW39" s="3"/>
      <c r="JCX39" s="3"/>
      <c r="JCY39" s="3"/>
      <c r="JCZ39" s="3"/>
      <c r="JDA39" s="3"/>
      <c r="JDB39" s="3"/>
      <c r="JDC39" s="3"/>
      <c r="JDD39" s="3"/>
      <c r="JDE39" s="3"/>
      <c r="JDF39" s="3"/>
      <c r="JDG39" s="3"/>
      <c r="JDH39" s="3"/>
      <c r="JDI39" s="3"/>
      <c r="JDJ39" s="3"/>
      <c r="JDK39" s="3"/>
      <c r="JDL39" s="3"/>
      <c r="JDM39" s="3"/>
      <c r="JDN39" s="3"/>
      <c r="JDO39" s="3"/>
      <c r="JDP39" s="3"/>
      <c r="JDQ39" s="3"/>
      <c r="JDR39" s="3"/>
      <c r="JDS39" s="3"/>
      <c r="JDT39" s="3"/>
      <c r="JDU39" s="3"/>
      <c r="JDV39" s="3"/>
      <c r="JDW39" s="3"/>
      <c r="JDX39" s="3"/>
      <c r="JDY39" s="3"/>
      <c r="JDZ39" s="3"/>
      <c r="JEA39" s="3"/>
      <c r="JEB39" s="3"/>
      <c r="JEC39" s="3"/>
      <c r="JED39" s="3"/>
      <c r="JEE39" s="3"/>
      <c r="JEF39" s="3"/>
      <c r="JEG39" s="3"/>
      <c r="JEH39" s="3"/>
      <c r="JEI39" s="3"/>
      <c r="JEJ39" s="3"/>
      <c r="JEK39" s="3"/>
      <c r="JEL39" s="3"/>
      <c r="JEM39" s="3"/>
      <c r="JEN39" s="3"/>
      <c r="JEO39" s="3"/>
      <c r="JEP39" s="3"/>
      <c r="JEQ39" s="3"/>
      <c r="JER39" s="3"/>
      <c r="JES39" s="3"/>
      <c r="JET39" s="3"/>
      <c r="JEU39" s="3"/>
      <c r="JEV39" s="3"/>
      <c r="JEW39" s="3"/>
      <c r="JEX39" s="3"/>
      <c r="JEY39" s="3"/>
      <c r="JEZ39" s="3"/>
      <c r="JFA39" s="3"/>
      <c r="JFB39" s="3"/>
      <c r="JFC39" s="3"/>
      <c r="JFD39" s="3"/>
      <c r="JFE39" s="3"/>
      <c r="JFF39" s="3"/>
      <c r="JFG39" s="3"/>
      <c r="JFH39" s="3"/>
      <c r="JFI39" s="3"/>
      <c r="JFJ39" s="3"/>
      <c r="JFK39" s="3"/>
      <c r="JFL39" s="3"/>
      <c r="JFM39" s="3"/>
      <c r="JFN39" s="3"/>
      <c r="JFO39" s="3"/>
      <c r="JFP39" s="3"/>
      <c r="JFQ39" s="3"/>
      <c r="JFR39" s="3"/>
      <c r="JFS39" s="3"/>
      <c r="JFT39" s="3"/>
      <c r="JFU39" s="3"/>
      <c r="JFV39" s="3"/>
      <c r="JFW39" s="3"/>
      <c r="JFX39" s="3"/>
      <c r="JFY39" s="3"/>
      <c r="JFZ39" s="3"/>
      <c r="JGA39" s="3"/>
      <c r="JGB39" s="3"/>
      <c r="JGC39" s="3"/>
      <c r="JGD39" s="3"/>
      <c r="JGE39" s="3"/>
      <c r="JGF39" s="3"/>
      <c r="JGG39" s="3"/>
      <c r="JGH39" s="3"/>
      <c r="JGI39" s="3"/>
      <c r="JGJ39" s="3"/>
      <c r="JGK39" s="3"/>
      <c r="JGL39" s="3"/>
      <c r="JGM39" s="3"/>
      <c r="JGN39" s="3"/>
      <c r="JGO39" s="3"/>
      <c r="JGP39" s="3"/>
      <c r="JGQ39" s="3"/>
      <c r="JGR39" s="3"/>
      <c r="JGS39" s="3"/>
      <c r="JGT39" s="3"/>
      <c r="JGU39" s="3"/>
      <c r="JGV39" s="3"/>
      <c r="JGW39" s="3"/>
      <c r="JGX39" s="3"/>
      <c r="JGY39" s="3"/>
      <c r="JGZ39" s="3"/>
      <c r="JHA39" s="3"/>
      <c r="JHB39" s="3"/>
      <c r="JHC39" s="3"/>
      <c r="JHD39" s="3"/>
      <c r="JHE39" s="3"/>
      <c r="JHF39" s="3"/>
      <c r="JHG39" s="3"/>
      <c r="JHH39" s="3"/>
      <c r="JHI39" s="3"/>
      <c r="JHJ39" s="3"/>
      <c r="JHK39" s="3"/>
      <c r="JHL39" s="3"/>
      <c r="JHM39" s="3"/>
      <c r="JHN39" s="3"/>
      <c r="JHO39" s="3"/>
      <c r="JHP39" s="3"/>
      <c r="JHQ39" s="3"/>
      <c r="JHR39" s="3"/>
      <c r="JHS39" s="3"/>
      <c r="JHT39" s="3"/>
      <c r="JHU39" s="3"/>
      <c r="JHV39" s="3"/>
      <c r="JHW39" s="3"/>
      <c r="JHX39" s="3"/>
      <c r="JHY39" s="3"/>
      <c r="JHZ39" s="3"/>
      <c r="JIA39" s="3"/>
      <c r="JIB39" s="3"/>
      <c r="JIC39" s="3"/>
      <c r="JID39" s="3"/>
      <c r="JIE39" s="3"/>
      <c r="JIF39" s="3"/>
      <c r="JIG39" s="3"/>
      <c r="JIH39" s="3"/>
      <c r="JII39" s="3"/>
      <c r="JIJ39" s="3"/>
      <c r="JIK39" s="3"/>
      <c r="JIL39" s="3"/>
      <c r="JIM39" s="3"/>
      <c r="JIN39" s="3"/>
      <c r="JIO39" s="3"/>
      <c r="JIP39" s="3"/>
      <c r="JIQ39" s="3"/>
      <c r="JIR39" s="3"/>
      <c r="JIS39" s="3"/>
      <c r="JIT39" s="3"/>
      <c r="JIU39" s="3"/>
      <c r="JIV39" s="3"/>
      <c r="JIW39" s="3"/>
      <c r="JIX39" s="3"/>
      <c r="JIY39" s="3"/>
      <c r="JIZ39" s="3"/>
      <c r="JJA39" s="3"/>
      <c r="JJB39" s="3"/>
      <c r="JJC39" s="3"/>
      <c r="JJD39" s="3"/>
      <c r="JJE39" s="3"/>
      <c r="JJF39" s="3"/>
      <c r="JJG39" s="3"/>
      <c r="JJH39" s="3"/>
      <c r="JJI39" s="3"/>
      <c r="JJJ39" s="3"/>
      <c r="JJK39" s="3"/>
      <c r="JJL39" s="3"/>
      <c r="JJM39" s="3"/>
      <c r="JJN39" s="3"/>
      <c r="JJO39" s="3"/>
      <c r="JJP39" s="3"/>
      <c r="JJQ39" s="3"/>
      <c r="JJR39" s="3"/>
      <c r="JJS39" s="3"/>
      <c r="JJT39" s="3"/>
      <c r="JJU39" s="3"/>
      <c r="JJV39" s="3"/>
      <c r="JJW39" s="3"/>
      <c r="JJX39" s="3"/>
      <c r="JJY39" s="3"/>
      <c r="JJZ39" s="3"/>
      <c r="JKA39" s="3"/>
      <c r="JKB39" s="3"/>
      <c r="JKC39" s="3"/>
      <c r="JKD39" s="3"/>
      <c r="JKE39" s="3"/>
      <c r="JKF39" s="3"/>
      <c r="JKG39" s="3"/>
      <c r="JKH39" s="3"/>
      <c r="JKI39" s="3"/>
      <c r="JKJ39" s="3"/>
      <c r="JKK39" s="3"/>
      <c r="JKL39" s="3"/>
      <c r="JKM39" s="3"/>
      <c r="JKN39" s="3"/>
      <c r="JKO39" s="3"/>
      <c r="JKP39" s="3"/>
      <c r="JKQ39" s="3"/>
      <c r="JKR39" s="3"/>
      <c r="JKS39" s="3"/>
      <c r="JKT39" s="3"/>
      <c r="JKU39" s="3"/>
      <c r="JKV39" s="3"/>
      <c r="JKW39" s="3"/>
      <c r="JKX39" s="3"/>
      <c r="JKY39" s="3"/>
      <c r="JKZ39" s="3"/>
      <c r="JLA39" s="3"/>
      <c r="JLB39" s="3"/>
      <c r="JLC39" s="3"/>
      <c r="JLD39" s="3"/>
      <c r="JLE39" s="3"/>
      <c r="JLF39" s="3"/>
      <c r="JLG39" s="3"/>
      <c r="JLH39" s="3"/>
      <c r="JLI39" s="3"/>
      <c r="JLJ39" s="3"/>
      <c r="JLK39" s="3"/>
      <c r="JLL39" s="3"/>
      <c r="JLM39" s="3"/>
      <c r="JLN39" s="3"/>
      <c r="JLO39" s="3"/>
      <c r="JLP39" s="3"/>
      <c r="JLQ39" s="3"/>
      <c r="JLR39" s="3"/>
      <c r="JLS39" s="3"/>
      <c r="JLT39" s="3"/>
      <c r="JLU39" s="3"/>
      <c r="JLV39" s="3"/>
      <c r="JLW39" s="3"/>
      <c r="JLX39" s="3"/>
      <c r="JLY39" s="3"/>
      <c r="JLZ39" s="3"/>
      <c r="JMA39" s="3"/>
      <c r="JMB39" s="3"/>
      <c r="JMC39" s="3"/>
      <c r="JMD39" s="3"/>
      <c r="JME39" s="3"/>
      <c r="JMF39" s="3"/>
      <c r="JMG39" s="3"/>
      <c r="JMH39" s="3"/>
      <c r="JMI39" s="3"/>
      <c r="JMJ39" s="3"/>
      <c r="JMK39" s="3"/>
      <c r="JML39" s="3"/>
      <c r="JMM39" s="3"/>
      <c r="JMN39" s="3"/>
      <c r="JMO39" s="3"/>
      <c r="JMP39" s="3"/>
      <c r="JMQ39" s="3"/>
      <c r="JMR39" s="3"/>
      <c r="JMS39" s="3"/>
      <c r="JMT39" s="3"/>
      <c r="JMU39" s="3"/>
      <c r="JMV39" s="3"/>
      <c r="JMW39" s="3"/>
      <c r="JMX39" s="3"/>
      <c r="JMY39" s="3"/>
      <c r="JMZ39" s="3"/>
      <c r="JNA39" s="3"/>
      <c r="JNB39" s="3"/>
      <c r="JNC39" s="3"/>
      <c r="JND39" s="3"/>
      <c r="JNE39" s="3"/>
      <c r="JNF39" s="3"/>
      <c r="JNG39" s="3"/>
      <c r="JNH39" s="3"/>
      <c r="JNI39" s="3"/>
      <c r="JNJ39" s="3"/>
      <c r="JNK39" s="3"/>
      <c r="JNL39" s="3"/>
      <c r="JNM39" s="3"/>
      <c r="JNN39" s="3"/>
      <c r="JNO39" s="3"/>
      <c r="JNP39" s="3"/>
      <c r="JNQ39" s="3"/>
      <c r="JNR39" s="3"/>
      <c r="JNS39" s="3"/>
      <c r="JNT39" s="3"/>
      <c r="JNU39" s="3"/>
      <c r="JNV39" s="3"/>
      <c r="JNW39" s="3"/>
      <c r="JNX39" s="3"/>
      <c r="JNY39" s="3"/>
      <c r="JNZ39" s="3"/>
      <c r="JOA39" s="3"/>
      <c r="JOB39" s="3"/>
      <c r="JOC39" s="3"/>
      <c r="JOD39" s="3"/>
      <c r="JOE39" s="3"/>
      <c r="JOF39" s="3"/>
      <c r="JOG39" s="3"/>
      <c r="JOH39" s="3"/>
      <c r="JOI39" s="3"/>
      <c r="JOJ39" s="3"/>
      <c r="JOK39" s="3"/>
      <c r="JOL39" s="3"/>
      <c r="JOM39" s="3"/>
      <c r="JON39" s="3"/>
      <c r="JOO39" s="3"/>
      <c r="JOP39" s="3"/>
      <c r="JOQ39" s="3"/>
      <c r="JOR39" s="3"/>
      <c r="JOS39" s="3"/>
      <c r="JOT39" s="3"/>
      <c r="JOU39" s="3"/>
      <c r="JOV39" s="3"/>
      <c r="JOW39" s="3"/>
      <c r="JOX39" s="3"/>
      <c r="JOY39" s="3"/>
      <c r="JOZ39" s="3"/>
      <c r="JPA39" s="3"/>
      <c r="JPB39" s="3"/>
      <c r="JPC39" s="3"/>
      <c r="JPD39" s="3"/>
      <c r="JPE39" s="3"/>
      <c r="JPF39" s="3"/>
      <c r="JPG39" s="3"/>
      <c r="JPH39" s="3"/>
      <c r="JPI39" s="3"/>
      <c r="JPJ39" s="3"/>
      <c r="JPK39" s="3"/>
      <c r="JPL39" s="3"/>
      <c r="JPM39" s="3"/>
      <c r="JPN39" s="3"/>
      <c r="JPO39" s="3"/>
      <c r="JPP39" s="3"/>
      <c r="JPQ39" s="3"/>
      <c r="JPR39" s="3"/>
      <c r="JPS39" s="3"/>
      <c r="JPT39" s="3"/>
      <c r="JPU39" s="3"/>
      <c r="JPV39" s="3"/>
      <c r="JPW39" s="3"/>
      <c r="JPX39" s="3"/>
      <c r="JPY39" s="3"/>
      <c r="JPZ39" s="3"/>
      <c r="JQA39" s="3"/>
      <c r="JQB39" s="3"/>
      <c r="JQC39" s="3"/>
      <c r="JQD39" s="3"/>
      <c r="JQE39" s="3"/>
      <c r="JQF39" s="3"/>
      <c r="JQG39" s="3"/>
      <c r="JQH39" s="3"/>
      <c r="JQI39" s="3"/>
      <c r="JQJ39" s="3"/>
      <c r="JQK39" s="3"/>
      <c r="JQL39" s="3"/>
      <c r="JQM39" s="3"/>
      <c r="JQN39" s="3"/>
      <c r="JQO39" s="3"/>
      <c r="JQP39" s="3"/>
      <c r="JQQ39" s="3"/>
      <c r="JQR39" s="3"/>
      <c r="JQS39" s="3"/>
      <c r="JQT39" s="3"/>
      <c r="JQU39" s="3"/>
      <c r="JQV39" s="3"/>
      <c r="JQW39" s="3"/>
      <c r="JQX39" s="3"/>
      <c r="JQY39" s="3"/>
      <c r="JQZ39" s="3"/>
      <c r="JRA39" s="3"/>
      <c r="JRB39" s="3"/>
      <c r="JRC39" s="3"/>
      <c r="JRD39" s="3"/>
      <c r="JRE39" s="3"/>
      <c r="JRF39" s="3"/>
      <c r="JRG39" s="3"/>
      <c r="JRH39" s="3"/>
      <c r="JRI39" s="3"/>
      <c r="JRJ39" s="3"/>
      <c r="JRK39" s="3"/>
      <c r="JRL39" s="3"/>
      <c r="JRM39" s="3"/>
      <c r="JRN39" s="3"/>
      <c r="JRO39" s="3"/>
      <c r="JRP39" s="3"/>
      <c r="JRQ39" s="3"/>
      <c r="JRR39" s="3"/>
      <c r="JRS39" s="3"/>
      <c r="JRT39" s="3"/>
      <c r="JRU39" s="3"/>
      <c r="JRV39" s="3"/>
      <c r="JRW39" s="3"/>
      <c r="JRX39" s="3"/>
      <c r="JRY39" s="3"/>
      <c r="JRZ39" s="3"/>
      <c r="JSA39" s="3"/>
      <c r="JSB39" s="3"/>
      <c r="JSC39" s="3"/>
      <c r="JSD39" s="3"/>
      <c r="JSE39" s="3"/>
      <c r="JSF39" s="3"/>
      <c r="JSG39" s="3"/>
      <c r="JSH39" s="3"/>
      <c r="JSI39" s="3"/>
      <c r="JSJ39" s="3"/>
      <c r="JSK39" s="3"/>
      <c r="JSL39" s="3"/>
      <c r="JSM39" s="3"/>
      <c r="JSN39" s="3"/>
      <c r="JSO39" s="3"/>
      <c r="JSP39" s="3"/>
      <c r="JSQ39" s="3"/>
      <c r="JSR39" s="3"/>
      <c r="JSS39" s="3"/>
      <c r="JST39" s="3"/>
      <c r="JSU39" s="3"/>
      <c r="JSV39" s="3"/>
      <c r="JSW39" s="3"/>
      <c r="JSX39" s="3"/>
      <c r="JSY39" s="3"/>
      <c r="JSZ39" s="3"/>
      <c r="JTA39" s="3"/>
      <c r="JTB39" s="3"/>
      <c r="JTC39" s="3"/>
      <c r="JTD39" s="3"/>
      <c r="JTE39" s="3"/>
      <c r="JTF39" s="3"/>
      <c r="JTG39" s="3"/>
      <c r="JTH39" s="3"/>
      <c r="JTI39" s="3"/>
      <c r="JTJ39" s="3"/>
      <c r="JTK39" s="3"/>
      <c r="JTL39" s="3"/>
      <c r="JTM39" s="3"/>
      <c r="JTN39" s="3"/>
      <c r="JTO39" s="3"/>
      <c r="JTP39" s="3"/>
      <c r="JTQ39" s="3"/>
      <c r="JTR39" s="3"/>
      <c r="JTS39" s="3"/>
      <c r="JTT39" s="3"/>
      <c r="JTU39" s="3"/>
      <c r="JTV39" s="3"/>
      <c r="JTW39" s="3"/>
      <c r="JTX39" s="3"/>
      <c r="JTY39" s="3"/>
      <c r="JTZ39" s="3"/>
      <c r="JUA39" s="3"/>
      <c r="JUB39" s="3"/>
      <c r="JUC39" s="3"/>
      <c r="JUD39" s="3"/>
      <c r="JUE39" s="3"/>
      <c r="JUF39" s="3"/>
      <c r="JUG39" s="3"/>
      <c r="JUH39" s="3"/>
      <c r="JUI39" s="3"/>
      <c r="JUJ39" s="3"/>
      <c r="JUK39" s="3"/>
      <c r="JUL39" s="3"/>
      <c r="JUM39" s="3"/>
      <c r="JUN39" s="3"/>
      <c r="JUO39" s="3"/>
      <c r="JUP39" s="3"/>
      <c r="JUQ39" s="3"/>
      <c r="JUR39" s="3"/>
      <c r="JUS39" s="3"/>
      <c r="JUT39" s="3"/>
      <c r="JUU39" s="3"/>
      <c r="JUV39" s="3"/>
      <c r="JUW39" s="3"/>
      <c r="JUX39" s="3"/>
      <c r="JUY39" s="3"/>
      <c r="JUZ39" s="3"/>
      <c r="JVA39" s="3"/>
      <c r="JVB39" s="3"/>
      <c r="JVC39" s="3"/>
      <c r="JVD39" s="3"/>
      <c r="JVE39" s="3"/>
      <c r="JVF39" s="3"/>
      <c r="JVG39" s="3"/>
      <c r="JVH39" s="3"/>
      <c r="JVI39" s="3"/>
      <c r="JVJ39" s="3"/>
      <c r="JVK39" s="3"/>
      <c r="JVL39" s="3"/>
      <c r="JVM39" s="3"/>
      <c r="JVN39" s="3"/>
      <c r="JVO39" s="3"/>
      <c r="JVP39" s="3"/>
      <c r="JVQ39" s="3"/>
      <c r="JVR39" s="3"/>
      <c r="JVS39" s="3"/>
      <c r="JVT39" s="3"/>
      <c r="JVU39" s="3"/>
      <c r="JVV39" s="3"/>
      <c r="JVW39" s="3"/>
      <c r="JVX39" s="3"/>
      <c r="JVY39" s="3"/>
      <c r="JVZ39" s="3"/>
      <c r="JWA39" s="3"/>
      <c r="JWB39" s="3"/>
      <c r="JWC39" s="3"/>
      <c r="JWD39" s="3"/>
      <c r="JWE39" s="3"/>
      <c r="JWF39" s="3"/>
      <c r="JWG39" s="3"/>
      <c r="JWH39" s="3"/>
      <c r="JWI39" s="3"/>
      <c r="JWJ39" s="3"/>
      <c r="JWK39" s="3"/>
      <c r="JWL39" s="3"/>
      <c r="JWM39" s="3"/>
      <c r="JWN39" s="3"/>
      <c r="JWO39" s="3"/>
      <c r="JWP39" s="3"/>
      <c r="JWQ39" s="3"/>
      <c r="JWR39" s="3"/>
      <c r="JWS39" s="3"/>
      <c r="JWT39" s="3"/>
      <c r="JWU39" s="3"/>
      <c r="JWV39" s="3"/>
      <c r="JWW39" s="3"/>
      <c r="JWX39" s="3"/>
      <c r="JWY39" s="3"/>
      <c r="JWZ39" s="3"/>
      <c r="JXA39" s="3"/>
      <c r="JXB39" s="3"/>
      <c r="JXC39" s="3"/>
      <c r="JXD39" s="3"/>
      <c r="JXE39" s="3"/>
      <c r="JXF39" s="3"/>
      <c r="JXG39" s="3"/>
      <c r="JXH39" s="3"/>
      <c r="JXI39" s="3"/>
      <c r="JXJ39" s="3"/>
      <c r="JXK39" s="3"/>
      <c r="JXL39" s="3"/>
      <c r="JXM39" s="3"/>
      <c r="JXN39" s="3"/>
      <c r="JXO39" s="3"/>
      <c r="JXP39" s="3"/>
      <c r="JXQ39" s="3"/>
      <c r="JXR39" s="3"/>
      <c r="JXS39" s="3"/>
      <c r="JXT39" s="3"/>
      <c r="JXU39" s="3"/>
      <c r="JXV39" s="3"/>
      <c r="JXW39" s="3"/>
      <c r="JXX39" s="3"/>
      <c r="JXY39" s="3"/>
      <c r="JXZ39" s="3"/>
      <c r="JYA39" s="3"/>
      <c r="JYB39" s="3"/>
      <c r="JYC39" s="3"/>
      <c r="JYD39" s="3"/>
      <c r="JYE39" s="3"/>
      <c r="JYF39" s="3"/>
      <c r="JYG39" s="3"/>
      <c r="JYH39" s="3"/>
      <c r="JYI39" s="3"/>
      <c r="JYJ39" s="3"/>
      <c r="JYK39" s="3"/>
      <c r="JYL39" s="3"/>
      <c r="JYM39" s="3"/>
      <c r="JYN39" s="3"/>
      <c r="JYO39" s="3"/>
      <c r="JYP39" s="3"/>
      <c r="JYQ39" s="3"/>
      <c r="JYR39" s="3"/>
      <c r="JYS39" s="3"/>
      <c r="JYT39" s="3"/>
      <c r="JYU39" s="3"/>
      <c r="JYV39" s="3"/>
      <c r="JYW39" s="3"/>
      <c r="JYX39" s="3"/>
      <c r="JYY39" s="3"/>
      <c r="JYZ39" s="3"/>
      <c r="JZA39" s="3"/>
      <c r="JZB39" s="3"/>
      <c r="JZC39" s="3"/>
      <c r="JZD39" s="3"/>
      <c r="JZE39" s="3"/>
      <c r="JZF39" s="3"/>
      <c r="JZG39" s="3"/>
      <c r="JZH39" s="3"/>
      <c r="JZI39" s="3"/>
      <c r="JZJ39" s="3"/>
      <c r="JZK39" s="3"/>
      <c r="JZL39" s="3"/>
      <c r="JZM39" s="3"/>
      <c r="JZN39" s="3"/>
      <c r="JZO39" s="3"/>
      <c r="JZP39" s="3"/>
      <c r="JZQ39" s="3"/>
      <c r="JZR39" s="3"/>
      <c r="JZS39" s="3"/>
      <c r="JZT39" s="3"/>
      <c r="JZU39" s="3"/>
      <c r="JZV39" s="3"/>
      <c r="JZW39" s="3"/>
      <c r="JZX39" s="3"/>
      <c r="JZY39" s="3"/>
      <c r="JZZ39" s="3"/>
      <c r="KAA39" s="3"/>
      <c r="KAB39" s="3"/>
      <c r="KAC39" s="3"/>
      <c r="KAD39" s="3"/>
      <c r="KAE39" s="3"/>
      <c r="KAF39" s="3"/>
      <c r="KAG39" s="3"/>
      <c r="KAH39" s="3"/>
      <c r="KAI39" s="3"/>
      <c r="KAJ39" s="3"/>
      <c r="KAK39" s="3"/>
      <c r="KAL39" s="3"/>
      <c r="KAM39" s="3"/>
      <c r="KAN39" s="3"/>
      <c r="KAO39" s="3"/>
      <c r="KAP39" s="3"/>
      <c r="KAQ39" s="3"/>
      <c r="KAR39" s="3"/>
      <c r="KAS39" s="3"/>
      <c r="KAT39" s="3"/>
      <c r="KAU39" s="3"/>
      <c r="KAV39" s="3"/>
      <c r="KAW39" s="3"/>
      <c r="KAX39" s="3"/>
      <c r="KAY39" s="3"/>
      <c r="KAZ39" s="3"/>
      <c r="KBA39" s="3"/>
      <c r="KBB39" s="3"/>
      <c r="KBC39" s="3"/>
      <c r="KBD39" s="3"/>
      <c r="KBE39" s="3"/>
      <c r="KBF39" s="3"/>
      <c r="KBG39" s="3"/>
      <c r="KBH39" s="3"/>
      <c r="KBI39" s="3"/>
      <c r="KBJ39" s="3"/>
      <c r="KBK39" s="3"/>
      <c r="KBL39" s="3"/>
      <c r="KBM39" s="3"/>
      <c r="KBN39" s="3"/>
      <c r="KBO39" s="3"/>
      <c r="KBP39" s="3"/>
      <c r="KBQ39" s="3"/>
      <c r="KBR39" s="3"/>
      <c r="KBS39" s="3"/>
      <c r="KBT39" s="3"/>
      <c r="KBU39" s="3"/>
      <c r="KBV39" s="3"/>
      <c r="KBW39" s="3"/>
      <c r="KBX39" s="3"/>
      <c r="KBY39" s="3"/>
      <c r="KBZ39" s="3"/>
      <c r="KCA39" s="3"/>
      <c r="KCB39" s="3"/>
      <c r="KCC39" s="3"/>
      <c r="KCD39" s="3"/>
      <c r="KCE39" s="3"/>
      <c r="KCF39" s="3"/>
      <c r="KCG39" s="3"/>
      <c r="KCH39" s="3"/>
      <c r="KCI39" s="3"/>
      <c r="KCJ39" s="3"/>
      <c r="KCK39" s="3"/>
      <c r="KCL39" s="3"/>
      <c r="KCM39" s="3"/>
      <c r="KCN39" s="3"/>
      <c r="KCO39" s="3"/>
      <c r="KCP39" s="3"/>
      <c r="KCQ39" s="3"/>
      <c r="KCR39" s="3"/>
      <c r="KCS39" s="3"/>
      <c r="KCT39" s="3"/>
      <c r="KCU39" s="3"/>
      <c r="KCV39" s="3"/>
      <c r="KCW39" s="3"/>
      <c r="KCX39" s="3"/>
      <c r="KCY39" s="3"/>
      <c r="KCZ39" s="3"/>
      <c r="KDA39" s="3"/>
      <c r="KDB39" s="3"/>
      <c r="KDC39" s="3"/>
      <c r="KDD39" s="3"/>
      <c r="KDE39" s="3"/>
      <c r="KDF39" s="3"/>
      <c r="KDG39" s="3"/>
      <c r="KDH39" s="3"/>
      <c r="KDI39" s="3"/>
      <c r="KDJ39" s="3"/>
      <c r="KDK39" s="3"/>
      <c r="KDL39" s="3"/>
      <c r="KDM39" s="3"/>
      <c r="KDN39" s="3"/>
      <c r="KDO39" s="3"/>
      <c r="KDP39" s="3"/>
      <c r="KDQ39" s="3"/>
      <c r="KDR39" s="3"/>
      <c r="KDS39" s="3"/>
      <c r="KDT39" s="3"/>
      <c r="KDU39" s="3"/>
      <c r="KDV39" s="3"/>
      <c r="KDW39" s="3"/>
      <c r="KDX39" s="3"/>
      <c r="KDY39" s="3"/>
      <c r="KDZ39" s="3"/>
      <c r="KEA39" s="3"/>
      <c r="KEB39" s="3"/>
      <c r="KEC39" s="3"/>
      <c r="KED39" s="3"/>
      <c r="KEE39" s="3"/>
      <c r="KEF39" s="3"/>
      <c r="KEG39" s="3"/>
      <c r="KEH39" s="3"/>
      <c r="KEI39" s="3"/>
      <c r="KEJ39" s="3"/>
      <c r="KEK39" s="3"/>
      <c r="KEL39" s="3"/>
      <c r="KEM39" s="3"/>
      <c r="KEN39" s="3"/>
      <c r="KEO39" s="3"/>
      <c r="KEP39" s="3"/>
      <c r="KEQ39" s="3"/>
      <c r="KER39" s="3"/>
      <c r="KES39" s="3"/>
      <c r="KET39" s="3"/>
      <c r="KEU39" s="3"/>
      <c r="KEV39" s="3"/>
      <c r="KEW39" s="3"/>
      <c r="KEX39" s="3"/>
      <c r="KEY39" s="3"/>
      <c r="KEZ39" s="3"/>
      <c r="KFA39" s="3"/>
      <c r="KFB39" s="3"/>
      <c r="KFC39" s="3"/>
      <c r="KFD39" s="3"/>
      <c r="KFE39" s="3"/>
      <c r="KFF39" s="3"/>
      <c r="KFG39" s="3"/>
      <c r="KFH39" s="3"/>
      <c r="KFI39" s="3"/>
      <c r="KFJ39" s="3"/>
      <c r="KFK39" s="3"/>
      <c r="KFL39" s="3"/>
      <c r="KFM39" s="3"/>
      <c r="KFN39" s="3"/>
      <c r="KFO39" s="3"/>
      <c r="KFP39" s="3"/>
      <c r="KFQ39" s="3"/>
      <c r="KFR39" s="3"/>
      <c r="KFS39" s="3"/>
      <c r="KFT39" s="3"/>
      <c r="KFU39" s="3"/>
      <c r="KFV39" s="3"/>
      <c r="KFW39" s="3"/>
      <c r="KFX39" s="3"/>
      <c r="KFY39" s="3"/>
      <c r="KFZ39" s="3"/>
      <c r="KGA39" s="3"/>
      <c r="KGB39" s="3"/>
      <c r="KGC39" s="3"/>
      <c r="KGD39" s="3"/>
      <c r="KGE39" s="3"/>
      <c r="KGF39" s="3"/>
      <c r="KGG39" s="3"/>
      <c r="KGH39" s="3"/>
      <c r="KGI39" s="3"/>
      <c r="KGJ39" s="3"/>
      <c r="KGK39" s="3"/>
      <c r="KGL39" s="3"/>
      <c r="KGM39" s="3"/>
      <c r="KGN39" s="3"/>
      <c r="KGO39" s="3"/>
      <c r="KGP39" s="3"/>
      <c r="KGQ39" s="3"/>
      <c r="KGR39" s="3"/>
      <c r="KGS39" s="3"/>
      <c r="KGT39" s="3"/>
      <c r="KGU39" s="3"/>
      <c r="KGV39" s="3"/>
      <c r="KGW39" s="3"/>
      <c r="KGX39" s="3"/>
      <c r="KGY39" s="3"/>
      <c r="KGZ39" s="3"/>
      <c r="KHA39" s="3"/>
      <c r="KHB39" s="3"/>
      <c r="KHC39" s="3"/>
      <c r="KHD39" s="3"/>
      <c r="KHE39" s="3"/>
      <c r="KHF39" s="3"/>
      <c r="KHG39" s="3"/>
      <c r="KHH39" s="3"/>
      <c r="KHI39" s="3"/>
      <c r="KHJ39" s="3"/>
      <c r="KHK39" s="3"/>
      <c r="KHL39" s="3"/>
      <c r="KHM39" s="3"/>
      <c r="KHN39" s="3"/>
      <c r="KHO39" s="3"/>
      <c r="KHP39" s="3"/>
      <c r="KHQ39" s="3"/>
      <c r="KHR39" s="3"/>
      <c r="KHS39" s="3"/>
      <c r="KHT39" s="3"/>
      <c r="KHU39" s="3"/>
      <c r="KHV39" s="3"/>
      <c r="KHW39" s="3"/>
      <c r="KHX39" s="3"/>
      <c r="KHY39" s="3"/>
      <c r="KHZ39" s="3"/>
      <c r="KIA39" s="3"/>
      <c r="KIB39" s="3"/>
      <c r="KIC39" s="3"/>
      <c r="KID39" s="3"/>
      <c r="KIE39" s="3"/>
      <c r="KIF39" s="3"/>
      <c r="KIG39" s="3"/>
      <c r="KIH39" s="3"/>
      <c r="KII39" s="3"/>
      <c r="KIJ39" s="3"/>
      <c r="KIK39" s="3"/>
      <c r="KIL39" s="3"/>
      <c r="KIM39" s="3"/>
      <c r="KIN39" s="3"/>
      <c r="KIO39" s="3"/>
      <c r="KIP39" s="3"/>
      <c r="KIQ39" s="3"/>
      <c r="KIR39" s="3"/>
      <c r="KIS39" s="3"/>
      <c r="KIT39" s="3"/>
      <c r="KIU39" s="3"/>
      <c r="KIV39" s="3"/>
      <c r="KIW39" s="3"/>
      <c r="KIX39" s="3"/>
      <c r="KIY39" s="3"/>
      <c r="KIZ39" s="3"/>
      <c r="KJA39" s="3"/>
      <c r="KJB39" s="3"/>
      <c r="KJC39" s="3"/>
      <c r="KJD39" s="3"/>
      <c r="KJE39" s="3"/>
      <c r="KJF39" s="3"/>
      <c r="KJG39" s="3"/>
      <c r="KJH39" s="3"/>
      <c r="KJI39" s="3"/>
      <c r="KJJ39" s="3"/>
      <c r="KJK39" s="3"/>
      <c r="KJL39" s="3"/>
      <c r="KJM39" s="3"/>
      <c r="KJN39" s="3"/>
      <c r="KJO39" s="3"/>
      <c r="KJP39" s="3"/>
      <c r="KJQ39" s="3"/>
      <c r="KJR39" s="3"/>
      <c r="KJS39" s="3"/>
      <c r="KJT39" s="3"/>
      <c r="KJU39" s="3"/>
      <c r="KJV39" s="3"/>
      <c r="KJW39" s="3"/>
      <c r="KJX39" s="3"/>
      <c r="KJY39" s="3"/>
      <c r="KJZ39" s="3"/>
      <c r="KKA39" s="3"/>
      <c r="KKB39" s="3"/>
      <c r="KKC39" s="3"/>
      <c r="KKD39" s="3"/>
      <c r="KKE39" s="3"/>
      <c r="KKF39" s="3"/>
      <c r="KKG39" s="3"/>
      <c r="KKH39" s="3"/>
      <c r="KKI39" s="3"/>
      <c r="KKJ39" s="3"/>
      <c r="KKK39" s="3"/>
      <c r="KKL39" s="3"/>
      <c r="KKM39" s="3"/>
      <c r="KKN39" s="3"/>
      <c r="KKO39" s="3"/>
      <c r="KKP39" s="3"/>
      <c r="KKQ39" s="3"/>
      <c r="KKR39" s="3"/>
      <c r="KKS39" s="3"/>
      <c r="KKT39" s="3"/>
      <c r="KKU39" s="3"/>
      <c r="KKV39" s="3"/>
      <c r="KKW39" s="3"/>
      <c r="KKX39" s="3"/>
      <c r="KKY39" s="3"/>
      <c r="KKZ39" s="3"/>
      <c r="KLA39" s="3"/>
      <c r="KLB39" s="3"/>
      <c r="KLC39" s="3"/>
      <c r="KLD39" s="3"/>
      <c r="KLE39" s="3"/>
      <c r="KLF39" s="3"/>
      <c r="KLG39" s="3"/>
      <c r="KLH39" s="3"/>
      <c r="KLI39" s="3"/>
      <c r="KLJ39" s="3"/>
      <c r="KLK39" s="3"/>
      <c r="KLL39" s="3"/>
      <c r="KLM39" s="3"/>
      <c r="KLN39" s="3"/>
      <c r="KLO39" s="3"/>
      <c r="KLP39" s="3"/>
      <c r="KLQ39" s="3"/>
      <c r="KLR39" s="3"/>
      <c r="KLS39" s="3"/>
      <c r="KLT39" s="3"/>
      <c r="KLU39" s="3"/>
      <c r="KLV39" s="3"/>
      <c r="KLW39" s="3"/>
      <c r="KLX39" s="3"/>
      <c r="KLY39" s="3"/>
      <c r="KLZ39" s="3"/>
      <c r="KMA39" s="3"/>
      <c r="KMB39" s="3"/>
      <c r="KMC39" s="3"/>
      <c r="KMD39" s="3"/>
      <c r="KME39" s="3"/>
      <c r="KMF39" s="3"/>
      <c r="KMG39" s="3"/>
      <c r="KMH39" s="3"/>
      <c r="KMI39" s="3"/>
      <c r="KMJ39" s="3"/>
      <c r="KMK39" s="3"/>
      <c r="KML39" s="3"/>
      <c r="KMM39" s="3"/>
      <c r="KMN39" s="3"/>
      <c r="KMO39" s="3"/>
      <c r="KMP39" s="3"/>
      <c r="KMQ39" s="3"/>
      <c r="KMR39" s="3"/>
      <c r="KMS39" s="3"/>
      <c r="KMT39" s="3"/>
      <c r="KMU39" s="3"/>
      <c r="KMV39" s="3"/>
      <c r="KMW39" s="3"/>
      <c r="KMX39" s="3"/>
      <c r="KMY39" s="3"/>
      <c r="KMZ39" s="3"/>
      <c r="KNA39" s="3"/>
      <c r="KNB39" s="3"/>
      <c r="KNC39" s="3"/>
      <c r="KND39" s="3"/>
      <c r="KNE39" s="3"/>
      <c r="KNF39" s="3"/>
      <c r="KNG39" s="3"/>
      <c r="KNH39" s="3"/>
      <c r="KNI39" s="3"/>
      <c r="KNJ39" s="3"/>
      <c r="KNK39" s="3"/>
      <c r="KNL39" s="3"/>
      <c r="KNM39" s="3"/>
      <c r="KNN39" s="3"/>
      <c r="KNO39" s="3"/>
      <c r="KNP39" s="3"/>
      <c r="KNQ39" s="3"/>
      <c r="KNR39" s="3"/>
      <c r="KNS39" s="3"/>
      <c r="KNT39" s="3"/>
      <c r="KNU39" s="3"/>
      <c r="KNV39" s="3"/>
      <c r="KNW39" s="3"/>
      <c r="KNX39" s="3"/>
      <c r="KNY39" s="3"/>
      <c r="KNZ39" s="3"/>
      <c r="KOA39" s="3"/>
      <c r="KOB39" s="3"/>
      <c r="KOC39" s="3"/>
      <c r="KOD39" s="3"/>
      <c r="KOE39" s="3"/>
      <c r="KOF39" s="3"/>
      <c r="KOG39" s="3"/>
      <c r="KOH39" s="3"/>
      <c r="KOI39" s="3"/>
      <c r="KOJ39" s="3"/>
      <c r="KOK39" s="3"/>
      <c r="KOL39" s="3"/>
      <c r="KOM39" s="3"/>
      <c r="KON39" s="3"/>
      <c r="KOO39" s="3"/>
      <c r="KOP39" s="3"/>
      <c r="KOQ39" s="3"/>
      <c r="KOR39" s="3"/>
      <c r="KOS39" s="3"/>
      <c r="KOT39" s="3"/>
      <c r="KOU39" s="3"/>
      <c r="KOV39" s="3"/>
      <c r="KOW39" s="3"/>
      <c r="KOX39" s="3"/>
      <c r="KOY39" s="3"/>
      <c r="KOZ39" s="3"/>
      <c r="KPA39" s="3"/>
      <c r="KPB39" s="3"/>
      <c r="KPC39" s="3"/>
      <c r="KPD39" s="3"/>
      <c r="KPE39" s="3"/>
      <c r="KPF39" s="3"/>
      <c r="KPG39" s="3"/>
      <c r="KPH39" s="3"/>
      <c r="KPI39" s="3"/>
      <c r="KPJ39" s="3"/>
      <c r="KPK39" s="3"/>
      <c r="KPL39" s="3"/>
      <c r="KPM39" s="3"/>
      <c r="KPN39" s="3"/>
      <c r="KPO39" s="3"/>
      <c r="KPP39" s="3"/>
      <c r="KPQ39" s="3"/>
      <c r="KPR39" s="3"/>
      <c r="KPS39" s="3"/>
      <c r="KPT39" s="3"/>
      <c r="KPU39" s="3"/>
      <c r="KPV39" s="3"/>
      <c r="KPW39" s="3"/>
      <c r="KPX39" s="3"/>
      <c r="KPY39" s="3"/>
      <c r="KPZ39" s="3"/>
      <c r="KQA39" s="3"/>
      <c r="KQB39" s="3"/>
      <c r="KQC39" s="3"/>
      <c r="KQD39" s="3"/>
      <c r="KQE39" s="3"/>
      <c r="KQF39" s="3"/>
      <c r="KQG39" s="3"/>
      <c r="KQH39" s="3"/>
      <c r="KQI39" s="3"/>
      <c r="KQJ39" s="3"/>
      <c r="KQK39" s="3"/>
      <c r="KQL39" s="3"/>
      <c r="KQM39" s="3"/>
      <c r="KQN39" s="3"/>
      <c r="KQO39" s="3"/>
      <c r="KQP39" s="3"/>
      <c r="KQQ39" s="3"/>
      <c r="KQR39" s="3"/>
      <c r="KQS39" s="3"/>
      <c r="KQT39" s="3"/>
      <c r="KQU39" s="3"/>
      <c r="KQV39" s="3"/>
      <c r="KQW39" s="3"/>
      <c r="KQX39" s="3"/>
      <c r="KQY39" s="3"/>
      <c r="KQZ39" s="3"/>
      <c r="KRA39" s="3"/>
      <c r="KRB39" s="3"/>
      <c r="KRC39" s="3"/>
      <c r="KRD39" s="3"/>
      <c r="KRE39" s="3"/>
      <c r="KRF39" s="3"/>
      <c r="KRG39" s="3"/>
      <c r="KRH39" s="3"/>
      <c r="KRI39" s="3"/>
      <c r="KRJ39" s="3"/>
      <c r="KRK39" s="3"/>
      <c r="KRL39" s="3"/>
      <c r="KRM39" s="3"/>
      <c r="KRN39" s="3"/>
      <c r="KRO39" s="3"/>
      <c r="KRP39" s="3"/>
      <c r="KRQ39" s="3"/>
      <c r="KRR39" s="3"/>
      <c r="KRS39" s="3"/>
      <c r="KRT39" s="3"/>
      <c r="KRU39" s="3"/>
      <c r="KRV39" s="3"/>
      <c r="KRW39" s="3"/>
      <c r="KRX39" s="3"/>
      <c r="KRY39" s="3"/>
      <c r="KRZ39" s="3"/>
      <c r="KSA39" s="3"/>
      <c r="KSB39" s="3"/>
      <c r="KSC39" s="3"/>
      <c r="KSD39" s="3"/>
      <c r="KSE39" s="3"/>
      <c r="KSF39" s="3"/>
      <c r="KSG39" s="3"/>
      <c r="KSH39" s="3"/>
      <c r="KSI39" s="3"/>
      <c r="KSJ39" s="3"/>
      <c r="KSK39" s="3"/>
      <c r="KSL39" s="3"/>
      <c r="KSM39" s="3"/>
      <c r="KSN39" s="3"/>
      <c r="KSO39" s="3"/>
      <c r="KSP39" s="3"/>
      <c r="KSQ39" s="3"/>
      <c r="KSR39" s="3"/>
      <c r="KSS39" s="3"/>
      <c r="KST39" s="3"/>
      <c r="KSU39" s="3"/>
      <c r="KSV39" s="3"/>
      <c r="KSW39" s="3"/>
      <c r="KSX39" s="3"/>
      <c r="KSY39" s="3"/>
      <c r="KSZ39" s="3"/>
      <c r="KTA39" s="3"/>
      <c r="KTB39" s="3"/>
      <c r="KTC39" s="3"/>
      <c r="KTD39" s="3"/>
      <c r="KTE39" s="3"/>
      <c r="KTF39" s="3"/>
      <c r="KTG39" s="3"/>
      <c r="KTH39" s="3"/>
      <c r="KTI39" s="3"/>
      <c r="KTJ39" s="3"/>
      <c r="KTK39" s="3"/>
      <c r="KTL39" s="3"/>
      <c r="KTM39" s="3"/>
      <c r="KTN39" s="3"/>
      <c r="KTO39" s="3"/>
      <c r="KTP39" s="3"/>
      <c r="KTQ39" s="3"/>
      <c r="KTR39" s="3"/>
      <c r="KTS39" s="3"/>
      <c r="KTT39" s="3"/>
      <c r="KTU39" s="3"/>
      <c r="KTV39" s="3"/>
      <c r="KTW39" s="3"/>
      <c r="KTX39" s="3"/>
      <c r="KTY39" s="3"/>
      <c r="KTZ39" s="3"/>
      <c r="KUA39" s="3"/>
      <c r="KUB39" s="3"/>
      <c r="KUC39" s="3"/>
      <c r="KUD39" s="3"/>
      <c r="KUE39" s="3"/>
      <c r="KUF39" s="3"/>
      <c r="KUG39" s="3"/>
      <c r="KUH39" s="3"/>
      <c r="KUI39" s="3"/>
      <c r="KUJ39" s="3"/>
      <c r="KUK39" s="3"/>
      <c r="KUL39" s="3"/>
      <c r="KUM39" s="3"/>
      <c r="KUN39" s="3"/>
      <c r="KUO39" s="3"/>
      <c r="KUP39" s="3"/>
      <c r="KUQ39" s="3"/>
      <c r="KUR39" s="3"/>
      <c r="KUS39" s="3"/>
      <c r="KUT39" s="3"/>
      <c r="KUU39" s="3"/>
      <c r="KUV39" s="3"/>
      <c r="KUW39" s="3"/>
      <c r="KUX39" s="3"/>
      <c r="KUY39" s="3"/>
      <c r="KUZ39" s="3"/>
      <c r="KVA39" s="3"/>
      <c r="KVB39" s="3"/>
      <c r="KVC39" s="3"/>
      <c r="KVD39" s="3"/>
      <c r="KVE39" s="3"/>
      <c r="KVF39" s="3"/>
      <c r="KVG39" s="3"/>
      <c r="KVH39" s="3"/>
      <c r="KVI39" s="3"/>
      <c r="KVJ39" s="3"/>
      <c r="KVK39" s="3"/>
      <c r="KVL39" s="3"/>
      <c r="KVM39" s="3"/>
      <c r="KVN39" s="3"/>
      <c r="KVO39" s="3"/>
      <c r="KVP39" s="3"/>
      <c r="KVQ39" s="3"/>
      <c r="KVR39" s="3"/>
      <c r="KVS39" s="3"/>
      <c r="KVT39" s="3"/>
      <c r="KVU39" s="3"/>
      <c r="KVV39" s="3"/>
      <c r="KVW39" s="3"/>
      <c r="KVX39" s="3"/>
      <c r="KVY39" s="3"/>
      <c r="KVZ39" s="3"/>
      <c r="KWA39" s="3"/>
      <c r="KWB39" s="3"/>
      <c r="KWC39" s="3"/>
      <c r="KWD39" s="3"/>
      <c r="KWE39" s="3"/>
      <c r="KWF39" s="3"/>
      <c r="KWG39" s="3"/>
      <c r="KWH39" s="3"/>
      <c r="KWI39" s="3"/>
      <c r="KWJ39" s="3"/>
      <c r="KWK39" s="3"/>
      <c r="KWL39" s="3"/>
      <c r="KWM39" s="3"/>
      <c r="KWN39" s="3"/>
      <c r="KWO39" s="3"/>
      <c r="KWP39" s="3"/>
      <c r="KWQ39" s="3"/>
      <c r="KWR39" s="3"/>
      <c r="KWS39" s="3"/>
      <c r="KWT39" s="3"/>
      <c r="KWU39" s="3"/>
      <c r="KWV39" s="3"/>
      <c r="KWW39" s="3"/>
      <c r="KWX39" s="3"/>
      <c r="KWY39" s="3"/>
      <c r="KWZ39" s="3"/>
      <c r="KXA39" s="3"/>
      <c r="KXB39" s="3"/>
      <c r="KXC39" s="3"/>
      <c r="KXD39" s="3"/>
      <c r="KXE39" s="3"/>
      <c r="KXF39" s="3"/>
      <c r="KXG39" s="3"/>
      <c r="KXH39" s="3"/>
      <c r="KXI39" s="3"/>
      <c r="KXJ39" s="3"/>
      <c r="KXK39" s="3"/>
      <c r="KXL39" s="3"/>
      <c r="KXM39" s="3"/>
      <c r="KXN39" s="3"/>
      <c r="KXO39" s="3"/>
      <c r="KXP39" s="3"/>
      <c r="KXQ39" s="3"/>
      <c r="KXR39" s="3"/>
      <c r="KXS39" s="3"/>
      <c r="KXT39" s="3"/>
      <c r="KXU39" s="3"/>
      <c r="KXV39" s="3"/>
      <c r="KXW39" s="3"/>
      <c r="KXX39" s="3"/>
      <c r="KXY39" s="3"/>
      <c r="KXZ39" s="3"/>
      <c r="KYA39" s="3"/>
      <c r="KYB39" s="3"/>
      <c r="KYC39" s="3"/>
      <c r="KYD39" s="3"/>
      <c r="KYE39" s="3"/>
      <c r="KYF39" s="3"/>
      <c r="KYG39" s="3"/>
      <c r="KYH39" s="3"/>
      <c r="KYI39" s="3"/>
      <c r="KYJ39" s="3"/>
      <c r="KYK39" s="3"/>
      <c r="KYL39" s="3"/>
      <c r="KYM39" s="3"/>
      <c r="KYN39" s="3"/>
      <c r="KYO39" s="3"/>
      <c r="KYP39" s="3"/>
      <c r="KYQ39" s="3"/>
      <c r="KYR39" s="3"/>
      <c r="KYS39" s="3"/>
      <c r="KYT39" s="3"/>
      <c r="KYU39" s="3"/>
      <c r="KYV39" s="3"/>
      <c r="KYW39" s="3"/>
      <c r="KYX39" s="3"/>
      <c r="KYY39" s="3"/>
      <c r="KYZ39" s="3"/>
      <c r="KZA39" s="3"/>
      <c r="KZB39" s="3"/>
      <c r="KZC39" s="3"/>
      <c r="KZD39" s="3"/>
      <c r="KZE39" s="3"/>
      <c r="KZF39" s="3"/>
      <c r="KZG39" s="3"/>
      <c r="KZH39" s="3"/>
      <c r="KZI39" s="3"/>
      <c r="KZJ39" s="3"/>
      <c r="KZK39" s="3"/>
      <c r="KZL39" s="3"/>
      <c r="KZM39" s="3"/>
      <c r="KZN39" s="3"/>
      <c r="KZO39" s="3"/>
      <c r="KZP39" s="3"/>
      <c r="KZQ39" s="3"/>
      <c r="KZR39" s="3"/>
      <c r="KZS39" s="3"/>
      <c r="KZT39" s="3"/>
      <c r="KZU39" s="3"/>
      <c r="KZV39" s="3"/>
      <c r="KZW39" s="3"/>
      <c r="KZX39" s="3"/>
      <c r="KZY39" s="3"/>
      <c r="KZZ39" s="3"/>
      <c r="LAA39" s="3"/>
      <c r="LAB39" s="3"/>
      <c r="LAC39" s="3"/>
      <c r="LAD39" s="3"/>
      <c r="LAE39" s="3"/>
      <c r="LAF39" s="3"/>
      <c r="LAG39" s="3"/>
      <c r="LAH39" s="3"/>
      <c r="LAI39" s="3"/>
      <c r="LAJ39" s="3"/>
      <c r="LAK39" s="3"/>
      <c r="LAL39" s="3"/>
      <c r="LAM39" s="3"/>
      <c r="LAN39" s="3"/>
      <c r="LAO39" s="3"/>
      <c r="LAP39" s="3"/>
      <c r="LAQ39" s="3"/>
      <c r="LAR39" s="3"/>
      <c r="LAS39" s="3"/>
      <c r="LAT39" s="3"/>
      <c r="LAU39" s="3"/>
      <c r="LAV39" s="3"/>
      <c r="LAW39" s="3"/>
      <c r="LAX39" s="3"/>
      <c r="LAY39" s="3"/>
      <c r="LAZ39" s="3"/>
      <c r="LBA39" s="3"/>
      <c r="LBB39" s="3"/>
      <c r="LBC39" s="3"/>
      <c r="LBD39" s="3"/>
      <c r="LBE39" s="3"/>
      <c r="LBF39" s="3"/>
      <c r="LBG39" s="3"/>
      <c r="LBH39" s="3"/>
      <c r="LBI39" s="3"/>
      <c r="LBJ39" s="3"/>
      <c r="LBK39" s="3"/>
      <c r="LBL39" s="3"/>
      <c r="LBM39" s="3"/>
      <c r="LBN39" s="3"/>
      <c r="LBO39" s="3"/>
      <c r="LBP39" s="3"/>
      <c r="LBQ39" s="3"/>
      <c r="LBR39" s="3"/>
      <c r="LBS39" s="3"/>
      <c r="LBT39" s="3"/>
      <c r="LBU39" s="3"/>
      <c r="LBV39" s="3"/>
      <c r="LBW39" s="3"/>
      <c r="LBX39" s="3"/>
      <c r="LBY39" s="3"/>
      <c r="LBZ39" s="3"/>
      <c r="LCA39" s="3"/>
      <c r="LCB39" s="3"/>
      <c r="LCC39" s="3"/>
      <c r="LCD39" s="3"/>
      <c r="LCE39" s="3"/>
      <c r="LCF39" s="3"/>
      <c r="LCG39" s="3"/>
      <c r="LCH39" s="3"/>
      <c r="LCI39" s="3"/>
      <c r="LCJ39" s="3"/>
      <c r="LCK39" s="3"/>
      <c r="LCL39" s="3"/>
      <c r="LCM39" s="3"/>
      <c r="LCN39" s="3"/>
      <c r="LCO39" s="3"/>
      <c r="LCP39" s="3"/>
      <c r="LCQ39" s="3"/>
      <c r="LCR39" s="3"/>
      <c r="LCS39" s="3"/>
      <c r="LCT39" s="3"/>
      <c r="LCU39" s="3"/>
      <c r="LCV39" s="3"/>
      <c r="LCW39" s="3"/>
      <c r="LCX39" s="3"/>
      <c r="LCY39" s="3"/>
      <c r="LCZ39" s="3"/>
      <c r="LDA39" s="3"/>
      <c r="LDB39" s="3"/>
      <c r="LDC39" s="3"/>
      <c r="LDD39" s="3"/>
      <c r="LDE39" s="3"/>
      <c r="LDF39" s="3"/>
      <c r="LDG39" s="3"/>
      <c r="LDH39" s="3"/>
      <c r="LDI39" s="3"/>
      <c r="LDJ39" s="3"/>
      <c r="LDK39" s="3"/>
      <c r="LDL39" s="3"/>
      <c r="LDM39" s="3"/>
      <c r="LDN39" s="3"/>
      <c r="LDO39" s="3"/>
      <c r="LDP39" s="3"/>
      <c r="LDQ39" s="3"/>
      <c r="LDR39" s="3"/>
      <c r="LDS39" s="3"/>
      <c r="LDT39" s="3"/>
      <c r="LDU39" s="3"/>
      <c r="LDV39" s="3"/>
      <c r="LDW39" s="3"/>
      <c r="LDX39" s="3"/>
      <c r="LDY39" s="3"/>
      <c r="LDZ39" s="3"/>
      <c r="LEA39" s="3"/>
      <c r="LEB39" s="3"/>
      <c r="LEC39" s="3"/>
      <c r="LED39" s="3"/>
      <c r="LEE39" s="3"/>
      <c r="LEF39" s="3"/>
      <c r="LEG39" s="3"/>
      <c r="LEH39" s="3"/>
      <c r="LEI39" s="3"/>
      <c r="LEJ39" s="3"/>
      <c r="LEK39" s="3"/>
      <c r="LEL39" s="3"/>
      <c r="LEM39" s="3"/>
      <c r="LEN39" s="3"/>
      <c r="LEO39" s="3"/>
      <c r="LEP39" s="3"/>
      <c r="LEQ39" s="3"/>
      <c r="LER39" s="3"/>
      <c r="LES39" s="3"/>
      <c r="LET39" s="3"/>
      <c r="LEU39" s="3"/>
      <c r="LEV39" s="3"/>
      <c r="LEW39" s="3"/>
      <c r="LEX39" s="3"/>
      <c r="LEY39" s="3"/>
      <c r="LEZ39" s="3"/>
      <c r="LFA39" s="3"/>
      <c r="LFB39" s="3"/>
      <c r="LFC39" s="3"/>
      <c r="LFD39" s="3"/>
      <c r="LFE39" s="3"/>
      <c r="LFF39" s="3"/>
      <c r="LFG39" s="3"/>
      <c r="LFH39" s="3"/>
      <c r="LFI39" s="3"/>
      <c r="LFJ39" s="3"/>
      <c r="LFK39" s="3"/>
      <c r="LFL39" s="3"/>
      <c r="LFM39" s="3"/>
      <c r="LFN39" s="3"/>
      <c r="LFO39" s="3"/>
      <c r="LFP39" s="3"/>
      <c r="LFQ39" s="3"/>
      <c r="LFR39" s="3"/>
      <c r="LFS39" s="3"/>
      <c r="LFT39" s="3"/>
      <c r="LFU39" s="3"/>
      <c r="LFV39" s="3"/>
      <c r="LFW39" s="3"/>
      <c r="LFX39" s="3"/>
      <c r="LFY39" s="3"/>
      <c r="LFZ39" s="3"/>
      <c r="LGA39" s="3"/>
      <c r="LGB39" s="3"/>
      <c r="LGC39" s="3"/>
      <c r="LGD39" s="3"/>
      <c r="LGE39" s="3"/>
      <c r="LGF39" s="3"/>
      <c r="LGG39" s="3"/>
      <c r="LGH39" s="3"/>
      <c r="LGI39" s="3"/>
      <c r="LGJ39" s="3"/>
      <c r="LGK39" s="3"/>
      <c r="LGL39" s="3"/>
      <c r="LGM39" s="3"/>
      <c r="LGN39" s="3"/>
      <c r="LGO39" s="3"/>
      <c r="LGP39" s="3"/>
      <c r="LGQ39" s="3"/>
      <c r="LGR39" s="3"/>
      <c r="LGS39" s="3"/>
      <c r="LGT39" s="3"/>
      <c r="LGU39" s="3"/>
      <c r="LGV39" s="3"/>
      <c r="LGW39" s="3"/>
      <c r="LGX39" s="3"/>
      <c r="LGY39" s="3"/>
      <c r="LGZ39" s="3"/>
      <c r="LHA39" s="3"/>
      <c r="LHB39" s="3"/>
      <c r="LHC39" s="3"/>
      <c r="LHD39" s="3"/>
      <c r="LHE39" s="3"/>
      <c r="LHF39" s="3"/>
      <c r="LHG39" s="3"/>
      <c r="LHH39" s="3"/>
      <c r="LHI39" s="3"/>
      <c r="LHJ39" s="3"/>
      <c r="LHK39" s="3"/>
      <c r="LHL39" s="3"/>
      <c r="LHM39" s="3"/>
      <c r="LHN39" s="3"/>
      <c r="LHO39" s="3"/>
      <c r="LHP39" s="3"/>
      <c r="LHQ39" s="3"/>
      <c r="LHR39" s="3"/>
      <c r="LHS39" s="3"/>
      <c r="LHT39" s="3"/>
      <c r="LHU39" s="3"/>
      <c r="LHV39" s="3"/>
      <c r="LHW39" s="3"/>
      <c r="LHX39" s="3"/>
      <c r="LHY39" s="3"/>
      <c r="LHZ39" s="3"/>
      <c r="LIA39" s="3"/>
      <c r="LIB39" s="3"/>
      <c r="LIC39" s="3"/>
      <c r="LID39" s="3"/>
      <c r="LIE39" s="3"/>
      <c r="LIF39" s="3"/>
      <c r="LIG39" s="3"/>
      <c r="LIH39" s="3"/>
      <c r="LII39" s="3"/>
      <c r="LIJ39" s="3"/>
      <c r="LIK39" s="3"/>
      <c r="LIL39" s="3"/>
      <c r="LIM39" s="3"/>
      <c r="LIN39" s="3"/>
      <c r="LIO39" s="3"/>
      <c r="LIP39" s="3"/>
      <c r="LIQ39" s="3"/>
      <c r="LIR39" s="3"/>
      <c r="LIS39" s="3"/>
      <c r="LIT39" s="3"/>
      <c r="LIU39" s="3"/>
      <c r="LIV39" s="3"/>
      <c r="LIW39" s="3"/>
      <c r="LIX39" s="3"/>
      <c r="LIY39" s="3"/>
      <c r="LIZ39" s="3"/>
      <c r="LJA39" s="3"/>
      <c r="LJB39" s="3"/>
      <c r="LJC39" s="3"/>
      <c r="LJD39" s="3"/>
      <c r="LJE39" s="3"/>
      <c r="LJF39" s="3"/>
      <c r="LJG39" s="3"/>
      <c r="LJH39" s="3"/>
      <c r="LJI39" s="3"/>
      <c r="LJJ39" s="3"/>
      <c r="LJK39" s="3"/>
      <c r="LJL39" s="3"/>
      <c r="LJM39" s="3"/>
      <c r="LJN39" s="3"/>
      <c r="LJO39" s="3"/>
      <c r="LJP39" s="3"/>
      <c r="LJQ39" s="3"/>
      <c r="LJR39" s="3"/>
      <c r="LJS39" s="3"/>
      <c r="LJT39" s="3"/>
      <c r="LJU39" s="3"/>
      <c r="LJV39" s="3"/>
      <c r="LJW39" s="3"/>
      <c r="LJX39" s="3"/>
      <c r="LJY39" s="3"/>
      <c r="LJZ39" s="3"/>
      <c r="LKA39" s="3"/>
      <c r="LKB39" s="3"/>
      <c r="LKC39" s="3"/>
      <c r="LKD39" s="3"/>
      <c r="LKE39" s="3"/>
      <c r="LKF39" s="3"/>
      <c r="LKG39" s="3"/>
      <c r="LKH39" s="3"/>
      <c r="LKI39" s="3"/>
      <c r="LKJ39" s="3"/>
      <c r="LKK39" s="3"/>
      <c r="LKL39" s="3"/>
      <c r="LKM39" s="3"/>
      <c r="LKN39" s="3"/>
      <c r="LKO39" s="3"/>
      <c r="LKP39" s="3"/>
      <c r="LKQ39" s="3"/>
      <c r="LKR39" s="3"/>
      <c r="LKS39" s="3"/>
      <c r="LKT39" s="3"/>
      <c r="LKU39" s="3"/>
      <c r="LKV39" s="3"/>
      <c r="LKW39" s="3"/>
      <c r="LKX39" s="3"/>
      <c r="LKY39" s="3"/>
      <c r="LKZ39" s="3"/>
      <c r="LLA39" s="3"/>
      <c r="LLB39" s="3"/>
      <c r="LLC39" s="3"/>
      <c r="LLD39" s="3"/>
      <c r="LLE39" s="3"/>
      <c r="LLF39" s="3"/>
      <c r="LLG39" s="3"/>
      <c r="LLH39" s="3"/>
      <c r="LLI39" s="3"/>
      <c r="LLJ39" s="3"/>
      <c r="LLK39" s="3"/>
      <c r="LLL39" s="3"/>
      <c r="LLM39" s="3"/>
      <c r="LLN39" s="3"/>
      <c r="LLO39" s="3"/>
      <c r="LLP39" s="3"/>
      <c r="LLQ39" s="3"/>
      <c r="LLR39" s="3"/>
      <c r="LLS39" s="3"/>
      <c r="LLT39" s="3"/>
      <c r="LLU39" s="3"/>
      <c r="LLV39" s="3"/>
      <c r="LLW39" s="3"/>
      <c r="LLX39" s="3"/>
      <c r="LLY39" s="3"/>
      <c r="LLZ39" s="3"/>
      <c r="LMA39" s="3"/>
      <c r="LMB39" s="3"/>
      <c r="LMC39" s="3"/>
      <c r="LMD39" s="3"/>
      <c r="LME39" s="3"/>
      <c r="LMF39" s="3"/>
      <c r="LMG39" s="3"/>
      <c r="LMH39" s="3"/>
      <c r="LMI39" s="3"/>
      <c r="LMJ39" s="3"/>
      <c r="LMK39" s="3"/>
      <c r="LML39" s="3"/>
      <c r="LMM39" s="3"/>
      <c r="LMN39" s="3"/>
      <c r="LMO39" s="3"/>
      <c r="LMP39" s="3"/>
      <c r="LMQ39" s="3"/>
      <c r="LMR39" s="3"/>
      <c r="LMS39" s="3"/>
      <c r="LMT39" s="3"/>
      <c r="LMU39" s="3"/>
      <c r="LMV39" s="3"/>
      <c r="LMW39" s="3"/>
      <c r="LMX39" s="3"/>
      <c r="LMY39" s="3"/>
      <c r="LMZ39" s="3"/>
      <c r="LNA39" s="3"/>
      <c r="LNB39" s="3"/>
      <c r="LNC39" s="3"/>
      <c r="LND39" s="3"/>
      <c r="LNE39" s="3"/>
      <c r="LNF39" s="3"/>
      <c r="LNG39" s="3"/>
      <c r="LNH39" s="3"/>
      <c r="LNI39" s="3"/>
      <c r="LNJ39" s="3"/>
      <c r="LNK39" s="3"/>
      <c r="LNL39" s="3"/>
      <c r="LNM39" s="3"/>
      <c r="LNN39" s="3"/>
      <c r="LNO39" s="3"/>
      <c r="LNP39" s="3"/>
      <c r="LNQ39" s="3"/>
      <c r="LNR39" s="3"/>
      <c r="LNS39" s="3"/>
      <c r="LNT39" s="3"/>
      <c r="LNU39" s="3"/>
      <c r="LNV39" s="3"/>
      <c r="LNW39" s="3"/>
      <c r="LNX39" s="3"/>
      <c r="LNY39" s="3"/>
      <c r="LNZ39" s="3"/>
      <c r="LOA39" s="3"/>
      <c r="LOB39" s="3"/>
      <c r="LOC39" s="3"/>
      <c r="LOD39" s="3"/>
      <c r="LOE39" s="3"/>
      <c r="LOF39" s="3"/>
      <c r="LOG39" s="3"/>
      <c r="LOH39" s="3"/>
      <c r="LOI39" s="3"/>
      <c r="LOJ39" s="3"/>
      <c r="LOK39" s="3"/>
      <c r="LOL39" s="3"/>
      <c r="LOM39" s="3"/>
      <c r="LON39" s="3"/>
      <c r="LOO39" s="3"/>
      <c r="LOP39" s="3"/>
      <c r="LOQ39" s="3"/>
      <c r="LOR39" s="3"/>
      <c r="LOS39" s="3"/>
      <c r="LOT39" s="3"/>
      <c r="LOU39" s="3"/>
      <c r="LOV39" s="3"/>
      <c r="LOW39" s="3"/>
      <c r="LOX39" s="3"/>
      <c r="LOY39" s="3"/>
      <c r="LOZ39" s="3"/>
      <c r="LPA39" s="3"/>
      <c r="LPB39" s="3"/>
      <c r="LPC39" s="3"/>
      <c r="LPD39" s="3"/>
      <c r="LPE39" s="3"/>
      <c r="LPF39" s="3"/>
      <c r="LPG39" s="3"/>
      <c r="LPH39" s="3"/>
      <c r="LPI39" s="3"/>
      <c r="LPJ39" s="3"/>
      <c r="LPK39" s="3"/>
      <c r="LPL39" s="3"/>
      <c r="LPM39" s="3"/>
      <c r="LPN39" s="3"/>
      <c r="LPO39" s="3"/>
      <c r="LPP39" s="3"/>
      <c r="LPQ39" s="3"/>
      <c r="LPR39" s="3"/>
      <c r="LPS39" s="3"/>
      <c r="LPT39" s="3"/>
      <c r="LPU39" s="3"/>
      <c r="LPV39" s="3"/>
      <c r="LPW39" s="3"/>
      <c r="LPX39" s="3"/>
      <c r="LPY39" s="3"/>
      <c r="LPZ39" s="3"/>
      <c r="LQA39" s="3"/>
      <c r="LQB39" s="3"/>
      <c r="LQC39" s="3"/>
      <c r="LQD39" s="3"/>
      <c r="LQE39" s="3"/>
      <c r="LQF39" s="3"/>
      <c r="LQG39" s="3"/>
      <c r="LQH39" s="3"/>
      <c r="LQI39" s="3"/>
      <c r="LQJ39" s="3"/>
      <c r="LQK39" s="3"/>
      <c r="LQL39" s="3"/>
      <c r="LQM39" s="3"/>
      <c r="LQN39" s="3"/>
      <c r="LQO39" s="3"/>
      <c r="LQP39" s="3"/>
      <c r="LQQ39" s="3"/>
      <c r="LQR39" s="3"/>
      <c r="LQS39" s="3"/>
      <c r="LQT39" s="3"/>
      <c r="LQU39" s="3"/>
      <c r="LQV39" s="3"/>
      <c r="LQW39" s="3"/>
      <c r="LQX39" s="3"/>
      <c r="LQY39" s="3"/>
      <c r="LQZ39" s="3"/>
      <c r="LRA39" s="3"/>
      <c r="LRB39" s="3"/>
      <c r="LRC39" s="3"/>
      <c r="LRD39" s="3"/>
      <c r="LRE39" s="3"/>
      <c r="LRF39" s="3"/>
      <c r="LRG39" s="3"/>
      <c r="LRH39" s="3"/>
      <c r="LRI39" s="3"/>
      <c r="LRJ39" s="3"/>
      <c r="LRK39" s="3"/>
      <c r="LRL39" s="3"/>
      <c r="LRM39" s="3"/>
      <c r="LRN39" s="3"/>
      <c r="LRO39" s="3"/>
      <c r="LRP39" s="3"/>
      <c r="LRQ39" s="3"/>
      <c r="LRR39" s="3"/>
      <c r="LRS39" s="3"/>
      <c r="LRT39" s="3"/>
      <c r="LRU39" s="3"/>
      <c r="LRV39" s="3"/>
      <c r="LRW39" s="3"/>
      <c r="LRX39" s="3"/>
      <c r="LRY39" s="3"/>
      <c r="LRZ39" s="3"/>
      <c r="LSA39" s="3"/>
      <c r="LSB39" s="3"/>
      <c r="LSC39" s="3"/>
      <c r="LSD39" s="3"/>
      <c r="LSE39" s="3"/>
      <c r="LSF39" s="3"/>
      <c r="LSG39" s="3"/>
      <c r="LSH39" s="3"/>
      <c r="LSI39" s="3"/>
      <c r="LSJ39" s="3"/>
      <c r="LSK39" s="3"/>
      <c r="LSL39" s="3"/>
      <c r="LSM39" s="3"/>
      <c r="LSN39" s="3"/>
      <c r="LSO39" s="3"/>
      <c r="LSP39" s="3"/>
      <c r="LSQ39" s="3"/>
      <c r="LSR39" s="3"/>
      <c r="LSS39" s="3"/>
      <c r="LST39" s="3"/>
      <c r="LSU39" s="3"/>
      <c r="LSV39" s="3"/>
      <c r="LSW39" s="3"/>
      <c r="LSX39" s="3"/>
      <c r="LSY39" s="3"/>
      <c r="LSZ39" s="3"/>
      <c r="LTA39" s="3"/>
      <c r="LTB39" s="3"/>
      <c r="LTC39" s="3"/>
      <c r="LTD39" s="3"/>
      <c r="LTE39" s="3"/>
      <c r="LTF39" s="3"/>
      <c r="LTG39" s="3"/>
      <c r="LTH39" s="3"/>
      <c r="LTI39" s="3"/>
      <c r="LTJ39" s="3"/>
      <c r="LTK39" s="3"/>
      <c r="LTL39" s="3"/>
      <c r="LTM39" s="3"/>
      <c r="LTN39" s="3"/>
      <c r="LTO39" s="3"/>
      <c r="LTP39" s="3"/>
      <c r="LTQ39" s="3"/>
      <c r="LTR39" s="3"/>
      <c r="LTS39" s="3"/>
      <c r="LTT39" s="3"/>
      <c r="LTU39" s="3"/>
      <c r="LTV39" s="3"/>
      <c r="LTW39" s="3"/>
      <c r="LTX39" s="3"/>
      <c r="LTY39" s="3"/>
      <c r="LTZ39" s="3"/>
      <c r="LUA39" s="3"/>
      <c r="LUB39" s="3"/>
      <c r="LUC39" s="3"/>
      <c r="LUD39" s="3"/>
      <c r="LUE39" s="3"/>
      <c r="LUF39" s="3"/>
      <c r="LUG39" s="3"/>
      <c r="LUH39" s="3"/>
      <c r="LUI39" s="3"/>
      <c r="LUJ39" s="3"/>
      <c r="LUK39" s="3"/>
      <c r="LUL39" s="3"/>
      <c r="LUM39" s="3"/>
      <c r="LUN39" s="3"/>
      <c r="LUO39" s="3"/>
      <c r="LUP39" s="3"/>
      <c r="LUQ39" s="3"/>
      <c r="LUR39" s="3"/>
      <c r="LUS39" s="3"/>
      <c r="LUT39" s="3"/>
      <c r="LUU39" s="3"/>
      <c r="LUV39" s="3"/>
      <c r="LUW39" s="3"/>
      <c r="LUX39" s="3"/>
      <c r="LUY39" s="3"/>
      <c r="LUZ39" s="3"/>
      <c r="LVA39" s="3"/>
      <c r="LVB39" s="3"/>
      <c r="LVC39" s="3"/>
      <c r="LVD39" s="3"/>
      <c r="LVE39" s="3"/>
      <c r="LVF39" s="3"/>
      <c r="LVG39" s="3"/>
      <c r="LVH39" s="3"/>
      <c r="LVI39" s="3"/>
      <c r="LVJ39" s="3"/>
      <c r="LVK39" s="3"/>
      <c r="LVL39" s="3"/>
      <c r="LVM39" s="3"/>
      <c r="LVN39" s="3"/>
      <c r="LVO39" s="3"/>
      <c r="LVP39" s="3"/>
      <c r="LVQ39" s="3"/>
      <c r="LVR39" s="3"/>
      <c r="LVS39" s="3"/>
      <c r="LVT39" s="3"/>
      <c r="LVU39" s="3"/>
      <c r="LVV39" s="3"/>
      <c r="LVW39" s="3"/>
      <c r="LVX39" s="3"/>
      <c r="LVY39" s="3"/>
      <c r="LVZ39" s="3"/>
      <c r="LWA39" s="3"/>
      <c r="LWB39" s="3"/>
      <c r="LWC39" s="3"/>
      <c r="LWD39" s="3"/>
      <c r="LWE39" s="3"/>
      <c r="LWF39" s="3"/>
      <c r="LWG39" s="3"/>
      <c r="LWH39" s="3"/>
      <c r="LWI39" s="3"/>
      <c r="LWJ39" s="3"/>
      <c r="LWK39" s="3"/>
      <c r="LWL39" s="3"/>
      <c r="LWM39" s="3"/>
      <c r="LWN39" s="3"/>
      <c r="LWO39" s="3"/>
      <c r="LWP39" s="3"/>
      <c r="LWQ39" s="3"/>
      <c r="LWR39" s="3"/>
      <c r="LWS39" s="3"/>
      <c r="LWT39" s="3"/>
      <c r="LWU39" s="3"/>
      <c r="LWV39" s="3"/>
      <c r="LWW39" s="3"/>
      <c r="LWX39" s="3"/>
      <c r="LWY39" s="3"/>
      <c r="LWZ39" s="3"/>
      <c r="LXA39" s="3"/>
      <c r="LXB39" s="3"/>
      <c r="LXC39" s="3"/>
      <c r="LXD39" s="3"/>
      <c r="LXE39" s="3"/>
      <c r="LXF39" s="3"/>
      <c r="LXG39" s="3"/>
      <c r="LXH39" s="3"/>
      <c r="LXI39" s="3"/>
      <c r="LXJ39" s="3"/>
      <c r="LXK39" s="3"/>
      <c r="LXL39" s="3"/>
      <c r="LXM39" s="3"/>
      <c r="LXN39" s="3"/>
      <c r="LXO39" s="3"/>
      <c r="LXP39" s="3"/>
      <c r="LXQ39" s="3"/>
      <c r="LXR39" s="3"/>
      <c r="LXS39" s="3"/>
      <c r="LXT39" s="3"/>
      <c r="LXU39" s="3"/>
      <c r="LXV39" s="3"/>
      <c r="LXW39" s="3"/>
      <c r="LXX39" s="3"/>
      <c r="LXY39" s="3"/>
      <c r="LXZ39" s="3"/>
      <c r="LYA39" s="3"/>
      <c r="LYB39" s="3"/>
      <c r="LYC39" s="3"/>
      <c r="LYD39" s="3"/>
      <c r="LYE39" s="3"/>
      <c r="LYF39" s="3"/>
      <c r="LYG39" s="3"/>
      <c r="LYH39" s="3"/>
      <c r="LYI39" s="3"/>
      <c r="LYJ39" s="3"/>
      <c r="LYK39" s="3"/>
      <c r="LYL39" s="3"/>
      <c r="LYM39" s="3"/>
      <c r="LYN39" s="3"/>
      <c r="LYO39" s="3"/>
      <c r="LYP39" s="3"/>
      <c r="LYQ39" s="3"/>
      <c r="LYR39" s="3"/>
      <c r="LYS39" s="3"/>
      <c r="LYT39" s="3"/>
      <c r="LYU39" s="3"/>
      <c r="LYV39" s="3"/>
      <c r="LYW39" s="3"/>
      <c r="LYX39" s="3"/>
      <c r="LYY39" s="3"/>
      <c r="LYZ39" s="3"/>
      <c r="LZA39" s="3"/>
      <c r="LZB39" s="3"/>
      <c r="LZC39" s="3"/>
      <c r="LZD39" s="3"/>
      <c r="LZE39" s="3"/>
      <c r="LZF39" s="3"/>
      <c r="LZG39" s="3"/>
      <c r="LZH39" s="3"/>
      <c r="LZI39" s="3"/>
      <c r="LZJ39" s="3"/>
      <c r="LZK39" s="3"/>
      <c r="LZL39" s="3"/>
      <c r="LZM39" s="3"/>
      <c r="LZN39" s="3"/>
      <c r="LZO39" s="3"/>
      <c r="LZP39" s="3"/>
      <c r="LZQ39" s="3"/>
      <c r="LZR39" s="3"/>
      <c r="LZS39" s="3"/>
      <c r="LZT39" s="3"/>
      <c r="LZU39" s="3"/>
      <c r="LZV39" s="3"/>
      <c r="LZW39" s="3"/>
      <c r="LZX39" s="3"/>
      <c r="LZY39" s="3"/>
      <c r="LZZ39" s="3"/>
      <c r="MAA39" s="3"/>
      <c r="MAB39" s="3"/>
      <c r="MAC39" s="3"/>
      <c r="MAD39" s="3"/>
      <c r="MAE39" s="3"/>
      <c r="MAF39" s="3"/>
      <c r="MAG39" s="3"/>
      <c r="MAH39" s="3"/>
      <c r="MAI39" s="3"/>
      <c r="MAJ39" s="3"/>
      <c r="MAK39" s="3"/>
      <c r="MAL39" s="3"/>
      <c r="MAM39" s="3"/>
      <c r="MAN39" s="3"/>
      <c r="MAO39" s="3"/>
      <c r="MAP39" s="3"/>
      <c r="MAQ39" s="3"/>
      <c r="MAR39" s="3"/>
      <c r="MAS39" s="3"/>
      <c r="MAT39" s="3"/>
      <c r="MAU39" s="3"/>
      <c r="MAV39" s="3"/>
      <c r="MAW39" s="3"/>
      <c r="MAX39" s="3"/>
      <c r="MAY39" s="3"/>
      <c r="MAZ39" s="3"/>
      <c r="MBA39" s="3"/>
      <c r="MBB39" s="3"/>
      <c r="MBC39" s="3"/>
      <c r="MBD39" s="3"/>
      <c r="MBE39" s="3"/>
      <c r="MBF39" s="3"/>
      <c r="MBG39" s="3"/>
      <c r="MBH39" s="3"/>
      <c r="MBI39" s="3"/>
      <c r="MBJ39" s="3"/>
      <c r="MBK39" s="3"/>
      <c r="MBL39" s="3"/>
      <c r="MBM39" s="3"/>
      <c r="MBN39" s="3"/>
      <c r="MBO39" s="3"/>
      <c r="MBP39" s="3"/>
      <c r="MBQ39" s="3"/>
      <c r="MBR39" s="3"/>
      <c r="MBS39" s="3"/>
      <c r="MBT39" s="3"/>
      <c r="MBU39" s="3"/>
      <c r="MBV39" s="3"/>
      <c r="MBW39" s="3"/>
      <c r="MBX39" s="3"/>
      <c r="MBY39" s="3"/>
      <c r="MBZ39" s="3"/>
      <c r="MCA39" s="3"/>
      <c r="MCB39" s="3"/>
      <c r="MCC39" s="3"/>
      <c r="MCD39" s="3"/>
      <c r="MCE39" s="3"/>
      <c r="MCF39" s="3"/>
      <c r="MCG39" s="3"/>
      <c r="MCH39" s="3"/>
      <c r="MCI39" s="3"/>
      <c r="MCJ39" s="3"/>
      <c r="MCK39" s="3"/>
      <c r="MCL39" s="3"/>
      <c r="MCM39" s="3"/>
      <c r="MCN39" s="3"/>
      <c r="MCO39" s="3"/>
      <c r="MCP39" s="3"/>
      <c r="MCQ39" s="3"/>
      <c r="MCR39" s="3"/>
      <c r="MCS39" s="3"/>
      <c r="MCT39" s="3"/>
      <c r="MCU39" s="3"/>
      <c r="MCV39" s="3"/>
      <c r="MCW39" s="3"/>
      <c r="MCX39" s="3"/>
      <c r="MCY39" s="3"/>
      <c r="MCZ39" s="3"/>
      <c r="MDA39" s="3"/>
      <c r="MDB39" s="3"/>
      <c r="MDC39" s="3"/>
      <c r="MDD39" s="3"/>
      <c r="MDE39" s="3"/>
      <c r="MDF39" s="3"/>
      <c r="MDG39" s="3"/>
      <c r="MDH39" s="3"/>
      <c r="MDI39" s="3"/>
      <c r="MDJ39" s="3"/>
      <c r="MDK39" s="3"/>
      <c r="MDL39" s="3"/>
      <c r="MDM39" s="3"/>
      <c r="MDN39" s="3"/>
      <c r="MDO39" s="3"/>
      <c r="MDP39" s="3"/>
      <c r="MDQ39" s="3"/>
      <c r="MDR39" s="3"/>
      <c r="MDS39" s="3"/>
      <c r="MDT39" s="3"/>
      <c r="MDU39" s="3"/>
      <c r="MDV39" s="3"/>
      <c r="MDW39" s="3"/>
      <c r="MDX39" s="3"/>
      <c r="MDY39" s="3"/>
      <c r="MDZ39" s="3"/>
      <c r="MEA39" s="3"/>
      <c r="MEB39" s="3"/>
      <c r="MEC39" s="3"/>
      <c r="MED39" s="3"/>
      <c r="MEE39" s="3"/>
      <c r="MEF39" s="3"/>
      <c r="MEG39" s="3"/>
      <c r="MEH39" s="3"/>
      <c r="MEI39" s="3"/>
      <c r="MEJ39" s="3"/>
      <c r="MEK39" s="3"/>
      <c r="MEL39" s="3"/>
      <c r="MEM39" s="3"/>
      <c r="MEN39" s="3"/>
      <c r="MEO39" s="3"/>
      <c r="MEP39" s="3"/>
      <c r="MEQ39" s="3"/>
      <c r="MER39" s="3"/>
      <c r="MES39" s="3"/>
      <c r="MET39" s="3"/>
      <c r="MEU39" s="3"/>
      <c r="MEV39" s="3"/>
      <c r="MEW39" s="3"/>
      <c r="MEX39" s="3"/>
      <c r="MEY39" s="3"/>
      <c r="MEZ39" s="3"/>
      <c r="MFA39" s="3"/>
      <c r="MFB39" s="3"/>
      <c r="MFC39" s="3"/>
      <c r="MFD39" s="3"/>
      <c r="MFE39" s="3"/>
      <c r="MFF39" s="3"/>
      <c r="MFG39" s="3"/>
      <c r="MFH39" s="3"/>
      <c r="MFI39" s="3"/>
      <c r="MFJ39" s="3"/>
      <c r="MFK39" s="3"/>
      <c r="MFL39" s="3"/>
      <c r="MFM39" s="3"/>
      <c r="MFN39" s="3"/>
      <c r="MFO39" s="3"/>
      <c r="MFP39" s="3"/>
      <c r="MFQ39" s="3"/>
      <c r="MFR39" s="3"/>
      <c r="MFS39" s="3"/>
      <c r="MFT39" s="3"/>
      <c r="MFU39" s="3"/>
      <c r="MFV39" s="3"/>
      <c r="MFW39" s="3"/>
      <c r="MFX39" s="3"/>
      <c r="MFY39" s="3"/>
      <c r="MFZ39" s="3"/>
      <c r="MGA39" s="3"/>
      <c r="MGB39" s="3"/>
      <c r="MGC39" s="3"/>
      <c r="MGD39" s="3"/>
      <c r="MGE39" s="3"/>
      <c r="MGF39" s="3"/>
      <c r="MGG39" s="3"/>
      <c r="MGH39" s="3"/>
      <c r="MGI39" s="3"/>
      <c r="MGJ39" s="3"/>
      <c r="MGK39" s="3"/>
      <c r="MGL39" s="3"/>
      <c r="MGM39" s="3"/>
      <c r="MGN39" s="3"/>
      <c r="MGO39" s="3"/>
      <c r="MGP39" s="3"/>
      <c r="MGQ39" s="3"/>
      <c r="MGR39" s="3"/>
      <c r="MGS39" s="3"/>
      <c r="MGT39" s="3"/>
      <c r="MGU39" s="3"/>
      <c r="MGV39" s="3"/>
      <c r="MGW39" s="3"/>
      <c r="MGX39" s="3"/>
      <c r="MGY39" s="3"/>
      <c r="MGZ39" s="3"/>
      <c r="MHA39" s="3"/>
      <c r="MHB39" s="3"/>
      <c r="MHC39" s="3"/>
      <c r="MHD39" s="3"/>
      <c r="MHE39" s="3"/>
      <c r="MHF39" s="3"/>
      <c r="MHG39" s="3"/>
      <c r="MHH39" s="3"/>
      <c r="MHI39" s="3"/>
      <c r="MHJ39" s="3"/>
      <c r="MHK39" s="3"/>
      <c r="MHL39" s="3"/>
      <c r="MHM39" s="3"/>
      <c r="MHN39" s="3"/>
      <c r="MHO39" s="3"/>
      <c r="MHP39" s="3"/>
      <c r="MHQ39" s="3"/>
      <c r="MHR39" s="3"/>
      <c r="MHS39" s="3"/>
      <c r="MHT39" s="3"/>
      <c r="MHU39" s="3"/>
      <c r="MHV39" s="3"/>
      <c r="MHW39" s="3"/>
      <c r="MHX39" s="3"/>
      <c r="MHY39" s="3"/>
      <c r="MHZ39" s="3"/>
      <c r="MIA39" s="3"/>
      <c r="MIB39" s="3"/>
      <c r="MIC39" s="3"/>
      <c r="MID39" s="3"/>
      <c r="MIE39" s="3"/>
      <c r="MIF39" s="3"/>
      <c r="MIG39" s="3"/>
      <c r="MIH39" s="3"/>
      <c r="MII39" s="3"/>
      <c r="MIJ39" s="3"/>
      <c r="MIK39" s="3"/>
      <c r="MIL39" s="3"/>
      <c r="MIM39" s="3"/>
      <c r="MIN39" s="3"/>
      <c r="MIO39" s="3"/>
      <c r="MIP39" s="3"/>
      <c r="MIQ39" s="3"/>
      <c r="MIR39" s="3"/>
      <c r="MIS39" s="3"/>
      <c r="MIT39" s="3"/>
      <c r="MIU39" s="3"/>
      <c r="MIV39" s="3"/>
      <c r="MIW39" s="3"/>
      <c r="MIX39" s="3"/>
      <c r="MIY39" s="3"/>
      <c r="MIZ39" s="3"/>
      <c r="MJA39" s="3"/>
      <c r="MJB39" s="3"/>
      <c r="MJC39" s="3"/>
      <c r="MJD39" s="3"/>
      <c r="MJE39" s="3"/>
      <c r="MJF39" s="3"/>
      <c r="MJG39" s="3"/>
      <c r="MJH39" s="3"/>
      <c r="MJI39" s="3"/>
      <c r="MJJ39" s="3"/>
      <c r="MJK39" s="3"/>
      <c r="MJL39" s="3"/>
      <c r="MJM39" s="3"/>
      <c r="MJN39" s="3"/>
      <c r="MJO39" s="3"/>
      <c r="MJP39" s="3"/>
      <c r="MJQ39" s="3"/>
      <c r="MJR39" s="3"/>
      <c r="MJS39" s="3"/>
      <c r="MJT39" s="3"/>
      <c r="MJU39" s="3"/>
      <c r="MJV39" s="3"/>
      <c r="MJW39" s="3"/>
      <c r="MJX39" s="3"/>
      <c r="MJY39" s="3"/>
      <c r="MJZ39" s="3"/>
      <c r="MKA39" s="3"/>
      <c r="MKB39" s="3"/>
      <c r="MKC39" s="3"/>
      <c r="MKD39" s="3"/>
      <c r="MKE39" s="3"/>
      <c r="MKF39" s="3"/>
      <c r="MKG39" s="3"/>
      <c r="MKH39" s="3"/>
      <c r="MKI39" s="3"/>
      <c r="MKJ39" s="3"/>
      <c r="MKK39" s="3"/>
      <c r="MKL39" s="3"/>
      <c r="MKM39" s="3"/>
      <c r="MKN39" s="3"/>
      <c r="MKO39" s="3"/>
      <c r="MKP39" s="3"/>
      <c r="MKQ39" s="3"/>
      <c r="MKR39" s="3"/>
      <c r="MKS39" s="3"/>
      <c r="MKT39" s="3"/>
      <c r="MKU39" s="3"/>
      <c r="MKV39" s="3"/>
      <c r="MKW39" s="3"/>
      <c r="MKX39" s="3"/>
      <c r="MKY39" s="3"/>
      <c r="MKZ39" s="3"/>
      <c r="MLA39" s="3"/>
      <c r="MLB39" s="3"/>
      <c r="MLC39" s="3"/>
      <c r="MLD39" s="3"/>
      <c r="MLE39" s="3"/>
      <c r="MLF39" s="3"/>
      <c r="MLG39" s="3"/>
      <c r="MLH39" s="3"/>
      <c r="MLI39" s="3"/>
      <c r="MLJ39" s="3"/>
      <c r="MLK39" s="3"/>
      <c r="MLL39" s="3"/>
      <c r="MLM39" s="3"/>
      <c r="MLN39" s="3"/>
      <c r="MLO39" s="3"/>
      <c r="MLP39" s="3"/>
      <c r="MLQ39" s="3"/>
      <c r="MLR39" s="3"/>
      <c r="MLS39" s="3"/>
      <c r="MLT39" s="3"/>
      <c r="MLU39" s="3"/>
      <c r="MLV39" s="3"/>
      <c r="MLW39" s="3"/>
      <c r="MLX39" s="3"/>
      <c r="MLY39" s="3"/>
      <c r="MLZ39" s="3"/>
      <c r="MMA39" s="3"/>
      <c r="MMB39" s="3"/>
      <c r="MMC39" s="3"/>
      <c r="MMD39" s="3"/>
      <c r="MME39" s="3"/>
      <c r="MMF39" s="3"/>
      <c r="MMG39" s="3"/>
      <c r="MMH39" s="3"/>
      <c r="MMI39" s="3"/>
      <c r="MMJ39" s="3"/>
      <c r="MMK39" s="3"/>
      <c r="MML39" s="3"/>
      <c r="MMM39" s="3"/>
      <c r="MMN39" s="3"/>
      <c r="MMO39" s="3"/>
      <c r="MMP39" s="3"/>
      <c r="MMQ39" s="3"/>
      <c r="MMR39" s="3"/>
      <c r="MMS39" s="3"/>
      <c r="MMT39" s="3"/>
      <c r="MMU39" s="3"/>
      <c r="MMV39" s="3"/>
      <c r="MMW39" s="3"/>
      <c r="MMX39" s="3"/>
      <c r="MMY39" s="3"/>
      <c r="MMZ39" s="3"/>
      <c r="MNA39" s="3"/>
      <c r="MNB39" s="3"/>
      <c r="MNC39" s="3"/>
      <c r="MND39" s="3"/>
      <c r="MNE39" s="3"/>
      <c r="MNF39" s="3"/>
      <c r="MNG39" s="3"/>
      <c r="MNH39" s="3"/>
      <c r="MNI39" s="3"/>
      <c r="MNJ39" s="3"/>
      <c r="MNK39" s="3"/>
      <c r="MNL39" s="3"/>
      <c r="MNM39" s="3"/>
      <c r="MNN39" s="3"/>
      <c r="MNO39" s="3"/>
      <c r="MNP39" s="3"/>
      <c r="MNQ39" s="3"/>
      <c r="MNR39" s="3"/>
      <c r="MNS39" s="3"/>
      <c r="MNT39" s="3"/>
      <c r="MNU39" s="3"/>
      <c r="MNV39" s="3"/>
      <c r="MNW39" s="3"/>
      <c r="MNX39" s="3"/>
      <c r="MNY39" s="3"/>
      <c r="MNZ39" s="3"/>
      <c r="MOA39" s="3"/>
      <c r="MOB39" s="3"/>
      <c r="MOC39" s="3"/>
      <c r="MOD39" s="3"/>
      <c r="MOE39" s="3"/>
      <c r="MOF39" s="3"/>
      <c r="MOG39" s="3"/>
      <c r="MOH39" s="3"/>
      <c r="MOI39" s="3"/>
      <c r="MOJ39" s="3"/>
      <c r="MOK39" s="3"/>
      <c r="MOL39" s="3"/>
      <c r="MOM39" s="3"/>
      <c r="MON39" s="3"/>
      <c r="MOO39" s="3"/>
      <c r="MOP39" s="3"/>
      <c r="MOQ39" s="3"/>
      <c r="MOR39" s="3"/>
      <c r="MOS39" s="3"/>
      <c r="MOT39" s="3"/>
      <c r="MOU39" s="3"/>
      <c r="MOV39" s="3"/>
      <c r="MOW39" s="3"/>
      <c r="MOX39" s="3"/>
      <c r="MOY39" s="3"/>
      <c r="MOZ39" s="3"/>
      <c r="MPA39" s="3"/>
      <c r="MPB39" s="3"/>
      <c r="MPC39" s="3"/>
      <c r="MPD39" s="3"/>
      <c r="MPE39" s="3"/>
      <c r="MPF39" s="3"/>
      <c r="MPG39" s="3"/>
      <c r="MPH39" s="3"/>
      <c r="MPI39" s="3"/>
      <c r="MPJ39" s="3"/>
      <c r="MPK39" s="3"/>
      <c r="MPL39" s="3"/>
      <c r="MPM39" s="3"/>
      <c r="MPN39" s="3"/>
      <c r="MPO39" s="3"/>
      <c r="MPP39" s="3"/>
      <c r="MPQ39" s="3"/>
      <c r="MPR39" s="3"/>
      <c r="MPS39" s="3"/>
      <c r="MPT39" s="3"/>
      <c r="MPU39" s="3"/>
      <c r="MPV39" s="3"/>
      <c r="MPW39" s="3"/>
      <c r="MPX39" s="3"/>
      <c r="MPY39" s="3"/>
      <c r="MPZ39" s="3"/>
      <c r="MQA39" s="3"/>
      <c r="MQB39" s="3"/>
      <c r="MQC39" s="3"/>
      <c r="MQD39" s="3"/>
      <c r="MQE39" s="3"/>
      <c r="MQF39" s="3"/>
      <c r="MQG39" s="3"/>
      <c r="MQH39" s="3"/>
      <c r="MQI39" s="3"/>
      <c r="MQJ39" s="3"/>
      <c r="MQK39" s="3"/>
      <c r="MQL39" s="3"/>
      <c r="MQM39" s="3"/>
      <c r="MQN39" s="3"/>
      <c r="MQO39" s="3"/>
      <c r="MQP39" s="3"/>
      <c r="MQQ39" s="3"/>
      <c r="MQR39" s="3"/>
      <c r="MQS39" s="3"/>
      <c r="MQT39" s="3"/>
      <c r="MQU39" s="3"/>
      <c r="MQV39" s="3"/>
      <c r="MQW39" s="3"/>
      <c r="MQX39" s="3"/>
      <c r="MQY39" s="3"/>
      <c r="MQZ39" s="3"/>
      <c r="MRA39" s="3"/>
      <c r="MRB39" s="3"/>
      <c r="MRC39" s="3"/>
      <c r="MRD39" s="3"/>
      <c r="MRE39" s="3"/>
      <c r="MRF39" s="3"/>
      <c r="MRG39" s="3"/>
      <c r="MRH39" s="3"/>
      <c r="MRI39" s="3"/>
      <c r="MRJ39" s="3"/>
      <c r="MRK39" s="3"/>
      <c r="MRL39" s="3"/>
      <c r="MRM39" s="3"/>
      <c r="MRN39" s="3"/>
      <c r="MRO39" s="3"/>
      <c r="MRP39" s="3"/>
      <c r="MRQ39" s="3"/>
      <c r="MRR39" s="3"/>
      <c r="MRS39" s="3"/>
      <c r="MRT39" s="3"/>
      <c r="MRU39" s="3"/>
      <c r="MRV39" s="3"/>
      <c r="MRW39" s="3"/>
      <c r="MRX39" s="3"/>
      <c r="MRY39" s="3"/>
      <c r="MRZ39" s="3"/>
      <c r="MSA39" s="3"/>
      <c r="MSB39" s="3"/>
      <c r="MSC39" s="3"/>
      <c r="MSD39" s="3"/>
      <c r="MSE39" s="3"/>
      <c r="MSF39" s="3"/>
      <c r="MSG39" s="3"/>
      <c r="MSH39" s="3"/>
      <c r="MSI39" s="3"/>
      <c r="MSJ39" s="3"/>
      <c r="MSK39" s="3"/>
      <c r="MSL39" s="3"/>
      <c r="MSM39" s="3"/>
      <c r="MSN39" s="3"/>
      <c r="MSO39" s="3"/>
      <c r="MSP39" s="3"/>
      <c r="MSQ39" s="3"/>
      <c r="MSR39" s="3"/>
      <c r="MSS39" s="3"/>
      <c r="MST39" s="3"/>
      <c r="MSU39" s="3"/>
      <c r="MSV39" s="3"/>
      <c r="MSW39" s="3"/>
      <c r="MSX39" s="3"/>
      <c r="MSY39" s="3"/>
      <c r="MSZ39" s="3"/>
      <c r="MTA39" s="3"/>
      <c r="MTB39" s="3"/>
      <c r="MTC39" s="3"/>
      <c r="MTD39" s="3"/>
      <c r="MTE39" s="3"/>
      <c r="MTF39" s="3"/>
      <c r="MTG39" s="3"/>
      <c r="MTH39" s="3"/>
      <c r="MTI39" s="3"/>
      <c r="MTJ39" s="3"/>
      <c r="MTK39" s="3"/>
      <c r="MTL39" s="3"/>
      <c r="MTM39" s="3"/>
      <c r="MTN39" s="3"/>
      <c r="MTO39" s="3"/>
      <c r="MTP39" s="3"/>
      <c r="MTQ39" s="3"/>
      <c r="MTR39" s="3"/>
      <c r="MTS39" s="3"/>
      <c r="MTT39" s="3"/>
      <c r="MTU39" s="3"/>
      <c r="MTV39" s="3"/>
      <c r="MTW39" s="3"/>
      <c r="MTX39" s="3"/>
      <c r="MTY39" s="3"/>
      <c r="MTZ39" s="3"/>
      <c r="MUA39" s="3"/>
      <c r="MUB39" s="3"/>
      <c r="MUC39" s="3"/>
      <c r="MUD39" s="3"/>
      <c r="MUE39" s="3"/>
      <c r="MUF39" s="3"/>
      <c r="MUG39" s="3"/>
      <c r="MUH39" s="3"/>
      <c r="MUI39" s="3"/>
      <c r="MUJ39" s="3"/>
      <c r="MUK39" s="3"/>
      <c r="MUL39" s="3"/>
      <c r="MUM39" s="3"/>
      <c r="MUN39" s="3"/>
      <c r="MUO39" s="3"/>
      <c r="MUP39" s="3"/>
      <c r="MUQ39" s="3"/>
      <c r="MUR39" s="3"/>
      <c r="MUS39" s="3"/>
      <c r="MUT39" s="3"/>
      <c r="MUU39" s="3"/>
      <c r="MUV39" s="3"/>
      <c r="MUW39" s="3"/>
      <c r="MUX39" s="3"/>
      <c r="MUY39" s="3"/>
      <c r="MUZ39" s="3"/>
      <c r="MVA39" s="3"/>
      <c r="MVB39" s="3"/>
      <c r="MVC39" s="3"/>
      <c r="MVD39" s="3"/>
      <c r="MVE39" s="3"/>
      <c r="MVF39" s="3"/>
      <c r="MVG39" s="3"/>
      <c r="MVH39" s="3"/>
      <c r="MVI39" s="3"/>
      <c r="MVJ39" s="3"/>
      <c r="MVK39" s="3"/>
      <c r="MVL39" s="3"/>
      <c r="MVM39" s="3"/>
      <c r="MVN39" s="3"/>
      <c r="MVO39" s="3"/>
      <c r="MVP39" s="3"/>
      <c r="MVQ39" s="3"/>
      <c r="MVR39" s="3"/>
      <c r="MVS39" s="3"/>
      <c r="MVT39" s="3"/>
      <c r="MVU39" s="3"/>
      <c r="MVV39" s="3"/>
      <c r="MVW39" s="3"/>
      <c r="MVX39" s="3"/>
      <c r="MVY39" s="3"/>
      <c r="MVZ39" s="3"/>
      <c r="MWA39" s="3"/>
      <c r="MWB39" s="3"/>
      <c r="MWC39" s="3"/>
      <c r="MWD39" s="3"/>
      <c r="MWE39" s="3"/>
      <c r="MWF39" s="3"/>
      <c r="MWG39" s="3"/>
      <c r="MWH39" s="3"/>
      <c r="MWI39" s="3"/>
      <c r="MWJ39" s="3"/>
      <c r="MWK39" s="3"/>
      <c r="MWL39" s="3"/>
      <c r="MWM39" s="3"/>
      <c r="MWN39" s="3"/>
      <c r="MWO39" s="3"/>
      <c r="MWP39" s="3"/>
      <c r="MWQ39" s="3"/>
      <c r="MWR39" s="3"/>
      <c r="MWS39" s="3"/>
      <c r="MWT39" s="3"/>
      <c r="MWU39" s="3"/>
      <c r="MWV39" s="3"/>
      <c r="MWW39" s="3"/>
      <c r="MWX39" s="3"/>
      <c r="MWY39" s="3"/>
      <c r="MWZ39" s="3"/>
      <c r="MXA39" s="3"/>
      <c r="MXB39" s="3"/>
      <c r="MXC39" s="3"/>
      <c r="MXD39" s="3"/>
      <c r="MXE39" s="3"/>
      <c r="MXF39" s="3"/>
      <c r="MXG39" s="3"/>
      <c r="MXH39" s="3"/>
      <c r="MXI39" s="3"/>
      <c r="MXJ39" s="3"/>
      <c r="MXK39" s="3"/>
      <c r="MXL39" s="3"/>
      <c r="MXM39" s="3"/>
      <c r="MXN39" s="3"/>
      <c r="MXO39" s="3"/>
      <c r="MXP39" s="3"/>
      <c r="MXQ39" s="3"/>
      <c r="MXR39" s="3"/>
      <c r="MXS39" s="3"/>
      <c r="MXT39" s="3"/>
      <c r="MXU39" s="3"/>
      <c r="MXV39" s="3"/>
      <c r="MXW39" s="3"/>
      <c r="MXX39" s="3"/>
      <c r="MXY39" s="3"/>
      <c r="MXZ39" s="3"/>
      <c r="MYA39" s="3"/>
      <c r="MYB39" s="3"/>
      <c r="MYC39" s="3"/>
      <c r="MYD39" s="3"/>
      <c r="MYE39" s="3"/>
      <c r="MYF39" s="3"/>
      <c r="MYG39" s="3"/>
      <c r="MYH39" s="3"/>
      <c r="MYI39" s="3"/>
      <c r="MYJ39" s="3"/>
      <c r="MYK39" s="3"/>
      <c r="MYL39" s="3"/>
      <c r="MYM39" s="3"/>
      <c r="MYN39" s="3"/>
      <c r="MYO39" s="3"/>
      <c r="MYP39" s="3"/>
      <c r="MYQ39" s="3"/>
      <c r="MYR39" s="3"/>
      <c r="MYS39" s="3"/>
      <c r="MYT39" s="3"/>
      <c r="MYU39" s="3"/>
      <c r="MYV39" s="3"/>
      <c r="MYW39" s="3"/>
      <c r="MYX39" s="3"/>
      <c r="MYY39" s="3"/>
      <c r="MYZ39" s="3"/>
      <c r="MZA39" s="3"/>
      <c r="MZB39" s="3"/>
      <c r="MZC39" s="3"/>
      <c r="MZD39" s="3"/>
      <c r="MZE39" s="3"/>
      <c r="MZF39" s="3"/>
      <c r="MZG39" s="3"/>
      <c r="MZH39" s="3"/>
      <c r="MZI39" s="3"/>
      <c r="MZJ39" s="3"/>
      <c r="MZK39" s="3"/>
      <c r="MZL39" s="3"/>
      <c r="MZM39" s="3"/>
      <c r="MZN39" s="3"/>
      <c r="MZO39" s="3"/>
      <c r="MZP39" s="3"/>
      <c r="MZQ39" s="3"/>
      <c r="MZR39" s="3"/>
      <c r="MZS39" s="3"/>
      <c r="MZT39" s="3"/>
      <c r="MZU39" s="3"/>
      <c r="MZV39" s="3"/>
      <c r="MZW39" s="3"/>
      <c r="MZX39" s="3"/>
      <c r="MZY39" s="3"/>
      <c r="MZZ39" s="3"/>
      <c r="NAA39" s="3"/>
      <c r="NAB39" s="3"/>
      <c r="NAC39" s="3"/>
      <c r="NAD39" s="3"/>
      <c r="NAE39" s="3"/>
      <c r="NAF39" s="3"/>
      <c r="NAG39" s="3"/>
      <c r="NAH39" s="3"/>
      <c r="NAI39" s="3"/>
      <c r="NAJ39" s="3"/>
      <c r="NAK39" s="3"/>
      <c r="NAL39" s="3"/>
      <c r="NAM39" s="3"/>
      <c r="NAN39" s="3"/>
      <c r="NAO39" s="3"/>
      <c r="NAP39" s="3"/>
      <c r="NAQ39" s="3"/>
      <c r="NAR39" s="3"/>
      <c r="NAS39" s="3"/>
      <c r="NAT39" s="3"/>
      <c r="NAU39" s="3"/>
      <c r="NAV39" s="3"/>
      <c r="NAW39" s="3"/>
      <c r="NAX39" s="3"/>
      <c r="NAY39" s="3"/>
      <c r="NAZ39" s="3"/>
      <c r="NBA39" s="3"/>
      <c r="NBB39" s="3"/>
      <c r="NBC39" s="3"/>
      <c r="NBD39" s="3"/>
      <c r="NBE39" s="3"/>
      <c r="NBF39" s="3"/>
      <c r="NBG39" s="3"/>
      <c r="NBH39" s="3"/>
      <c r="NBI39" s="3"/>
      <c r="NBJ39" s="3"/>
      <c r="NBK39" s="3"/>
      <c r="NBL39" s="3"/>
      <c r="NBM39" s="3"/>
      <c r="NBN39" s="3"/>
      <c r="NBO39" s="3"/>
      <c r="NBP39" s="3"/>
      <c r="NBQ39" s="3"/>
      <c r="NBR39" s="3"/>
      <c r="NBS39" s="3"/>
      <c r="NBT39" s="3"/>
      <c r="NBU39" s="3"/>
      <c r="NBV39" s="3"/>
      <c r="NBW39" s="3"/>
      <c r="NBX39" s="3"/>
      <c r="NBY39" s="3"/>
      <c r="NBZ39" s="3"/>
      <c r="NCA39" s="3"/>
      <c r="NCB39" s="3"/>
      <c r="NCC39" s="3"/>
      <c r="NCD39" s="3"/>
      <c r="NCE39" s="3"/>
      <c r="NCF39" s="3"/>
      <c r="NCG39" s="3"/>
      <c r="NCH39" s="3"/>
      <c r="NCI39" s="3"/>
      <c r="NCJ39" s="3"/>
      <c r="NCK39" s="3"/>
      <c r="NCL39" s="3"/>
      <c r="NCM39" s="3"/>
      <c r="NCN39" s="3"/>
      <c r="NCO39" s="3"/>
      <c r="NCP39" s="3"/>
      <c r="NCQ39" s="3"/>
      <c r="NCR39" s="3"/>
      <c r="NCS39" s="3"/>
      <c r="NCT39" s="3"/>
      <c r="NCU39" s="3"/>
      <c r="NCV39" s="3"/>
      <c r="NCW39" s="3"/>
      <c r="NCX39" s="3"/>
      <c r="NCY39" s="3"/>
      <c r="NCZ39" s="3"/>
      <c r="NDA39" s="3"/>
      <c r="NDB39" s="3"/>
      <c r="NDC39" s="3"/>
      <c r="NDD39" s="3"/>
      <c r="NDE39" s="3"/>
      <c r="NDF39" s="3"/>
      <c r="NDG39" s="3"/>
      <c r="NDH39" s="3"/>
      <c r="NDI39" s="3"/>
      <c r="NDJ39" s="3"/>
      <c r="NDK39" s="3"/>
      <c r="NDL39" s="3"/>
      <c r="NDM39" s="3"/>
      <c r="NDN39" s="3"/>
      <c r="NDO39" s="3"/>
      <c r="NDP39" s="3"/>
      <c r="NDQ39" s="3"/>
      <c r="NDR39" s="3"/>
      <c r="NDS39" s="3"/>
      <c r="NDT39" s="3"/>
      <c r="NDU39" s="3"/>
      <c r="NDV39" s="3"/>
      <c r="NDW39" s="3"/>
      <c r="NDX39" s="3"/>
      <c r="NDY39" s="3"/>
      <c r="NDZ39" s="3"/>
      <c r="NEA39" s="3"/>
      <c r="NEB39" s="3"/>
      <c r="NEC39" s="3"/>
      <c r="NED39" s="3"/>
      <c r="NEE39" s="3"/>
      <c r="NEF39" s="3"/>
      <c r="NEG39" s="3"/>
      <c r="NEH39" s="3"/>
      <c r="NEI39" s="3"/>
      <c r="NEJ39" s="3"/>
      <c r="NEK39" s="3"/>
      <c r="NEL39" s="3"/>
      <c r="NEM39" s="3"/>
      <c r="NEN39" s="3"/>
      <c r="NEO39" s="3"/>
      <c r="NEP39" s="3"/>
      <c r="NEQ39" s="3"/>
      <c r="NER39" s="3"/>
      <c r="NES39" s="3"/>
      <c r="NET39" s="3"/>
      <c r="NEU39" s="3"/>
      <c r="NEV39" s="3"/>
      <c r="NEW39" s="3"/>
      <c r="NEX39" s="3"/>
      <c r="NEY39" s="3"/>
      <c r="NEZ39" s="3"/>
      <c r="NFA39" s="3"/>
      <c r="NFB39" s="3"/>
      <c r="NFC39" s="3"/>
      <c r="NFD39" s="3"/>
      <c r="NFE39" s="3"/>
      <c r="NFF39" s="3"/>
      <c r="NFG39" s="3"/>
      <c r="NFH39" s="3"/>
      <c r="NFI39" s="3"/>
      <c r="NFJ39" s="3"/>
      <c r="NFK39" s="3"/>
      <c r="NFL39" s="3"/>
      <c r="NFM39" s="3"/>
      <c r="NFN39" s="3"/>
      <c r="NFO39" s="3"/>
      <c r="NFP39" s="3"/>
      <c r="NFQ39" s="3"/>
      <c r="NFR39" s="3"/>
      <c r="NFS39" s="3"/>
      <c r="NFT39" s="3"/>
      <c r="NFU39" s="3"/>
      <c r="NFV39" s="3"/>
      <c r="NFW39" s="3"/>
      <c r="NFX39" s="3"/>
      <c r="NFY39" s="3"/>
      <c r="NFZ39" s="3"/>
      <c r="NGA39" s="3"/>
      <c r="NGB39" s="3"/>
      <c r="NGC39" s="3"/>
      <c r="NGD39" s="3"/>
      <c r="NGE39" s="3"/>
      <c r="NGF39" s="3"/>
      <c r="NGG39" s="3"/>
      <c r="NGH39" s="3"/>
      <c r="NGI39" s="3"/>
      <c r="NGJ39" s="3"/>
      <c r="NGK39" s="3"/>
      <c r="NGL39" s="3"/>
      <c r="NGM39" s="3"/>
      <c r="NGN39" s="3"/>
      <c r="NGO39" s="3"/>
      <c r="NGP39" s="3"/>
      <c r="NGQ39" s="3"/>
      <c r="NGR39" s="3"/>
      <c r="NGS39" s="3"/>
      <c r="NGT39" s="3"/>
      <c r="NGU39" s="3"/>
      <c r="NGV39" s="3"/>
      <c r="NGW39" s="3"/>
      <c r="NGX39" s="3"/>
      <c r="NGY39" s="3"/>
      <c r="NGZ39" s="3"/>
      <c r="NHA39" s="3"/>
      <c r="NHB39" s="3"/>
      <c r="NHC39" s="3"/>
      <c r="NHD39" s="3"/>
      <c r="NHE39" s="3"/>
      <c r="NHF39" s="3"/>
      <c r="NHG39" s="3"/>
      <c r="NHH39" s="3"/>
      <c r="NHI39" s="3"/>
      <c r="NHJ39" s="3"/>
      <c r="NHK39" s="3"/>
      <c r="NHL39" s="3"/>
      <c r="NHM39" s="3"/>
      <c r="NHN39" s="3"/>
      <c r="NHO39" s="3"/>
      <c r="NHP39" s="3"/>
      <c r="NHQ39" s="3"/>
      <c r="NHR39" s="3"/>
      <c r="NHS39" s="3"/>
      <c r="NHT39" s="3"/>
      <c r="NHU39" s="3"/>
      <c r="NHV39" s="3"/>
      <c r="NHW39" s="3"/>
      <c r="NHX39" s="3"/>
      <c r="NHY39" s="3"/>
      <c r="NHZ39" s="3"/>
      <c r="NIA39" s="3"/>
      <c r="NIB39" s="3"/>
      <c r="NIC39" s="3"/>
      <c r="NID39" s="3"/>
      <c r="NIE39" s="3"/>
      <c r="NIF39" s="3"/>
      <c r="NIG39" s="3"/>
      <c r="NIH39" s="3"/>
      <c r="NII39" s="3"/>
      <c r="NIJ39" s="3"/>
      <c r="NIK39" s="3"/>
      <c r="NIL39" s="3"/>
      <c r="NIM39" s="3"/>
      <c r="NIN39" s="3"/>
      <c r="NIO39" s="3"/>
      <c r="NIP39" s="3"/>
      <c r="NIQ39" s="3"/>
      <c r="NIR39" s="3"/>
      <c r="NIS39" s="3"/>
      <c r="NIT39" s="3"/>
      <c r="NIU39" s="3"/>
      <c r="NIV39" s="3"/>
      <c r="NIW39" s="3"/>
      <c r="NIX39" s="3"/>
      <c r="NIY39" s="3"/>
      <c r="NIZ39" s="3"/>
      <c r="NJA39" s="3"/>
      <c r="NJB39" s="3"/>
      <c r="NJC39" s="3"/>
      <c r="NJD39" s="3"/>
      <c r="NJE39" s="3"/>
      <c r="NJF39" s="3"/>
      <c r="NJG39" s="3"/>
      <c r="NJH39" s="3"/>
      <c r="NJI39" s="3"/>
      <c r="NJJ39" s="3"/>
      <c r="NJK39" s="3"/>
      <c r="NJL39" s="3"/>
      <c r="NJM39" s="3"/>
      <c r="NJN39" s="3"/>
      <c r="NJO39" s="3"/>
      <c r="NJP39" s="3"/>
      <c r="NJQ39" s="3"/>
      <c r="NJR39" s="3"/>
      <c r="NJS39" s="3"/>
      <c r="NJT39" s="3"/>
      <c r="NJU39" s="3"/>
      <c r="NJV39" s="3"/>
      <c r="NJW39" s="3"/>
      <c r="NJX39" s="3"/>
      <c r="NJY39" s="3"/>
      <c r="NJZ39" s="3"/>
      <c r="NKA39" s="3"/>
      <c r="NKB39" s="3"/>
      <c r="NKC39" s="3"/>
      <c r="NKD39" s="3"/>
      <c r="NKE39" s="3"/>
      <c r="NKF39" s="3"/>
      <c r="NKG39" s="3"/>
      <c r="NKH39" s="3"/>
      <c r="NKI39" s="3"/>
      <c r="NKJ39" s="3"/>
      <c r="NKK39" s="3"/>
      <c r="NKL39" s="3"/>
      <c r="NKM39" s="3"/>
      <c r="NKN39" s="3"/>
      <c r="NKO39" s="3"/>
      <c r="NKP39" s="3"/>
      <c r="NKQ39" s="3"/>
      <c r="NKR39" s="3"/>
      <c r="NKS39" s="3"/>
      <c r="NKT39" s="3"/>
      <c r="NKU39" s="3"/>
      <c r="NKV39" s="3"/>
      <c r="NKW39" s="3"/>
      <c r="NKX39" s="3"/>
      <c r="NKY39" s="3"/>
      <c r="NKZ39" s="3"/>
      <c r="NLA39" s="3"/>
      <c r="NLB39" s="3"/>
      <c r="NLC39" s="3"/>
      <c r="NLD39" s="3"/>
      <c r="NLE39" s="3"/>
      <c r="NLF39" s="3"/>
      <c r="NLG39" s="3"/>
      <c r="NLH39" s="3"/>
      <c r="NLI39" s="3"/>
      <c r="NLJ39" s="3"/>
      <c r="NLK39" s="3"/>
      <c r="NLL39" s="3"/>
      <c r="NLM39" s="3"/>
      <c r="NLN39" s="3"/>
      <c r="NLO39" s="3"/>
      <c r="NLP39" s="3"/>
      <c r="NLQ39" s="3"/>
      <c r="NLR39" s="3"/>
      <c r="NLS39" s="3"/>
      <c r="NLT39" s="3"/>
      <c r="NLU39" s="3"/>
      <c r="NLV39" s="3"/>
      <c r="NLW39" s="3"/>
      <c r="NLX39" s="3"/>
      <c r="NLY39" s="3"/>
      <c r="NLZ39" s="3"/>
      <c r="NMA39" s="3"/>
      <c r="NMB39" s="3"/>
      <c r="NMC39" s="3"/>
      <c r="NMD39" s="3"/>
      <c r="NME39" s="3"/>
      <c r="NMF39" s="3"/>
      <c r="NMG39" s="3"/>
      <c r="NMH39" s="3"/>
      <c r="NMI39" s="3"/>
      <c r="NMJ39" s="3"/>
      <c r="NMK39" s="3"/>
      <c r="NML39" s="3"/>
      <c r="NMM39" s="3"/>
      <c r="NMN39" s="3"/>
      <c r="NMO39" s="3"/>
      <c r="NMP39" s="3"/>
      <c r="NMQ39" s="3"/>
      <c r="NMR39" s="3"/>
      <c r="NMS39" s="3"/>
      <c r="NMT39" s="3"/>
      <c r="NMU39" s="3"/>
      <c r="NMV39" s="3"/>
      <c r="NMW39" s="3"/>
      <c r="NMX39" s="3"/>
      <c r="NMY39" s="3"/>
      <c r="NMZ39" s="3"/>
      <c r="NNA39" s="3"/>
      <c r="NNB39" s="3"/>
      <c r="NNC39" s="3"/>
      <c r="NND39" s="3"/>
      <c r="NNE39" s="3"/>
      <c r="NNF39" s="3"/>
      <c r="NNG39" s="3"/>
      <c r="NNH39" s="3"/>
      <c r="NNI39" s="3"/>
      <c r="NNJ39" s="3"/>
      <c r="NNK39" s="3"/>
      <c r="NNL39" s="3"/>
      <c r="NNM39" s="3"/>
      <c r="NNN39" s="3"/>
      <c r="NNO39" s="3"/>
      <c r="NNP39" s="3"/>
      <c r="NNQ39" s="3"/>
      <c r="NNR39" s="3"/>
      <c r="NNS39" s="3"/>
      <c r="NNT39" s="3"/>
      <c r="NNU39" s="3"/>
      <c r="NNV39" s="3"/>
      <c r="NNW39" s="3"/>
      <c r="NNX39" s="3"/>
      <c r="NNY39" s="3"/>
      <c r="NNZ39" s="3"/>
      <c r="NOA39" s="3"/>
      <c r="NOB39" s="3"/>
      <c r="NOC39" s="3"/>
      <c r="NOD39" s="3"/>
      <c r="NOE39" s="3"/>
      <c r="NOF39" s="3"/>
      <c r="NOG39" s="3"/>
      <c r="NOH39" s="3"/>
      <c r="NOI39" s="3"/>
      <c r="NOJ39" s="3"/>
      <c r="NOK39" s="3"/>
      <c r="NOL39" s="3"/>
      <c r="NOM39" s="3"/>
      <c r="NON39" s="3"/>
      <c r="NOO39" s="3"/>
      <c r="NOP39" s="3"/>
      <c r="NOQ39" s="3"/>
      <c r="NOR39" s="3"/>
      <c r="NOS39" s="3"/>
      <c r="NOT39" s="3"/>
      <c r="NOU39" s="3"/>
      <c r="NOV39" s="3"/>
      <c r="NOW39" s="3"/>
      <c r="NOX39" s="3"/>
      <c r="NOY39" s="3"/>
      <c r="NOZ39" s="3"/>
      <c r="NPA39" s="3"/>
      <c r="NPB39" s="3"/>
      <c r="NPC39" s="3"/>
      <c r="NPD39" s="3"/>
      <c r="NPE39" s="3"/>
      <c r="NPF39" s="3"/>
      <c r="NPG39" s="3"/>
      <c r="NPH39" s="3"/>
      <c r="NPI39" s="3"/>
      <c r="NPJ39" s="3"/>
      <c r="NPK39" s="3"/>
      <c r="NPL39" s="3"/>
      <c r="NPM39" s="3"/>
      <c r="NPN39" s="3"/>
      <c r="NPO39" s="3"/>
      <c r="NPP39" s="3"/>
      <c r="NPQ39" s="3"/>
      <c r="NPR39" s="3"/>
      <c r="NPS39" s="3"/>
      <c r="NPT39" s="3"/>
      <c r="NPU39" s="3"/>
      <c r="NPV39" s="3"/>
      <c r="NPW39" s="3"/>
      <c r="NPX39" s="3"/>
      <c r="NPY39" s="3"/>
      <c r="NPZ39" s="3"/>
      <c r="NQA39" s="3"/>
      <c r="NQB39" s="3"/>
      <c r="NQC39" s="3"/>
      <c r="NQD39" s="3"/>
      <c r="NQE39" s="3"/>
      <c r="NQF39" s="3"/>
      <c r="NQG39" s="3"/>
      <c r="NQH39" s="3"/>
      <c r="NQI39" s="3"/>
      <c r="NQJ39" s="3"/>
      <c r="NQK39" s="3"/>
      <c r="NQL39" s="3"/>
      <c r="NQM39" s="3"/>
      <c r="NQN39" s="3"/>
      <c r="NQO39" s="3"/>
      <c r="NQP39" s="3"/>
      <c r="NQQ39" s="3"/>
      <c r="NQR39" s="3"/>
      <c r="NQS39" s="3"/>
      <c r="NQT39" s="3"/>
      <c r="NQU39" s="3"/>
      <c r="NQV39" s="3"/>
      <c r="NQW39" s="3"/>
      <c r="NQX39" s="3"/>
      <c r="NQY39" s="3"/>
      <c r="NQZ39" s="3"/>
      <c r="NRA39" s="3"/>
      <c r="NRB39" s="3"/>
      <c r="NRC39" s="3"/>
      <c r="NRD39" s="3"/>
      <c r="NRE39" s="3"/>
      <c r="NRF39" s="3"/>
      <c r="NRG39" s="3"/>
      <c r="NRH39" s="3"/>
      <c r="NRI39" s="3"/>
      <c r="NRJ39" s="3"/>
      <c r="NRK39" s="3"/>
      <c r="NRL39" s="3"/>
      <c r="NRM39" s="3"/>
      <c r="NRN39" s="3"/>
      <c r="NRO39" s="3"/>
      <c r="NRP39" s="3"/>
      <c r="NRQ39" s="3"/>
      <c r="NRR39" s="3"/>
      <c r="NRS39" s="3"/>
      <c r="NRT39" s="3"/>
      <c r="NRU39" s="3"/>
      <c r="NRV39" s="3"/>
      <c r="NRW39" s="3"/>
      <c r="NRX39" s="3"/>
      <c r="NRY39" s="3"/>
      <c r="NRZ39" s="3"/>
      <c r="NSA39" s="3"/>
      <c r="NSB39" s="3"/>
      <c r="NSC39" s="3"/>
      <c r="NSD39" s="3"/>
      <c r="NSE39" s="3"/>
      <c r="NSF39" s="3"/>
      <c r="NSG39" s="3"/>
      <c r="NSH39" s="3"/>
      <c r="NSI39" s="3"/>
      <c r="NSJ39" s="3"/>
      <c r="NSK39" s="3"/>
      <c r="NSL39" s="3"/>
      <c r="NSM39" s="3"/>
      <c r="NSN39" s="3"/>
      <c r="NSO39" s="3"/>
      <c r="NSP39" s="3"/>
      <c r="NSQ39" s="3"/>
      <c r="NSR39" s="3"/>
      <c r="NSS39" s="3"/>
      <c r="NST39" s="3"/>
      <c r="NSU39" s="3"/>
      <c r="NSV39" s="3"/>
      <c r="NSW39" s="3"/>
      <c r="NSX39" s="3"/>
      <c r="NSY39" s="3"/>
      <c r="NSZ39" s="3"/>
      <c r="NTA39" s="3"/>
      <c r="NTB39" s="3"/>
      <c r="NTC39" s="3"/>
      <c r="NTD39" s="3"/>
      <c r="NTE39" s="3"/>
      <c r="NTF39" s="3"/>
      <c r="NTG39" s="3"/>
      <c r="NTH39" s="3"/>
      <c r="NTI39" s="3"/>
      <c r="NTJ39" s="3"/>
      <c r="NTK39" s="3"/>
      <c r="NTL39" s="3"/>
      <c r="NTM39" s="3"/>
      <c r="NTN39" s="3"/>
      <c r="NTO39" s="3"/>
      <c r="NTP39" s="3"/>
      <c r="NTQ39" s="3"/>
      <c r="NTR39" s="3"/>
      <c r="NTS39" s="3"/>
      <c r="NTT39" s="3"/>
      <c r="NTU39" s="3"/>
      <c r="NTV39" s="3"/>
      <c r="NTW39" s="3"/>
      <c r="NTX39" s="3"/>
      <c r="NTY39" s="3"/>
      <c r="NTZ39" s="3"/>
      <c r="NUA39" s="3"/>
      <c r="NUB39" s="3"/>
      <c r="NUC39" s="3"/>
      <c r="NUD39" s="3"/>
      <c r="NUE39" s="3"/>
      <c r="NUF39" s="3"/>
      <c r="NUG39" s="3"/>
      <c r="NUH39" s="3"/>
      <c r="NUI39" s="3"/>
      <c r="NUJ39" s="3"/>
      <c r="NUK39" s="3"/>
      <c r="NUL39" s="3"/>
      <c r="NUM39" s="3"/>
      <c r="NUN39" s="3"/>
      <c r="NUO39" s="3"/>
      <c r="NUP39" s="3"/>
      <c r="NUQ39" s="3"/>
      <c r="NUR39" s="3"/>
      <c r="NUS39" s="3"/>
      <c r="NUT39" s="3"/>
      <c r="NUU39" s="3"/>
      <c r="NUV39" s="3"/>
      <c r="NUW39" s="3"/>
      <c r="NUX39" s="3"/>
      <c r="NUY39" s="3"/>
      <c r="NUZ39" s="3"/>
      <c r="NVA39" s="3"/>
      <c r="NVB39" s="3"/>
      <c r="NVC39" s="3"/>
      <c r="NVD39" s="3"/>
      <c r="NVE39" s="3"/>
      <c r="NVF39" s="3"/>
      <c r="NVG39" s="3"/>
      <c r="NVH39" s="3"/>
      <c r="NVI39" s="3"/>
      <c r="NVJ39" s="3"/>
      <c r="NVK39" s="3"/>
      <c r="NVL39" s="3"/>
      <c r="NVM39" s="3"/>
      <c r="NVN39" s="3"/>
      <c r="NVO39" s="3"/>
      <c r="NVP39" s="3"/>
      <c r="NVQ39" s="3"/>
      <c r="NVR39" s="3"/>
      <c r="NVS39" s="3"/>
      <c r="NVT39" s="3"/>
      <c r="NVU39" s="3"/>
      <c r="NVV39" s="3"/>
      <c r="NVW39" s="3"/>
      <c r="NVX39" s="3"/>
      <c r="NVY39" s="3"/>
      <c r="NVZ39" s="3"/>
      <c r="NWA39" s="3"/>
      <c r="NWB39" s="3"/>
      <c r="NWC39" s="3"/>
      <c r="NWD39" s="3"/>
      <c r="NWE39" s="3"/>
      <c r="NWF39" s="3"/>
      <c r="NWG39" s="3"/>
      <c r="NWH39" s="3"/>
      <c r="NWI39" s="3"/>
      <c r="NWJ39" s="3"/>
      <c r="NWK39" s="3"/>
      <c r="NWL39" s="3"/>
      <c r="NWM39" s="3"/>
      <c r="NWN39" s="3"/>
      <c r="NWO39" s="3"/>
      <c r="NWP39" s="3"/>
      <c r="NWQ39" s="3"/>
      <c r="NWR39" s="3"/>
      <c r="NWS39" s="3"/>
      <c r="NWT39" s="3"/>
      <c r="NWU39" s="3"/>
      <c r="NWV39" s="3"/>
      <c r="NWW39" s="3"/>
      <c r="NWX39" s="3"/>
      <c r="NWY39" s="3"/>
      <c r="NWZ39" s="3"/>
      <c r="NXA39" s="3"/>
      <c r="NXB39" s="3"/>
      <c r="NXC39" s="3"/>
      <c r="NXD39" s="3"/>
      <c r="NXE39" s="3"/>
      <c r="NXF39" s="3"/>
      <c r="NXG39" s="3"/>
      <c r="NXH39" s="3"/>
      <c r="NXI39" s="3"/>
      <c r="NXJ39" s="3"/>
      <c r="NXK39" s="3"/>
      <c r="NXL39" s="3"/>
      <c r="NXM39" s="3"/>
      <c r="NXN39" s="3"/>
      <c r="NXO39" s="3"/>
      <c r="NXP39" s="3"/>
      <c r="NXQ39" s="3"/>
      <c r="NXR39" s="3"/>
      <c r="NXS39" s="3"/>
      <c r="NXT39" s="3"/>
      <c r="NXU39" s="3"/>
      <c r="NXV39" s="3"/>
      <c r="NXW39" s="3"/>
      <c r="NXX39" s="3"/>
      <c r="NXY39" s="3"/>
      <c r="NXZ39" s="3"/>
      <c r="NYA39" s="3"/>
      <c r="NYB39" s="3"/>
      <c r="NYC39" s="3"/>
      <c r="NYD39" s="3"/>
      <c r="NYE39" s="3"/>
      <c r="NYF39" s="3"/>
      <c r="NYG39" s="3"/>
      <c r="NYH39" s="3"/>
      <c r="NYI39" s="3"/>
      <c r="NYJ39" s="3"/>
      <c r="NYK39" s="3"/>
      <c r="NYL39" s="3"/>
      <c r="NYM39" s="3"/>
      <c r="NYN39" s="3"/>
      <c r="NYO39" s="3"/>
      <c r="NYP39" s="3"/>
      <c r="NYQ39" s="3"/>
      <c r="NYR39" s="3"/>
      <c r="NYS39" s="3"/>
      <c r="NYT39" s="3"/>
      <c r="NYU39" s="3"/>
      <c r="NYV39" s="3"/>
      <c r="NYW39" s="3"/>
      <c r="NYX39" s="3"/>
      <c r="NYY39" s="3"/>
      <c r="NYZ39" s="3"/>
      <c r="NZA39" s="3"/>
      <c r="NZB39" s="3"/>
      <c r="NZC39" s="3"/>
      <c r="NZD39" s="3"/>
      <c r="NZE39" s="3"/>
      <c r="NZF39" s="3"/>
      <c r="NZG39" s="3"/>
      <c r="NZH39" s="3"/>
      <c r="NZI39" s="3"/>
      <c r="NZJ39" s="3"/>
      <c r="NZK39" s="3"/>
      <c r="NZL39" s="3"/>
      <c r="NZM39" s="3"/>
      <c r="NZN39" s="3"/>
      <c r="NZO39" s="3"/>
      <c r="NZP39" s="3"/>
      <c r="NZQ39" s="3"/>
      <c r="NZR39" s="3"/>
      <c r="NZS39" s="3"/>
      <c r="NZT39" s="3"/>
      <c r="NZU39" s="3"/>
      <c r="NZV39" s="3"/>
      <c r="NZW39" s="3"/>
      <c r="NZX39" s="3"/>
      <c r="NZY39" s="3"/>
      <c r="NZZ39" s="3"/>
      <c r="OAA39" s="3"/>
      <c r="OAB39" s="3"/>
      <c r="OAC39" s="3"/>
      <c r="OAD39" s="3"/>
      <c r="OAE39" s="3"/>
      <c r="OAF39" s="3"/>
      <c r="OAG39" s="3"/>
      <c r="OAH39" s="3"/>
      <c r="OAI39" s="3"/>
      <c r="OAJ39" s="3"/>
      <c r="OAK39" s="3"/>
      <c r="OAL39" s="3"/>
      <c r="OAM39" s="3"/>
      <c r="OAN39" s="3"/>
      <c r="OAO39" s="3"/>
      <c r="OAP39" s="3"/>
      <c r="OAQ39" s="3"/>
      <c r="OAR39" s="3"/>
      <c r="OAS39" s="3"/>
      <c r="OAT39" s="3"/>
      <c r="OAU39" s="3"/>
      <c r="OAV39" s="3"/>
      <c r="OAW39" s="3"/>
      <c r="OAX39" s="3"/>
      <c r="OAY39" s="3"/>
      <c r="OAZ39" s="3"/>
      <c r="OBA39" s="3"/>
      <c r="OBB39" s="3"/>
      <c r="OBC39" s="3"/>
      <c r="OBD39" s="3"/>
      <c r="OBE39" s="3"/>
      <c r="OBF39" s="3"/>
      <c r="OBG39" s="3"/>
      <c r="OBH39" s="3"/>
      <c r="OBI39" s="3"/>
      <c r="OBJ39" s="3"/>
      <c r="OBK39" s="3"/>
      <c r="OBL39" s="3"/>
      <c r="OBM39" s="3"/>
      <c r="OBN39" s="3"/>
      <c r="OBO39" s="3"/>
      <c r="OBP39" s="3"/>
      <c r="OBQ39" s="3"/>
      <c r="OBR39" s="3"/>
      <c r="OBS39" s="3"/>
      <c r="OBT39" s="3"/>
      <c r="OBU39" s="3"/>
      <c r="OBV39" s="3"/>
      <c r="OBW39" s="3"/>
      <c r="OBX39" s="3"/>
      <c r="OBY39" s="3"/>
      <c r="OBZ39" s="3"/>
      <c r="OCA39" s="3"/>
      <c r="OCB39" s="3"/>
      <c r="OCC39" s="3"/>
      <c r="OCD39" s="3"/>
      <c r="OCE39" s="3"/>
      <c r="OCF39" s="3"/>
      <c r="OCG39" s="3"/>
      <c r="OCH39" s="3"/>
      <c r="OCI39" s="3"/>
      <c r="OCJ39" s="3"/>
      <c r="OCK39" s="3"/>
      <c r="OCL39" s="3"/>
      <c r="OCM39" s="3"/>
      <c r="OCN39" s="3"/>
      <c r="OCO39" s="3"/>
      <c r="OCP39" s="3"/>
      <c r="OCQ39" s="3"/>
      <c r="OCR39" s="3"/>
      <c r="OCS39" s="3"/>
      <c r="OCT39" s="3"/>
      <c r="OCU39" s="3"/>
      <c r="OCV39" s="3"/>
      <c r="OCW39" s="3"/>
      <c r="OCX39" s="3"/>
      <c r="OCY39" s="3"/>
      <c r="OCZ39" s="3"/>
      <c r="ODA39" s="3"/>
      <c r="ODB39" s="3"/>
      <c r="ODC39" s="3"/>
      <c r="ODD39" s="3"/>
      <c r="ODE39" s="3"/>
      <c r="ODF39" s="3"/>
      <c r="ODG39" s="3"/>
      <c r="ODH39" s="3"/>
      <c r="ODI39" s="3"/>
      <c r="ODJ39" s="3"/>
      <c r="ODK39" s="3"/>
      <c r="ODL39" s="3"/>
      <c r="ODM39" s="3"/>
      <c r="ODN39" s="3"/>
      <c r="ODO39" s="3"/>
      <c r="ODP39" s="3"/>
      <c r="ODQ39" s="3"/>
      <c r="ODR39" s="3"/>
      <c r="ODS39" s="3"/>
      <c r="ODT39" s="3"/>
      <c r="ODU39" s="3"/>
      <c r="ODV39" s="3"/>
      <c r="ODW39" s="3"/>
      <c r="ODX39" s="3"/>
      <c r="ODY39" s="3"/>
      <c r="ODZ39" s="3"/>
      <c r="OEA39" s="3"/>
      <c r="OEB39" s="3"/>
      <c r="OEC39" s="3"/>
      <c r="OED39" s="3"/>
      <c r="OEE39" s="3"/>
      <c r="OEF39" s="3"/>
      <c r="OEG39" s="3"/>
      <c r="OEH39" s="3"/>
      <c r="OEI39" s="3"/>
      <c r="OEJ39" s="3"/>
      <c r="OEK39" s="3"/>
      <c r="OEL39" s="3"/>
      <c r="OEM39" s="3"/>
      <c r="OEN39" s="3"/>
      <c r="OEO39" s="3"/>
      <c r="OEP39" s="3"/>
      <c r="OEQ39" s="3"/>
      <c r="OER39" s="3"/>
      <c r="OES39" s="3"/>
      <c r="OET39" s="3"/>
      <c r="OEU39" s="3"/>
      <c r="OEV39" s="3"/>
      <c r="OEW39" s="3"/>
      <c r="OEX39" s="3"/>
      <c r="OEY39" s="3"/>
      <c r="OEZ39" s="3"/>
      <c r="OFA39" s="3"/>
      <c r="OFB39" s="3"/>
      <c r="OFC39" s="3"/>
      <c r="OFD39" s="3"/>
      <c r="OFE39" s="3"/>
      <c r="OFF39" s="3"/>
      <c r="OFG39" s="3"/>
      <c r="OFH39" s="3"/>
      <c r="OFI39" s="3"/>
      <c r="OFJ39" s="3"/>
      <c r="OFK39" s="3"/>
      <c r="OFL39" s="3"/>
      <c r="OFM39" s="3"/>
      <c r="OFN39" s="3"/>
      <c r="OFO39" s="3"/>
      <c r="OFP39" s="3"/>
      <c r="OFQ39" s="3"/>
      <c r="OFR39" s="3"/>
      <c r="OFS39" s="3"/>
      <c r="OFT39" s="3"/>
      <c r="OFU39" s="3"/>
      <c r="OFV39" s="3"/>
      <c r="OFW39" s="3"/>
      <c r="OFX39" s="3"/>
      <c r="OFY39" s="3"/>
      <c r="OFZ39" s="3"/>
      <c r="OGA39" s="3"/>
      <c r="OGB39" s="3"/>
      <c r="OGC39" s="3"/>
      <c r="OGD39" s="3"/>
      <c r="OGE39" s="3"/>
      <c r="OGF39" s="3"/>
      <c r="OGG39" s="3"/>
      <c r="OGH39" s="3"/>
      <c r="OGI39" s="3"/>
      <c r="OGJ39" s="3"/>
      <c r="OGK39" s="3"/>
      <c r="OGL39" s="3"/>
      <c r="OGM39" s="3"/>
      <c r="OGN39" s="3"/>
      <c r="OGO39" s="3"/>
      <c r="OGP39" s="3"/>
      <c r="OGQ39" s="3"/>
      <c r="OGR39" s="3"/>
      <c r="OGS39" s="3"/>
      <c r="OGT39" s="3"/>
      <c r="OGU39" s="3"/>
      <c r="OGV39" s="3"/>
      <c r="OGW39" s="3"/>
      <c r="OGX39" s="3"/>
      <c r="OGY39" s="3"/>
      <c r="OGZ39" s="3"/>
      <c r="OHA39" s="3"/>
      <c r="OHB39" s="3"/>
      <c r="OHC39" s="3"/>
      <c r="OHD39" s="3"/>
      <c r="OHE39" s="3"/>
      <c r="OHF39" s="3"/>
      <c r="OHG39" s="3"/>
      <c r="OHH39" s="3"/>
      <c r="OHI39" s="3"/>
      <c r="OHJ39" s="3"/>
      <c r="OHK39" s="3"/>
      <c r="OHL39" s="3"/>
      <c r="OHM39" s="3"/>
      <c r="OHN39" s="3"/>
      <c r="OHO39" s="3"/>
      <c r="OHP39" s="3"/>
      <c r="OHQ39" s="3"/>
      <c r="OHR39" s="3"/>
      <c r="OHS39" s="3"/>
      <c r="OHT39" s="3"/>
      <c r="OHU39" s="3"/>
      <c r="OHV39" s="3"/>
      <c r="OHW39" s="3"/>
      <c r="OHX39" s="3"/>
      <c r="OHY39" s="3"/>
      <c r="OHZ39" s="3"/>
      <c r="OIA39" s="3"/>
      <c r="OIB39" s="3"/>
      <c r="OIC39" s="3"/>
      <c r="OID39" s="3"/>
      <c r="OIE39" s="3"/>
      <c r="OIF39" s="3"/>
      <c r="OIG39" s="3"/>
      <c r="OIH39" s="3"/>
      <c r="OII39" s="3"/>
      <c r="OIJ39" s="3"/>
      <c r="OIK39" s="3"/>
      <c r="OIL39" s="3"/>
      <c r="OIM39" s="3"/>
      <c r="OIN39" s="3"/>
      <c r="OIO39" s="3"/>
      <c r="OIP39" s="3"/>
      <c r="OIQ39" s="3"/>
      <c r="OIR39" s="3"/>
      <c r="OIS39" s="3"/>
      <c r="OIT39" s="3"/>
      <c r="OIU39" s="3"/>
      <c r="OIV39" s="3"/>
      <c r="OIW39" s="3"/>
      <c r="OIX39" s="3"/>
      <c r="OIY39" s="3"/>
      <c r="OIZ39" s="3"/>
      <c r="OJA39" s="3"/>
      <c r="OJB39" s="3"/>
      <c r="OJC39" s="3"/>
      <c r="OJD39" s="3"/>
      <c r="OJE39" s="3"/>
      <c r="OJF39" s="3"/>
      <c r="OJG39" s="3"/>
      <c r="OJH39" s="3"/>
      <c r="OJI39" s="3"/>
      <c r="OJJ39" s="3"/>
      <c r="OJK39" s="3"/>
      <c r="OJL39" s="3"/>
      <c r="OJM39" s="3"/>
      <c r="OJN39" s="3"/>
      <c r="OJO39" s="3"/>
      <c r="OJP39" s="3"/>
      <c r="OJQ39" s="3"/>
      <c r="OJR39" s="3"/>
      <c r="OJS39" s="3"/>
      <c r="OJT39" s="3"/>
      <c r="OJU39" s="3"/>
      <c r="OJV39" s="3"/>
      <c r="OJW39" s="3"/>
      <c r="OJX39" s="3"/>
      <c r="OJY39" s="3"/>
      <c r="OJZ39" s="3"/>
      <c r="OKA39" s="3"/>
      <c r="OKB39" s="3"/>
      <c r="OKC39" s="3"/>
      <c r="OKD39" s="3"/>
      <c r="OKE39" s="3"/>
      <c r="OKF39" s="3"/>
      <c r="OKG39" s="3"/>
      <c r="OKH39" s="3"/>
      <c r="OKI39" s="3"/>
      <c r="OKJ39" s="3"/>
      <c r="OKK39" s="3"/>
      <c r="OKL39" s="3"/>
      <c r="OKM39" s="3"/>
      <c r="OKN39" s="3"/>
      <c r="OKO39" s="3"/>
      <c r="OKP39" s="3"/>
      <c r="OKQ39" s="3"/>
      <c r="OKR39" s="3"/>
      <c r="OKS39" s="3"/>
      <c r="OKT39" s="3"/>
      <c r="OKU39" s="3"/>
      <c r="OKV39" s="3"/>
      <c r="OKW39" s="3"/>
      <c r="OKX39" s="3"/>
      <c r="OKY39" s="3"/>
      <c r="OKZ39" s="3"/>
      <c r="OLA39" s="3"/>
      <c r="OLB39" s="3"/>
      <c r="OLC39" s="3"/>
      <c r="OLD39" s="3"/>
      <c r="OLE39" s="3"/>
      <c r="OLF39" s="3"/>
      <c r="OLG39" s="3"/>
      <c r="OLH39" s="3"/>
      <c r="OLI39" s="3"/>
      <c r="OLJ39" s="3"/>
      <c r="OLK39" s="3"/>
      <c r="OLL39" s="3"/>
      <c r="OLM39" s="3"/>
      <c r="OLN39" s="3"/>
      <c r="OLO39" s="3"/>
      <c r="OLP39" s="3"/>
      <c r="OLQ39" s="3"/>
      <c r="OLR39" s="3"/>
      <c r="OLS39" s="3"/>
      <c r="OLT39" s="3"/>
      <c r="OLU39" s="3"/>
      <c r="OLV39" s="3"/>
      <c r="OLW39" s="3"/>
      <c r="OLX39" s="3"/>
      <c r="OLY39" s="3"/>
      <c r="OLZ39" s="3"/>
      <c r="OMA39" s="3"/>
      <c r="OMB39" s="3"/>
      <c r="OMC39" s="3"/>
      <c r="OMD39" s="3"/>
      <c r="OME39" s="3"/>
      <c r="OMF39" s="3"/>
      <c r="OMG39" s="3"/>
      <c r="OMH39" s="3"/>
      <c r="OMI39" s="3"/>
      <c r="OMJ39" s="3"/>
      <c r="OMK39" s="3"/>
      <c r="OML39" s="3"/>
      <c r="OMM39" s="3"/>
      <c r="OMN39" s="3"/>
      <c r="OMO39" s="3"/>
      <c r="OMP39" s="3"/>
      <c r="OMQ39" s="3"/>
      <c r="OMR39" s="3"/>
      <c r="OMS39" s="3"/>
      <c r="OMT39" s="3"/>
      <c r="OMU39" s="3"/>
      <c r="OMV39" s="3"/>
      <c r="OMW39" s="3"/>
      <c r="OMX39" s="3"/>
      <c r="OMY39" s="3"/>
      <c r="OMZ39" s="3"/>
      <c r="ONA39" s="3"/>
      <c r="ONB39" s="3"/>
      <c r="ONC39" s="3"/>
      <c r="OND39" s="3"/>
      <c r="ONE39" s="3"/>
      <c r="ONF39" s="3"/>
      <c r="ONG39" s="3"/>
      <c r="ONH39" s="3"/>
      <c r="ONI39" s="3"/>
      <c r="ONJ39" s="3"/>
      <c r="ONK39" s="3"/>
      <c r="ONL39" s="3"/>
      <c r="ONM39" s="3"/>
      <c r="ONN39" s="3"/>
      <c r="ONO39" s="3"/>
      <c r="ONP39" s="3"/>
      <c r="ONQ39" s="3"/>
      <c r="ONR39" s="3"/>
      <c r="ONS39" s="3"/>
      <c r="ONT39" s="3"/>
      <c r="ONU39" s="3"/>
      <c r="ONV39" s="3"/>
      <c r="ONW39" s="3"/>
      <c r="ONX39" s="3"/>
      <c r="ONY39" s="3"/>
      <c r="ONZ39" s="3"/>
      <c r="OOA39" s="3"/>
      <c r="OOB39" s="3"/>
      <c r="OOC39" s="3"/>
      <c r="OOD39" s="3"/>
      <c r="OOE39" s="3"/>
      <c r="OOF39" s="3"/>
      <c r="OOG39" s="3"/>
      <c r="OOH39" s="3"/>
      <c r="OOI39" s="3"/>
      <c r="OOJ39" s="3"/>
      <c r="OOK39" s="3"/>
      <c r="OOL39" s="3"/>
      <c r="OOM39" s="3"/>
      <c r="OON39" s="3"/>
      <c r="OOO39" s="3"/>
      <c r="OOP39" s="3"/>
      <c r="OOQ39" s="3"/>
      <c r="OOR39" s="3"/>
      <c r="OOS39" s="3"/>
      <c r="OOT39" s="3"/>
      <c r="OOU39" s="3"/>
      <c r="OOV39" s="3"/>
      <c r="OOW39" s="3"/>
      <c r="OOX39" s="3"/>
      <c r="OOY39" s="3"/>
      <c r="OOZ39" s="3"/>
      <c r="OPA39" s="3"/>
      <c r="OPB39" s="3"/>
      <c r="OPC39" s="3"/>
      <c r="OPD39" s="3"/>
      <c r="OPE39" s="3"/>
      <c r="OPF39" s="3"/>
      <c r="OPG39" s="3"/>
      <c r="OPH39" s="3"/>
      <c r="OPI39" s="3"/>
      <c r="OPJ39" s="3"/>
      <c r="OPK39" s="3"/>
      <c r="OPL39" s="3"/>
      <c r="OPM39" s="3"/>
      <c r="OPN39" s="3"/>
      <c r="OPO39" s="3"/>
      <c r="OPP39" s="3"/>
      <c r="OPQ39" s="3"/>
      <c r="OPR39" s="3"/>
      <c r="OPS39" s="3"/>
      <c r="OPT39" s="3"/>
      <c r="OPU39" s="3"/>
      <c r="OPV39" s="3"/>
      <c r="OPW39" s="3"/>
      <c r="OPX39" s="3"/>
      <c r="OPY39" s="3"/>
      <c r="OPZ39" s="3"/>
      <c r="OQA39" s="3"/>
      <c r="OQB39" s="3"/>
      <c r="OQC39" s="3"/>
      <c r="OQD39" s="3"/>
      <c r="OQE39" s="3"/>
      <c r="OQF39" s="3"/>
      <c r="OQG39" s="3"/>
      <c r="OQH39" s="3"/>
      <c r="OQI39" s="3"/>
      <c r="OQJ39" s="3"/>
      <c r="OQK39" s="3"/>
      <c r="OQL39" s="3"/>
      <c r="OQM39" s="3"/>
      <c r="OQN39" s="3"/>
      <c r="OQO39" s="3"/>
      <c r="OQP39" s="3"/>
      <c r="OQQ39" s="3"/>
      <c r="OQR39" s="3"/>
      <c r="OQS39" s="3"/>
      <c r="OQT39" s="3"/>
      <c r="OQU39" s="3"/>
      <c r="OQV39" s="3"/>
      <c r="OQW39" s="3"/>
      <c r="OQX39" s="3"/>
      <c r="OQY39" s="3"/>
      <c r="OQZ39" s="3"/>
      <c r="ORA39" s="3"/>
      <c r="ORB39" s="3"/>
      <c r="ORC39" s="3"/>
      <c r="ORD39" s="3"/>
      <c r="ORE39" s="3"/>
      <c r="ORF39" s="3"/>
      <c r="ORG39" s="3"/>
      <c r="ORH39" s="3"/>
      <c r="ORI39" s="3"/>
      <c r="ORJ39" s="3"/>
      <c r="ORK39" s="3"/>
      <c r="ORL39" s="3"/>
      <c r="ORM39" s="3"/>
      <c r="ORN39" s="3"/>
      <c r="ORO39" s="3"/>
      <c r="ORP39" s="3"/>
      <c r="ORQ39" s="3"/>
      <c r="ORR39" s="3"/>
      <c r="ORS39" s="3"/>
      <c r="ORT39" s="3"/>
      <c r="ORU39" s="3"/>
      <c r="ORV39" s="3"/>
      <c r="ORW39" s="3"/>
      <c r="ORX39" s="3"/>
      <c r="ORY39" s="3"/>
      <c r="ORZ39" s="3"/>
      <c r="OSA39" s="3"/>
      <c r="OSB39" s="3"/>
      <c r="OSC39" s="3"/>
      <c r="OSD39" s="3"/>
      <c r="OSE39" s="3"/>
      <c r="OSF39" s="3"/>
      <c r="OSG39" s="3"/>
      <c r="OSH39" s="3"/>
      <c r="OSI39" s="3"/>
      <c r="OSJ39" s="3"/>
      <c r="OSK39" s="3"/>
      <c r="OSL39" s="3"/>
      <c r="OSM39" s="3"/>
      <c r="OSN39" s="3"/>
      <c r="OSO39" s="3"/>
      <c r="OSP39" s="3"/>
      <c r="OSQ39" s="3"/>
      <c r="OSR39" s="3"/>
      <c r="OSS39" s="3"/>
      <c r="OST39" s="3"/>
      <c r="OSU39" s="3"/>
      <c r="OSV39" s="3"/>
      <c r="OSW39" s="3"/>
      <c r="OSX39" s="3"/>
      <c r="OSY39" s="3"/>
      <c r="OSZ39" s="3"/>
      <c r="OTA39" s="3"/>
      <c r="OTB39" s="3"/>
      <c r="OTC39" s="3"/>
      <c r="OTD39" s="3"/>
      <c r="OTE39" s="3"/>
      <c r="OTF39" s="3"/>
      <c r="OTG39" s="3"/>
      <c r="OTH39" s="3"/>
      <c r="OTI39" s="3"/>
      <c r="OTJ39" s="3"/>
      <c r="OTK39" s="3"/>
      <c r="OTL39" s="3"/>
      <c r="OTM39" s="3"/>
      <c r="OTN39" s="3"/>
      <c r="OTO39" s="3"/>
      <c r="OTP39" s="3"/>
      <c r="OTQ39" s="3"/>
      <c r="OTR39" s="3"/>
      <c r="OTS39" s="3"/>
      <c r="OTT39" s="3"/>
      <c r="OTU39" s="3"/>
      <c r="OTV39" s="3"/>
      <c r="OTW39" s="3"/>
      <c r="OTX39" s="3"/>
      <c r="OTY39" s="3"/>
      <c r="OTZ39" s="3"/>
      <c r="OUA39" s="3"/>
      <c r="OUB39" s="3"/>
      <c r="OUC39" s="3"/>
      <c r="OUD39" s="3"/>
      <c r="OUE39" s="3"/>
      <c r="OUF39" s="3"/>
      <c r="OUG39" s="3"/>
      <c r="OUH39" s="3"/>
      <c r="OUI39" s="3"/>
      <c r="OUJ39" s="3"/>
      <c r="OUK39" s="3"/>
      <c r="OUL39" s="3"/>
      <c r="OUM39" s="3"/>
      <c r="OUN39" s="3"/>
      <c r="OUO39" s="3"/>
      <c r="OUP39" s="3"/>
      <c r="OUQ39" s="3"/>
      <c r="OUR39" s="3"/>
      <c r="OUS39" s="3"/>
      <c r="OUT39" s="3"/>
      <c r="OUU39" s="3"/>
      <c r="OUV39" s="3"/>
      <c r="OUW39" s="3"/>
      <c r="OUX39" s="3"/>
      <c r="OUY39" s="3"/>
      <c r="OUZ39" s="3"/>
      <c r="OVA39" s="3"/>
      <c r="OVB39" s="3"/>
      <c r="OVC39" s="3"/>
      <c r="OVD39" s="3"/>
      <c r="OVE39" s="3"/>
      <c r="OVF39" s="3"/>
      <c r="OVG39" s="3"/>
      <c r="OVH39" s="3"/>
      <c r="OVI39" s="3"/>
      <c r="OVJ39" s="3"/>
      <c r="OVK39" s="3"/>
      <c r="OVL39" s="3"/>
      <c r="OVM39" s="3"/>
      <c r="OVN39" s="3"/>
      <c r="OVO39" s="3"/>
      <c r="OVP39" s="3"/>
      <c r="OVQ39" s="3"/>
      <c r="OVR39" s="3"/>
      <c r="OVS39" s="3"/>
      <c r="OVT39" s="3"/>
      <c r="OVU39" s="3"/>
      <c r="OVV39" s="3"/>
      <c r="OVW39" s="3"/>
      <c r="OVX39" s="3"/>
      <c r="OVY39" s="3"/>
      <c r="OVZ39" s="3"/>
      <c r="OWA39" s="3"/>
      <c r="OWB39" s="3"/>
      <c r="OWC39" s="3"/>
      <c r="OWD39" s="3"/>
      <c r="OWE39" s="3"/>
      <c r="OWF39" s="3"/>
      <c r="OWG39" s="3"/>
      <c r="OWH39" s="3"/>
      <c r="OWI39" s="3"/>
      <c r="OWJ39" s="3"/>
      <c r="OWK39" s="3"/>
      <c r="OWL39" s="3"/>
      <c r="OWM39" s="3"/>
      <c r="OWN39" s="3"/>
      <c r="OWO39" s="3"/>
      <c r="OWP39" s="3"/>
      <c r="OWQ39" s="3"/>
      <c r="OWR39" s="3"/>
      <c r="OWS39" s="3"/>
      <c r="OWT39" s="3"/>
      <c r="OWU39" s="3"/>
      <c r="OWV39" s="3"/>
      <c r="OWW39" s="3"/>
      <c r="OWX39" s="3"/>
      <c r="OWY39" s="3"/>
      <c r="OWZ39" s="3"/>
      <c r="OXA39" s="3"/>
      <c r="OXB39" s="3"/>
      <c r="OXC39" s="3"/>
      <c r="OXD39" s="3"/>
      <c r="OXE39" s="3"/>
      <c r="OXF39" s="3"/>
      <c r="OXG39" s="3"/>
      <c r="OXH39" s="3"/>
      <c r="OXI39" s="3"/>
      <c r="OXJ39" s="3"/>
      <c r="OXK39" s="3"/>
      <c r="OXL39" s="3"/>
      <c r="OXM39" s="3"/>
      <c r="OXN39" s="3"/>
      <c r="OXO39" s="3"/>
      <c r="OXP39" s="3"/>
      <c r="OXQ39" s="3"/>
      <c r="OXR39" s="3"/>
      <c r="OXS39" s="3"/>
      <c r="OXT39" s="3"/>
      <c r="OXU39" s="3"/>
      <c r="OXV39" s="3"/>
      <c r="OXW39" s="3"/>
      <c r="OXX39" s="3"/>
      <c r="OXY39" s="3"/>
      <c r="OXZ39" s="3"/>
      <c r="OYA39" s="3"/>
      <c r="OYB39" s="3"/>
      <c r="OYC39" s="3"/>
      <c r="OYD39" s="3"/>
      <c r="OYE39" s="3"/>
      <c r="OYF39" s="3"/>
      <c r="OYG39" s="3"/>
      <c r="OYH39" s="3"/>
      <c r="OYI39" s="3"/>
      <c r="OYJ39" s="3"/>
      <c r="OYK39" s="3"/>
      <c r="OYL39" s="3"/>
      <c r="OYM39" s="3"/>
      <c r="OYN39" s="3"/>
      <c r="OYO39" s="3"/>
      <c r="OYP39" s="3"/>
      <c r="OYQ39" s="3"/>
      <c r="OYR39" s="3"/>
      <c r="OYS39" s="3"/>
      <c r="OYT39" s="3"/>
      <c r="OYU39" s="3"/>
      <c r="OYV39" s="3"/>
      <c r="OYW39" s="3"/>
      <c r="OYX39" s="3"/>
      <c r="OYY39" s="3"/>
      <c r="OYZ39" s="3"/>
      <c r="OZA39" s="3"/>
      <c r="OZB39" s="3"/>
      <c r="OZC39" s="3"/>
      <c r="OZD39" s="3"/>
      <c r="OZE39" s="3"/>
      <c r="OZF39" s="3"/>
      <c r="OZG39" s="3"/>
      <c r="OZH39" s="3"/>
      <c r="OZI39" s="3"/>
      <c r="OZJ39" s="3"/>
      <c r="OZK39" s="3"/>
      <c r="OZL39" s="3"/>
      <c r="OZM39" s="3"/>
      <c r="OZN39" s="3"/>
      <c r="OZO39" s="3"/>
      <c r="OZP39" s="3"/>
      <c r="OZQ39" s="3"/>
      <c r="OZR39" s="3"/>
      <c r="OZS39" s="3"/>
      <c r="OZT39" s="3"/>
      <c r="OZU39" s="3"/>
      <c r="OZV39" s="3"/>
      <c r="OZW39" s="3"/>
      <c r="OZX39" s="3"/>
      <c r="OZY39" s="3"/>
      <c r="OZZ39" s="3"/>
      <c r="PAA39" s="3"/>
      <c r="PAB39" s="3"/>
      <c r="PAC39" s="3"/>
      <c r="PAD39" s="3"/>
      <c r="PAE39" s="3"/>
      <c r="PAF39" s="3"/>
      <c r="PAG39" s="3"/>
      <c r="PAH39" s="3"/>
      <c r="PAI39" s="3"/>
      <c r="PAJ39" s="3"/>
      <c r="PAK39" s="3"/>
      <c r="PAL39" s="3"/>
      <c r="PAM39" s="3"/>
      <c r="PAN39" s="3"/>
      <c r="PAO39" s="3"/>
      <c r="PAP39" s="3"/>
      <c r="PAQ39" s="3"/>
      <c r="PAR39" s="3"/>
      <c r="PAS39" s="3"/>
      <c r="PAT39" s="3"/>
      <c r="PAU39" s="3"/>
      <c r="PAV39" s="3"/>
      <c r="PAW39" s="3"/>
      <c r="PAX39" s="3"/>
      <c r="PAY39" s="3"/>
      <c r="PAZ39" s="3"/>
      <c r="PBA39" s="3"/>
      <c r="PBB39" s="3"/>
      <c r="PBC39" s="3"/>
      <c r="PBD39" s="3"/>
      <c r="PBE39" s="3"/>
      <c r="PBF39" s="3"/>
      <c r="PBG39" s="3"/>
      <c r="PBH39" s="3"/>
      <c r="PBI39" s="3"/>
      <c r="PBJ39" s="3"/>
      <c r="PBK39" s="3"/>
      <c r="PBL39" s="3"/>
      <c r="PBM39" s="3"/>
      <c r="PBN39" s="3"/>
      <c r="PBO39" s="3"/>
      <c r="PBP39" s="3"/>
      <c r="PBQ39" s="3"/>
      <c r="PBR39" s="3"/>
      <c r="PBS39" s="3"/>
      <c r="PBT39" s="3"/>
      <c r="PBU39" s="3"/>
      <c r="PBV39" s="3"/>
      <c r="PBW39" s="3"/>
      <c r="PBX39" s="3"/>
      <c r="PBY39" s="3"/>
      <c r="PBZ39" s="3"/>
      <c r="PCA39" s="3"/>
      <c r="PCB39" s="3"/>
      <c r="PCC39" s="3"/>
      <c r="PCD39" s="3"/>
      <c r="PCE39" s="3"/>
      <c r="PCF39" s="3"/>
      <c r="PCG39" s="3"/>
      <c r="PCH39" s="3"/>
      <c r="PCI39" s="3"/>
      <c r="PCJ39" s="3"/>
      <c r="PCK39" s="3"/>
      <c r="PCL39" s="3"/>
      <c r="PCM39" s="3"/>
      <c r="PCN39" s="3"/>
      <c r="PCO39" s="3"/>
      <c r="PCP39" s="3"/>
      <c r="PCQ39" s="3"/>
      <c r="PCR39" s="3"/>
      <c r="PCS39" s="3"/>
      <c r="PCT39" s="3"/>
      <c r="PCU39" s="3"/>
      <c r="PCV39" s="3"/>
      <c r="PCW39" s="3"/>
      <c r="PCX39" s="3"/>
      <c r="PCY39" s="3"/>
      <c r="PCZ39" s="3"/>
      <c r="PDA39" s="3"/>
      <c r="PDB39" s="3"/>
      <c r="PDC39" s="3"/>
      <c r="PDD39" s="3"/>
      <c r="PDE39" s="3"/>
      <c r="PDF39" s="3"/>
      <c r="PDG39" s="3"/>
      <c r="PDH39" s="3"/>
      <c r="PDI39" s="3"/>
      <c r="PDJ39" s="3"/>
      <c r="PDK39" s="3"/>
      <c r="PDL39" s="3"/>
      <c r="PDM39" s="3"/>
      <c r="PDN39" s="3"/>
      <c r="PDO39" s="3"/>
      <c r="PDP39" s="3"/>
      <c r="PDQ39" s="3"/>
      <c r="PDR39" s="3"/>
      <c r="PDS39" s="3"/>
      <c r="PDT39" s="3"/>
      <c r="PDU39" s="3"/>
      <c r="PDV39" s="3"/>
      <c r="PDW39" s="3"/>
      <c r="PDX39" s="3"/>
      <c r="PDY39" s="3"/>
      <c r="PDZ39" s="3"/>
      <c r="PEA39" s="3"/>
      <c r="PEB39" s="3"/>
      <c r="PEC39" s="3"/>
      <c r="PED39" s="3"/>
      <c r="PEE39" s="3"/>
      <c r="PEF39" s="3"/>
      <c r="PEG39" s="3"/>
      <c r="PEH39" s="3"/>
      <c r="PEI39" s="3"/>
      <c r="PEJ39" s="3"/>
      <c r="PEK39" s="3"/>
      <c r="PEL39" s="3"/>
      <c r="PEM39" s="3"/>
      <c r="PEN39" s="3"/>
      <c r="PEO39" s="3"/>
      <c r="PEP39" s="3"/>
      <c r="PEQ39" s="3"/>
      <c r="PER39" s="3"/>
      <c r="PES39" s="3"/>
      <c r="PET39" s="3"/>
      <c r="PEU39" s="3"/>
      <c r="PEV39" s="3"/>
      <c r="PEW39" s="3"/>
      <c r="PEX39" s="3"/>
      <c r="PEY39" s="3"/>
      <c r="PEZ39" s="3"/>
      <c r="PFA39" s="3"/>
      <c r="PFB39" s="3"/>
      <c r="PFC39" s="3"/>
      <c r="PFD39" s="3"/>
      <c r="PFE39" s="3"/>
      <c r="PFF39" s="3"/>
      <c r="PFG39" s="3"/>
      <c r="PFH39" s="3"/>
      <c r="PFI39" s="3"/>
      <c r="PFJ39" s="3"/>
      <c r="PFK39" s="3"/>
      <c r="PFL39" s="3"/>
      <c r="PFM39" s="3"/>
      <c r="PFN39" s="3"/>
      <c r="PFO39" s="3"/>
      <c r="PFP39" s="3"/>
      <c r="PFQ39" s="3"/>
      <c r="PFR39" s="3"/>
      <c r="PFS39" s="3"/>
      <c r="PFT39" s="3"/>
      <c r="PFU39" s="3"/>
      <c r="PFV39" s="3"/>
      <c r="PFW39" s="3"/>
      <c r="PFX39" s="3"/>
      <c r="PFY39" s="3"/>
      <c r="PFZ39" s="3"/>
      <c r="PGA39" s="3"/>
      <c r="PGB39" s="3"/>
      <c r="PGC39" s="3"/>
      <c r="PGD39" s="3"/>
      <c r="PGE39" s="3"/>
      <c r="PGF39" s="3"/>
      <c r="PGG39" s="3"/>
      <c r="PGH39" s="3"/>
      <c r="PGI39" s="3"/>
      <c r="PGJ39" s="3"/>
      <c r="PGK39" s="3"/>
      <c r="PGL39" s="3"/>
      <c r="PGM39" s="3"/>
      <c r="PGN39" s="3"/>
      <c r="PGO39" s="3"/>
      <c r="PGP39" s="3"/>
      <c r="PGQ39" s="3"/>
      <c r="PGR39" s="3"/>
      <c r="PGS39" s="3"/>
      <c r="PGT39" s="3"/>
      <c r="PGU39" s="3"/>
      <c r="PGV39" s="3"/>
      <c r="PGW39" s="3"/>
      <c r="PGX39" s="3"/>
      <c r="PGY39" s="3"/>
      <c r="PGZ39" s="3"/>
      <c r="PHA39" s="3"/>
      <c r="PHB39" s="3"/>
      <c r="PHC39" s="3"/>
      <c r="PHD39" s="3"/>
      <c r="PHE39" s="3"/>
      <c r="PHF39" s="3"/>
      <c r="PHG39" s="3"/>
      <c r="PHH39" s="3"/>
      <c r="PHI39" s="3"/>
      <c r="PHJ39" s="3"/>
      <c r="PHK39" s="3"/>
      <c r="PHL39" s="3"/>
      <c r="PHM39" s="3"/>
      <c r="PHN39" s="3"/>
      <c r="PHO39" s="3"/>
      <c r="PHP39" s="3"/>
      <c r="PHQ39" s="3"/>
      <c r="PHR39" s="3"/>
      <c r="PHS39" s="3"/>
      <c r="PHT39" s="3"/>
      <c r="PHU39" s="3"/>
      <c r="PHV39" s="3"/>
      <c r="PHW39" s="3"/>
      <c r="PHX39" s="3"/>
      <c r="PHY39" s="3"/>
      <c r="PHZ39" s="3"/>
      <c r="PIA39" s="3"/>
      <c r="PIB39" s="3"/>
      <c r="PIC39" s="3"/>
      <c r="PID39" s="3"/>
      <c r="PIE39" s="3"/>
      <c r="PIF39" s="3"/>
      <c r="PIG39" s="3"/>
      <c r="PIH39" s="3"/>
      <c r="PII39" s="3"/>
      <c r="PIJ39" s="3"/>
      <c r="PIK39" s="3"/>
      <c r="PIL39" s="3"/>
      <c r="PIM39" s="3"/>
      <c r="PIN39" s="3"/>
      <c r="PIO39" s="3"/>
      <c r="PIP39" s="3"/>
      <c r="PIQ39" s="3"/>
      <c r="PIR39" s="3"/>
      <c r="PIS39" s="3"/>
      <c r="PIT39" s="3"/>
      <c r="PIU39" s="3"/>
      <c r="PIV39" s="3"/>
      <c r="PIW39" s="3"/>
      <c r="PIX39" s="3"/>
      <c r="PIY39" s="3"/>
      <c r="PIZ39" s="3"/>
      <c r="PJA39" s="3"/>
      <c r="PJB39" s="3"/>
      <c r="PJC39" s="3"/>
      <c r="PJD39" s="3"/>
      <c r="PJE39" s="3"/>
      <c r="PJF39" s="3"/>
      <c r="PJG39" s="3"/>
      <c r="PJH39" s="3"/>
      <c r="PJI39" s="3"/>
      <c r="PJJ39" s="3"/>
      <c r="PJK39" s="3"/>
      <c r="PJL39" s="3"/>
      <c r="PJM39" s="3"/>
      <c r="PJN39" s="3"/>
      <c r="PJO39" s="3"/>
      <c r="PJP39" s="3"/>
      <c r="PJQ39" s="3"/>
      <c r="PJR39" s="3"/>
      <c r="PJS39" s="3"/>
      <c r="PJT39" s="3"/>
      <c r="PJU39" s="3"/>
      <c r="PJV39" s="3"/>
      <c r="PJW39" s="3"/>
      <c r="PJX39" s="3"/>
      <c r="PJY39" s="3"/>
      <c r="PJZ39" s="3"/>
      <c r="PKA39" s="3"/>
      <c r="PKB39" s="3"/>
      <c r="PKC39" s="3"/>
      <c r="PKD39" s="3"/>
      <c r="PKE39" s="3"/>
      <c r="PKF39" s="3"/>
      <c r="PKG39" s="3"/>
      <c r="PKH39" s="3"/>
      <c r="PKI39" s="3"/>
      <c r="PKJ39" s="3"/>
      <c r="PKK39" s="3"/>
      <c r="PKL39" s="3"/>
      <c r="PKM39" s="3"/>
      <c r="PKN39" s="3"/>
      <c r="PKO39" s="3"/>
      <c r="PKP39" s="3"/>
      <c r="PKQ39" s="3"/>
      <c r="PKR39" s="3"/>
      <c r="PKS39" s="3"/>
      <c r="PKT39" s="3"/>
      <c r="PKU39" s="3"/>
      <c r="PKV39" s="3"/>
      <c r="PKW39" s="3"/>
      <c r="PKX39" s="3"/>
      <c r="PKY39" s="3"/>
      <c r="PKZ39" s="3"/>
      <c r="PLA39" s="3"/>
      <c r="PLB39" s="3"/>
      <c r="PLC39" s="3"/>
      <c r="PLD39" s="3"/>
      <c r="PLE39" s="3"/>
      <c r="PLF39" s="3"/>
      <c r="PLG39" s="3"/>
      <c r="PLH39" s="3"/>
      <c r="PLI39" s="3"/>
      <c r="PLJ39" s="3"/>
      <c r="PLK39" s="3"/>
      <c r="PLL39" s="3"/>
      <c r="PLM39" s="3"/>
      <c r="PLN39" s="3"/>
      <c r="PLO39" s="3"/>
      <c r="PLP39" s="3"/>
      <c r="PLQ39" s="3"/>
      <c r="PLR39" s="3"/>
      <c r="PLS39" s="3"/>
      <c r="PLT39" s="3"/>
      <c r="PLU39" s="3"/>
      <c r="PLV39" s="3"/>
      <c r="PLW39" s="3"/>
      <c r="PLX39" s="3"/>
      <c r="PLY39" s="3"/>
      <c r="PLZ39" s="3"/>
      <c r="PMA39" s="3"/>
      <c r="PMB39" s="3"/>
      <c r="PMC39" s="3"/>
      <c r="PMD39" s="3"/>
      <c r="PME39" s="3"/>
      <c r="PMF39" s="3"/>
      <c r="PMG39" s="3"/>
      <c r="PMH39" s="3"/>
      <c r="PMI39" s="3"/>
      <c r="PMJ39" s="3"/>
      <c r="PMK39" s="3"/>
      <c r="PML39" s="3"/>
      <c r="PMM39" s="3"/>
      <c r="PMN39" s="3"/>
      <c r="PMO39" s="3"/>
      <c r="PMP39" s="3"/>
      <c r="PMQ39" s="3"/>
      <c r="PMR39" s="3"/>
      <c r="PMS39" s="3"/>
      <c r="PMT39" s="3"/>
      <c r="PMU39" s="3"/>
      <c r="PMV39" s="3"/>
      <c r="PMW39" s="3"/>
      <c r="PMX39" s="3"/>
      <c r="PMY39" s="3"/>
      <c r="PMZ39" s="3"/>
      <c r="PNA39" s="3"/>
      <c r="PNB39" s="3"/>
      <c r="PNC39" s="3"/>
      <c r="PND39" s="3"/>
      <c r="PNE39" s="3"/>
      <c r="PNF39" s="3"/>
      <c r="PNG39" s="3"/>
      <c r="PNH39" s="3"/>
      <c r="PNI39" s="3"/>
      <c r="PNJ39" s="3"/>
      <c r="PNK39" s="3"/>
      <c r="PNL39" s="3"/>
      <c r="PNM39" s="3"/>
      <c r="PNN39" s="3"/>
      <c r="PNO39" s="3"/>
      <c r="PNP39" s="3"/>
      <c r="PNQ39" s="3"/>
      <c r="PNR39" s="3"/>
      <c r="PNS39" s="3"/>
      <c r="PNT39" s="3"/>
      <c r="PNU39" s="3"/>
      <c r="PNV39" s="3"/>
      <c r="PNW39" s="3"/>
      <c r="PNX39" s="3"/>
      <c r="PNY39" s="3"/>
      <c r="PNZ39" s="3"/>
      <c r="POA39" s="3"/>
      <c r="POB39" s="3"/>
      <c r="POC39" s="3"/>
      <c r="POD39" s="3"/>
      <c r="POE39" s="3"/>
      <c r="POF39" s="3"/>
      <c r="POG39" s="3"/>
      <c r="POH39" s="3"/>
      <c r="POI39" s="3"/>
      <c r="POJ39" s="3"/>
      <c r="POK39" s="3"/>
      <c r="POL39" s="3"/>
      <c r="POM39" s="3"/>
      <c r="PON39" s="3"/>
      <c r="POO39" s="3"/>
      <c r="POP39" s="3"/>
      <c r="POQ39" s="3"/>
      <c r="POR39" s="3"/>
      <c r="POS39" s="3"/>
      <c r="POT39" s="3"/>
      <c r="POU39" s="3"/>
      <c r="POV39" s="3"/>
      <c r="POW39" s="3"/>
      <c r="POX39" s="3"/>
      <c r="POY39" s="3"/>
      <c r="POZ39" s="3"/>
      <c r="PPA39" s="3"/>
      <c r="PPB39" s="3"/>
      <c r="PPC39" s="3"/>
      <c r="PPD39" s="3"/>
      <c r="PPE39" s="3"/>
      <c r="PPF39" s="3"/>
      <c r="PPG39" s="3"/>
      <c r="PPH39" s="3"/>
      <c r="PPI39" s="3"/>
      <c r="PPJ39" s="3"/>
      <c r="PPK39" s="3"/>
      <c r="PPL39" s="3"/>
      <c r="PPM39" s="3"/>
      <c r="PPN39" s="3"/>
      <c r="PPO39" s="3"/>
      <c r="PPP39" s="3"/>
      <c r="PPQ39" s="3"/>
      <c r="PPR39" s="3"/>
      <c r="PPS39" s="3"/>
      <c r="PPT39" s="3"/>
      <c r="PPU39" s="3"/>
      <c r="PPV39" s="3"/>
      <c r="PPW39" s="3"/>
      <c r="PPX39" s="3"/>
      <c r="PPY39" s="3"/>
      <c r="PPZ39" s="3"/>
      <c r="PQA39" s="3"/>
      <c r="PQB39" s="3"/>
      <c r="PQC39" s="3"/>
      <c r="PQD39" s="3"/>
      <c r="PQE39" s="3"/>
      <c r="PQF39" s="3"/>
      <c r="PQG39" s="3"/>
      <c r="PQH39" s="3"/>
      <c r="PQI39" s="3"/>
      <c r="PQJ39" s="3"/>
      <c r="PQK39" s="3"/>
      <c r="PQL39" s="3"/>
      <c r="PQM39" s="3"/>
      <c r="PQN39" s="3"/>
      <c r="PQO39" s="3"/>
      <c r="PQP39" s="3"/>
      <c r="PQQ39" s="3"/>
      <c r="PQR39" s="3"/>
      <c r="PQS39" s="3"/>
      <c r="PQT39" s="3"/>
      <c r="PQU39" s="3"/>
      <c r="PQV39" s="3"/>
      <c r="PQW39" s="3"/>
      <c r="PQX39" s="3"/>
      <c r="PQY39" s="3"/>
      <c r="PQZ39" s="3"/>
      <c r="PRA39" s="3"/>
      <c r="PRB39" s="3"/>
      <c r="PRC39" s="3"/>
      <c r="PRD39" s="3"/>
      <c r="PRE39" s="3"/>
      <c r="PRF39" s="3"/>
      <c r="PRG39" s="3"/>
      <c r="PRH39" s="3"/>
      <c r="PRI39" s="3"/>
      <c r="PRJ39" s="3"/>
      <c r="PRK39" s="3"/>
      <c r="PRL39" s="3"/>
      <c r="PRM39" s="3"/>
      <c r="PRN39" s="3"/>
      <c r="PRO39" s="3"/>
      <c r="PRP39" s="3"/>
      <c r="PRQ39" s="3"/>
      <c r="PRR39" s="3"/>
      <c r="PRS39" s="3"/>
      <c r="PRT39" s="3"/>
      <c r="PRU39" s="3"/>
      <c r="PRV39" s="3"/>
      <c r="PRW39" s="3"/>
      <c r="PRX39" s="3"/>
      <c r="PRY39" s="3"/>
      <c r="PRZ39" s="3"/>
      <c r="PSA39" s="3"/>
      <c r="PSB39" s="3"/>
      <c r="PSC39" s="3"/>
      <c r="PSD39" s="3"/>
      <c r="PSE39" s="3"/>
      <c r="PSF39" s="3"/>
      <c r="PSG39" s="3"/>
      <c r="PSH39" s="3"/>
      <c r="PSI39" s="3"/>
      <c r="PSJ39" s="3"/>
      <c r="PSK39" s="3"/>
      <c r="PSL39" s="3"/>
      <c r="PSM39" s="3"/>
      <c r="PSN39" s="3"/>
      <c r="PSO39" s="3"/>
      <c r="PSP39" s="3"/>
      <c r="PSQ39" s="3"/>
      <c r="PSR39" s="3"/>
      <c r="PSS39" s="3"/>
      <c r="PST39" s="3"/>
      <c r="PSU39" s="3"/>
      <c r="PSV39" s="3"/>
      <c r="PSW39" s="3"/>
      <c r="PSX39" s="3"/>
      <c r="PSY39" s="3"/>
      <c r="PSZ39" s="3"/>
      <c r="PTA39" s="3"/>
      <c r="PTB39" s="3"/>
      <c r="PTC39" s="3"/>
      <c r="PTD39" s="3"/>
      <c r="PTE39" s="3"/>
      <c r="PTF39" s="3"/>
      <c r="PTG39" s="3"/>
      <c r="PTH39" s="3"/>
      <c r="PTI39" s="3"/>
      <c r="PTJ39" s="3"/>
      <c r="PTK39" s="3"/>
      <c r="PTL39" s="3"/>
      <c r="PTM39" s="3"/>
      <c r="PTN39" s="3"/>
      <c r="PTO39" s="3"/>
      <c r="PTP39" s="3"/>
      <c r="PTQ39" s="3"/>
      <c r="PTR39" s="3"/>
      <c r="PTS39" s="3"/>
      <c r="PTT39" s="3"/>
      <c r="PTU39" s="3"/>
      <c r="PTV39" s="3"/>
      <c r="PTW39" s="3"/>
      <c r="PTX39" s="3"/>
      <c r="PTY39" s="3"/>
      <c r="PTZ39" s="3"/>
      <c r="PUA39" s="3"/>
      <c r="PUB39" s="3"/>
      <c r="PUC39" s="3"/>
      <c r="PUD39" s="3"/>
      <c r="PUE39" s="3"/>
      <c r="PUF39" s="3"/>
      <c r="PUG39" s="3"/>
      <c r="PUH39" s="3"/>
      <c r="PUI39" s="3"/>
      <c r="PUJ39" s="3"/>
      <c r="PUK39" s="3"/>
      <c r="PUL39" s="3"/>
      <c r="PUM39" s="3"/>
      <c r="PUN39" s="3"/>
      <c r="PUO39" s="3"/>
      <c r="PUP39" s="3"/>
      <c r="PUQ39" s="3"/>
      <c r="PUR39" s="3"/>
      <c r="PUS39" s="3"/>
      <c r="PUT39" s="3"/>
      <c r="PUU39" s="3"/>
      <c r="PUV39" s="3"/>
      <c r="PUW39" s="3"/>
      <c r="PUX39" s="3"/>
      <c r="PUY39" s="3"/>
      <c r="PUZ39" s="3"/>
      <c r="PVA39" s="3"/>
      <c r="PVB39" s="3"/>
      <c r="PVC39" s="3"/>
      <c r="PVD39" s="3"/>
      <c r="PVE39" s="3"/>
      <c r="PVF39" s="3"/>
      <c r="PVG39" s="3"/>
      <c r="PVH39" s="3"/>
      <c r="PVI39" s="3"/>
      <c r="PVJ39" s="3"/>
      <c r="PVK39" s="3"/>
      <c r="PVL39" s="3"/>
      <c r="PVM39" s="3"/>
      <c r="PVN39" s="3"/>
      <c r="PVO39" s="3"/>
      <c r="PVP39" s="3"/>
      <c r="PVQ39" s="3"/>
      <c r="PVR39" s="3"/>
      <c r="PVS39" s="3"/>
      <c r="PVT39" s="3"/>
      <c r="PVU39" s="3"/>
      <c r="PVV39" s="3"/>
      <c r="PVW39" s="3"/>
      <c r="PVX39" s="3"/>
      <c r="PVY39" s="3"/>
      <c r="PVZ39" s="3"/>
      <c r="PWA39" s="3"/>
      <c r="PWB39" s="3"/>
      <c r="PWC39" s="3"/>
      <c r="PWD39" s="3"/>
      <c r="PWE39" s="3"/>
      <c r="PWF39" s="3"/>
      <c r="PWG39" s="3"/>
      <c r="PWH39" s="3"/>
      <c r="PWI39" s="3"/>
      <c r="PWJ39" s="3"/>
      <c r="PWK39" s="3"/>
      <c r="PWL39" s="3"/>
      <c r="PWM39" s="3"/>
      <c r="PWN39" s="3"/>
      <c r="PWO39" s="3"/>
      <c r="PWP39" s="3"/>
      <c r="PWQ39" s="3"/>
      <c r="PWR39" s="3"/>
      <c r="PWS39" s="3"/>
      <c r="PWT39" s="3"/>
      <c r="PWU39" s="3"/>
      <c r="PWV39" s="3"/>
      <c r="PWW39" s="3"/>
      <c r="PWX39" s="3"/>
      <c r="PWY39" s="3"/>
      <c r="PWZ39" s="3"/>
      <c r="PXA39" s="3"/>
      <c r="PXB39" s="3"/>
      <c r="PXC39" s="3"/>
      <c r="PXD39" s="3"/>
      <c r="PXE39" s="3"/>
      <c r="PXF39" s="3"/>
      <c r="PXG39" s="3"/>
      <c r="PXH39" s="3"/>
      <c r="PXI39" s="3"/>
      <c r="PXJ39" s="3"/>
      <c r="PXK39" s="3"/>
      <c r="PXL39" s="3"/>
      <c r="PXM39" s="3"/>
      <c r="PXN39" s="3"/>
      <c r="PXO39" s="3"/>
      <c r="PXP39" s="3"/>
      <c r="PXQ39" s="3"/>
      <c r="PXR39" s="3"/>
      <c r="PXS39" s="3"/>
      <c r="PXT39" s="3"/>
      <c r="PXU39" s="3"/>
      <c r="PXV39" s="3"/>
      <c r="PXW39" s="3"/>
      <c r="PXX39" s="3"/>
      <c r="PXY39" s="3"/>
      <c r="PXZ39" s="3"/>
      <c r="PYA39" s="3"/>
      <c r="PYB39" s="3"/>
      <c r="PYC39" s="3"/>
      <c r="PYD39" s="3"/>
      <c r="PYE39" s="3"/>
      <c r="PYF39" s="3"/>
      <c r="PYG39" s="3"/>
      <c r="PYH39" s="3"/>
      <c r="PYI39" s="3"/>
      <c r="PYJ39" s="3"/>
      <c r="PYK39" s="3"/>
      <c r="PYL39" s="3"/>
      <c r="PYM39" s="3"/>
      <c r="PYN39" s="3"/>
      <c r="PYO39" s="3"/>
      <c r="PYP39" s="3"/>
      <c r="PYQ39" s="3"/>
      <c r="PYR39" s="3"/>
      <c r="PYS39" s="3"/>
      <c r="PYT39" s="3"/>
      <c r="PYU39" s="3"/>
      <c r="PYV39" s="3"/>
      <c r="PYW39" s="3"/>
      <c r="PYX39" s="3"/>
      <c r="PYY39" s="3"/>
      <c r="PYZ39" s="3"/>
      <c r="PZA39" s="3"/>
      <c r="PZB39" s="3"/>
      <c r="PZC39" s="3"/>
      <c r="PZD39" s="3"/>
      <c r="PZE39" s="3"/>
      <c r="PZF39" s="3"/>
      <c r="PZG39" s="3"/>
      <c r="PZH39" s="3"/>
      <c r="PZI39" s="3"/>
      <c r="PZJ39" s="3"/>
      <c r="PZK39" s="3"/>
      <c r="PZL39" s="3"/>
      <c r="PZM39" s="3"/>
      <c r="PZN39" s="3"/>
      <c r="PZO39" s="3"/>
      <c r="PZP39" s="3"/>
      <c r="PZQ39" s="3"/>
      <c r="PZR39" s="3"/>
      <c r="PZS39" s="3"/>
      <c r="PZT39" s="3"/>
      <c r="PZU39" s="3"/>
      <c r="PZV39" s="3"/>
      <c r="PZW39" s="3"/>
      <c r="PZX39" s="3"/>
      <c r="PZY39" s="3"/>
      <c r="PZZ39" s="3"/>
      <c r="QAA39" s="3"/>
      <c r="QAB39" s="3"/>
      <c r="QAC39" s="3"/>
      <c r="QAD39" s="3"/>
      <c r="QAE39" s="3"/>
      <c r="QAF39" s="3"/>
      <c r="QAG39" s="3"/>
      <c r="QAH39" s="3"/>
      <c r="QAI39" s="3"/>
      <c r="QAJ39" s="3"/>
      <c r="QAK39" s="3"/>
      <c r="QAL39" s="3"/>
      <c r="QAM39" s="3"/>
      <c r="QAN39" s="3"/>
      <c r="QAO39" s="3"/>
      <c r="QAP39" s="3"/>
      <c r="QAQ39" s="3"/>
      <c r="QAR39" s="3"/>
      <c r="QAS39" s="3"/>
      <c r="QAT39" s="3"/>
      <c r="QAU39" s="3"/>
      <c r="QAV39" s="3"/>
      <c r="QAW39" s="3"/>
      <c r="QAX39" s="3"/>
      <c r="QAY39" s="3"/>
      <c r="QAZ39" s="3"/>
      <c r="QBA39" s="3"/>
      <c r="QBB39" s="3"/>
      <c r="QBC39" s="3"/>
      <c r="QBD39" s="3"/>
      <c r="QBE39" s="3"/>
      <c r="QBF39" s="3"/>
      <c r="QBG39" s="3"/>
      <c r="QBH39" s="3"/>
      <c r="QBI39" s="3"/>
      <c r="QBJ39" s="3"/>
      <c r="QBK39" s="3"/>
      <c r="QBL39" s="3"/>
      <c r="QBM39" s="3"/>
      <c r="QBN39" s="3"/>
      <c r="QBO39" s="3"/>
      <c r="QBP39" s="3"/>
      <c r="QBQ39" s="3"/>
      <c r="QBR39" s="3"/>
      <c r="QBS39" s="3"/>
      <c r="QBT39" s="3"/>
      <c r="QBU39" s="3"/>
      <c r="QBV39" s="3"/>
      <c r="QBW39" s="3"/>
      <c r="QBX39" s="3"/>
      <c r="QBY39" s="3"/>
      <c r="QBZ39" s="3"/>
      <c r="QCA39" s="3"/>
      <c r="QCB39" s="3"/>
      <c r="QCC39" s="3"/>
      <c r="QCD39" s="3"/>
      <c r="QCE39" s="3"/>
      <c r="QCF39" s="3"/>
      <c r="QCG39" s="3"/>
      <c r="QCH39" s="3"/>
      <c r="QCI39" s="3"/>
      <c r="QCJ39" s="3"/>
      <c r="QCK39" s="3"/>
      <c r="QCL39" s="3"/>
      <c r="QCM39" s="3"/>
      <c r="QCN39" s="3"/>
      <c r="QCO39" s="3"/>
      <c r="QCP39" s="3"/>
      <c r="QCQ39" s="3"/>
      <c r="QCR39" s="3"/>
      <c r="QCS39" s="3"/>
      <c r="QCT39" s="3"/>
      <c r="QCU39" s="3"/>
      <c r="QCV39" s="3"/>
      <c r="QCW39" s="3"/>
      <c r="QCX39" s="3"/>
      <c r="QCY39" s="3"/>
      <c r="QCZ39" s="3"/>
      <c r="QDA39" s="3"/>
      <c r="QDB39" s="3"/>
      <c r="QDC39" s="3"/>
      <c r="QDD39" s="3"/>
      <c r="QDE39" s="3"/>
      <c r="QDF39" s="3"/>
      <c r="QDG39" s="3"/>
      <c r="QDH39" s="3"/>
      <c r="QDI39" s="3"/>
      <c r="QDJ39" s="3"/>
      <c r="QDK39" s="3"/>
      <c r="QDL39" s="3"/>
      <c r="QDM39" s="3"/>
      <c r="QDN39" s="3"/>
      <c r="QDO39" s="3"/>
      <c r="QDP39" s="3"/>
      <c r="QDQ39" s="3"/>
      <c r="QDR39" s="3"/>
      <c r="QDS39" s="3"/>
      <c r="QDT39" s="3"/>
      <c r="QDU39" s="3"/>
      <c r="QDV39" s="3"/>
      <c r="QDW39" s="3"/>
      <c r="QDX39" s="3"/>
      <c r="QDY39" s="3"/>
      <c r="QDZ39" s="3"/>
      <c r="QEA39" s="3"/>
      <c r="QEB39" s="3"/>
      <c r="QEC39" s="3"/>
      <c r="QED39" s="3"/>
      <c r="QEE39" s="3"/>
      <c r="QEF39" s="3"/>
      <c r="QEG39" s="3"/>
      <c r="QEH39" s="3"/>
      <c r="QEI39" s="3"/>
      <c r="QEJ39" s="3"/>
      <c r="QEK39" s="3"/>
      <c r="QEL39" s="3"/>
      <c r="QEM39" s="3"/>
      <c r="QEN39" s="3"/>
      <c r="QEO39" s="3"/>
      <c r="QEP39" s="3"/>
      <c r="QEQ39" s="3"/>
      <c r="QER39" s="3"/>
      <c r="QES39" s="3"/>
      <c r="QET39" s="3"/>
      <c r="QEU39" s="3"/>
      <c r="QEV39" s="3"/>
      <c r="QEW39" s="3"/>
      <c r="QEX39" s="3"/>
      <c r="QEY39" s="3"/>
      <c r="QEZ39" s="3"/>
      <c r="QFA39" s="3"/>
      <c r="QFB39" s="3"/>
      <c r="QFC39" s="3"/>
      <c r="QFD39" s="3"/>
      <c r="QFE39" s="3"/>
      <c r="QFF39" s="3"/>
      <c r="QFG39" s="3"/>
      <c r="QFH39" s="3"/>
      <c r="QFI39" s="3"/>
      <c r="QFJ39" s="3"/>
      <c r="QFK39" s="3"/>
      <c r="QFL39" s="3"/>
      <c r="QFM39" s="3"/>
      <c r="QFN39" s="3"/>
      <c r="QFO39" s="3"/>
      <c r="QFP39" s="3"/>
      <c r="QFQ39" s="3"/>
      <c r="QFR39" s="3"/>
      <c r="QFS39" s="3"/>
      <c r="QFT39" s="3"/>
      <c r="QFU39" s="3"/>
      <c r="QFV39" s="3"/>
      <c r="QFW39" s="3"/>
      <c r="QFX39" s="3"/>
      <c r="QFY39" s="3"/>
      <c r="QFZ39" s="3"/>
      <c r="QGA39" s="3"/>
      <c r="QGB39" s="3"/>
      <c r="QGC39" s="3"/>
      <c r="QGD39" s="3"/>
      <c r="QGE39" s="3"/>
      <c r="QGF39" s="3"/>
      <c r="QGG39" s="3"/>
      <c r="QGH39" s="3"/>
      <c r="QGI39" s="3"/>
      <c r="QGJ39" s="3"/>
      <c r="QGK39" s="3"/>
      <c r="QGL39" s="3"/>
      <c r="QGM39" s="3"/>
      <c r="QGN39" s="3"/>
      <c r="QGO39" s="3"/>
      <c r="QGP39" s="3"/>
      <c r="QGQ39" s="3"/>
      <c r="QGR39" s="3"/>
      <c r="QGS39" s="3"/>
      <c r="QGT39" s="3"/>
      <c r="QGU39" s="3"/>
      <c r="QGV39" s="3"/>
      <c r="QGW39" s="3"/>
      <c r="QGX39" s="3"/>
      <c r="QGY39" s="3"/>
      <c r="QGZ39" s="3"/>
      <c r="QHA39" s="3"/>
      <c r="QHB39" s="3"/>
      <c r="QHC39" s="3"/>
      <c r="QHD39" s="3"/>
      <c r="QHE39" s="3"/>
      <c r="QHF39" s="3"/>
      <c r="QHG39" s="3"/>
      <c r="QHH39" s="3"/>
      <c r="QHI39" s="3"/>
      <c r="QHJ39" s="3"/>
      <c r="QHK39" s="3"/>
      <c r="QHL39" s="3"/>
      <c r="QHM39" s="3"/>
      <c r="QHN39" s="3"/>
      <c r="QHO39" s="3"/>
      <c r="QHP39" s="3"/>
      <c r="QHQ39" s="3"/>
      <c r="QHR39" s="3"/>
      <c r="QHS39" s="3"/>
      <c r="QHT39" s="3"/>
      <c r="QHU39" s="3"/>
      <c r="QHV39" s="3"/>
      <c r="QHW39" s="3"/>
      <c r="QHX39" s="3"/>
      <c r="QHY39" s="3"/>
      <c r="QHZ39" s="3"/>
      <c r="QIA39" s="3"/>
      <c r="QIB39" s="3"/>
      <c r="QIC39" s="3"/>
      <c r="QID39" s="3"/>
      <c r="QIE39" s="3"/>
      <c r="QIF39" s="3"/>
      <c r="QIG39" s="3"/>
      <c r="QIH39" s="3"/>
      <c r="QII39" s="3"/>
      <c r="QIJ39" s="3"/>
      <c r="QIK39" s="3"/>
      <c r="QIL39" s="3"/>
      <c r="QIM39" s="3"/>
      <c r="QIN39" s="3"/>
      <c r="QIO39" s="3"/>
      <c r="QIP39" s="3"/>
      <c r="QIQ39" s="3"/>
      <c r="QIR39" s="3"/>
      <c r="QIS39" s="3"/>
      <c r="QIT39" s="3"/>
      <c r="QIU39" s="3"/>
      <c r="QIV39" s="3"/>
      <c r="QIW39" s="3"/>
      <c r="QIX39" s="3"/>
      <c r="QIY39" s="3"/>
      <c r="QIZ39" s="3"/>
      <c r="QJA39" s="3"/>
      <c r="QJB39" s="3"/>
      <c r="QJC39" s="3"/>
      <c r="QJD39" s="3"/>
      <c r="QJE39" s="3"/>
      <c r="QJF39" s="3"/>
      <c r="QJG39" s="3"/>
      <c r="QJH39" s="3"/>
      <c r="QJI39" s="3"/>
      <c r="QJJ39" s="3"/>
      <c r="QJK39" s="3"/>
      <c r="QJL39" s="3"/>
      <c r="QJM39" s="3"/>
      <c r="QJN39" s="3"/>
      <c r="QJO39" s="3"/>
      <c r="QJP39" s="3"/>
      <c r="QJQ39" s="3"/>
      <c r="QJR39" s="3"/>
      <c r="QJS39" s="3"/>
      <c r="QJT39" s="3"/>
      <c r="QJU39" s="3"/>
      <c r="QJV39" s="3"/>
      <c r="QJW39" s="3"/>
      <c r="QJX39" s="3"/>
      <c r="QJY39" s="3"/>
      <c r="QJZ39" s="3"/>
      <c r="QKA39" s="3"/>
      <c r="QKB39" s="3"/>
      <c r="QKC39" s="3"/>
      <c r="QKD39" s="3"/>
      <c r="QKE39" s="3"/>
      <c r="QKF39" s="3"/>
      <c r="QKG39" s="3"/>
      <c r="QKH39" s="3"/>
      <c r="QKI39" s="3"/>
      <c r="QKJ39" s="3"/>
      <c r="QKK39" s="3"/>
      <c r="QKL39" s="3"/>
      <c r="QKM39" s="3"/>
      <c r="QKN39" s="3"/>
      <c r="QKO39" s="3"/>
      <c r="QKP39" s="3"/>
      <c r="QKQ39" s="3"/>
      <c r="QKR39" s="3"/>
      <c r="QKS39" s="3"/>
      <c r="QKT39" s="3"/>
      <c r="QKU39" s="3"/>
      <c r="QKV39" s="3"/>
      <c r="QKW39" s="3"/>
      <c r="QKX39" s="3"/>
      <c r="QKY39" s="3"/>
      <c r="QKZ39" s="3"/>
      <c r="QLA39" s="3"/>
      <c r="QLB39" s="3"/>
      <c r="QLC39" s="3"/>
      <c r="QLD39" s="3"/>
      <c r="QLE39" s="3"/>
      <c r="QLF39" s="3"/>
      <c r="QLG39" s="3"/>
      <c r="QLH39" s="3"/>
      <c r="QLI39" s="3"/>
      <c r="QLJ39" s="3"/>
      <c r="QLK39" s="3"/>
      <c r="QLL39" s="3"/>
      <c r="QLM39" s="3"/>
      <c r="QLN39" s="3"/>
      <c r="QLO39" s="3"/>
      <c r="QLP39" s="3"/>
      <c r="QLQ39" s="3"/>
      <c r="QLR39" s="3"/>
      <c r="QLS39" s="3"/>
      <c r="QLT39" s="3"/>
      <c r="QLU39" s="3"/>
      <c r="QLV39" s="3"/>
      <c r="QLW39" s="3"/>
      <c r="QLX39" s="3"/>
      <c r="QLY39" s="3"/>
      <c r="QLZ39" s="3"/>
      <c r="QMA39" s="3"/>
      <c r="QMB39" s="3"/>
      <c r="QMC39" s="3"/>
      <c r="QMD39" s="3"/>
      <c r="QME39" s="3"/>
      <c r="QMF39" s="3"/>
      <c r="QMG39" s="3"/>
      <c r="QMH39" s="3"/>
      <c r="QMI39" s="3"/>
      <c r="QMJ39" s="3"/>
      <c r="QMK39" s="3"/>
      <c r="QML39" s="3"/>
      <c r="QMM39" s="3"/>
      <c r="QMN39" s="3"/>
      <c r="QMO39" s="3"/>
      <c r="QMP39" s="3"/>
      <c r="QMQ39" s="3"/>
      <c r="QMR39" s="3"/>
      <c r="QMS39" s="3"/>
      <c r="QMT39" s="3"/>
      <c r="QMU39" s="3"/>
      <c r="QMV39" s="3"/>
      <c r="QMW39" s="3"/>
      <c r="QMX39" s="3"/>
      <c r="QMY39" s="3"/>
      <c r="QMZ39" s="3"/>
      <c r="QNA39" s="3"/>
      <c r="QNB39" s="3"/>
      <c r="QNC39" s="3"/>
      <c r="QND39" s="3"/>
      <c r="QNE39" s="3"/>
      <c r="QNF39" s="3"/>
      <c r="QNG39" s="3"/>
      <c r="QNH39" s="3"/>
      <c r="QNI39" s="3"/>
      <c r="QNJ39" s="3"/>
      <c r="QNK39" s="3"/>
      <c r="QNL39" s="3"/>
      <c r="QNM39" s="3"/>
      <c r="QNN39" s="3"/>
      <c r="QNO39" s="3"/>
      <c r="QNP39" s="3"/>
      <c r="QNQ39" s="3"/>
      <c r="QNR39" s="3"/>
      <c r="QNS39" s="3"/>
      <c r="QNT39" s="3"/>
      <c r="QNU39" s="3"/>
      <c r="QNV39" s="3"/>
      <c r="QNW39" s="3"/>
      <c r="QNX39" s="3"/>
      <c r="QNY39" s="3"/>
      <c r="QNZ39" s="3"/>
      <c r="QOA39" s="3"/>
      <c r="QOB39" s="3"/>
      <c r="QOC39" s="3"/>
      <c r="QOD39" s="3"/>
      <c r="QOE39" s="3"/>
      <c r="QOF39" s="3"/>
      <c r="QOG39" s="3"/>
      <c r="QOH39" s="3"/>
      <c r="QOI39" s="3"/>
      <c r="QOJ39" s="3"/>
      <c r="QOK39" s="3"/>
      <c r="QOL39" s="3"/>
      <c r="QOM39" s="3"/>
      <c r="QON39" s="3"/>
      <c r="QOO39" s="3"/>
      <c r="QOP39" s="3"/>
      <c r="QOQ39" s="3"/>
      <c r="QOR39" s="3"/>
      <c r="QOS39" s="3"/>
      <c r="QOT39" s="3"/>
      <c r="QOU39" s="3"/>
      <c r="QOV39" s="3"/>
      <c r="QOW39" s="3"/>
      <c r="QOX39" s="3"/>
      <c r="QOY39" s="3"/>
      <c r="QOZ39" s="3"/>
      <c r="QPA39" s="3"/>
      <c r="QPB39" s="3"/>
      <c r="QPC39" s="3"/>
      <c r="QPD39" s="3"/>
      <c r="QPE39" s="3"/>
      <c r="QPF39" s="3"/>
      <c r="QPG39" s="3"/>
      <c r="QPH39" s="3"/>
      <c r="QPI39" s="3"/>
      <c r="QPJ39" s="3"/>
      <c r="QPK39" s="3"/>
      <c r="QPL39" s="3"/>
      <c r="QPM39" s="3"/>
      <c r="QPN39" s="3"/>
      <c r="QPO39" s="3"/>
      <c r="QPP39" s="3"/>
      <c r="QPQ39" s="3"/>
      <c r="QPR39" s="3"/>
      <c r="QPS39" s="3"/>
      <c r="QPT39" s="3"/>
      <c r="QPU39" s="3"/>
      <c r="QPV39" s="3"/>
      <c r="QPW39" s="3"/>
      <c r="QPX39" s="3"/>
      <c r="QPY39" s="3"/>
      <c r="QPZ39" s="3"/>
      <c r="QQA39" s="3"/>
      <c r="QQB39" s="3"/>
      <c r="QQC39" s="3"/>
      <c r="QQD39" s="3"/>
      <c r="QQE39" s="3"/>
      <c r="QQF39" s="3"/>
      <c r="QQG39" s="3"/>
      <c r="QQH39" s="3"/>
      <c r="QQI39" s="3"/>
      <c r="QQJ39" s="3"/>
      <c r="QQK39" s="3"/>
      <c r="QQL39" s="3"/>
      <c r="QQM39" s="3"/>
      <c r="QQN39" s="3"/>
      <c r="QQO39" s="3"/>
      <c r="QQP39" s="3"/>
      <c r="QQQ39" s="3"/>
      <c r="QQR39" s="3"/>
      <c r="QQS39" s="3"/>
      <c r="QQT39" s="3"/>
      <c r="QQU39" s="3"/>
      <c r="QQV39" s="3"/>
      <c r="QQW39" s="3"/>
      <c r="QQX39" s="3"/>
      <c r="QQY39" s="3"/>
      <c r="QQZ39" s="3"/>
      <c r="QRA39" s="3"/>
      <c r="QRB39" s="3"/>
      <c r="QRC39" s="3"/>
      <c r="QRD39" s="3"/>
      <c r="QRE39" s="3"/>
      <c r="QRF39" s="3"/>
      <c r="QRG39" s="3"/>
      <c r="QRH39" s="3"/>
      <c r="QRI39" s="3"/>
      <c r="QRJ39" s="3"/>
      <c r="QRK39" s="3"/>
      <c r="QRL39" s="3"/>
      <c r="QRM39" s="3"/>
      <c r="QRN39" s="3"/>
      <c r="QRO39" s="3"/>
      <c r="QRP39" s="3"/>
      <c r="QRQ39" s="3"/>
      <c r="QRR39" s="3"/>
      <c r="QRS39" s="3"/>
      <c r="QRT39" s="3"/>
      <c r="QRU39" s="3"/>
      <c r="QRV39" s="3"/>
      <c r="QRW39" s="3"/>
      <c r="QRX39" s="3"/>
      <c r="QRY39" s="3"/>
      <c r="QRZ39" s="3"/>
      <c r="QSA39" s="3"/>
      <c r="QSB39" s="3"/>
      <c r="QSC39" s="3"/>
      <c r="QSD39" s="3"/>
      <c r="QSE39" s="3"/>
      <c r="QSF39" s="3"/>
      <c r="QSG39" s="3"/>
      <c r="QSH39" s="3"/>
      <c r="QSI39" s="3"/>
      <c r="QSJ39" s="3"/>
      <c r="QSK39" s="3"/>
      <c r="QSL39" s="3"/>
      <c r="QSM39" s="3"/>
      <c r="QSN39" s="3"/>
      <c r="QSO39" s="3"/>
      <c r="QSP39" s="3"/>
      <c r="QSQ39" s="3"/>
      <c r="QSR39" s="3"/>
      <c r="QSS39" s="3"/>
      <c r="QST39" s="3"/>
      <c r="QSU39" s="3"/>
      <c r="QSV39" s="3"/>
      <c r="QSW39" s="3"/>
      <c r="QSX39" s="3"/>
      <c r="QSY39" s="3"/>
      <c r="QSZ39" s="3"/>
      <c r="QTA39" s="3"/>
      <c r="QTB39" s="3"/>
      <c r="QTC39" s="3"/>
      <c r="QTD39" s="3"/>
      <c r="QTE39" s="3"/>
      <c r="QTF39" s="3"/>
      <c r="QTG39" s="3"/>
      <c r="QTH39" s="3"/>
      <c r="QTI39" s="3"/>
      <c r="QTJ39" s="3"/>
      <c r="QTK39" s="3"/>
      <c r="QTL39" s="3"/>
      <c r="QTM39" s="3"/>
      <c r="QTN39" s="3"/>
      <c r="QTO39" s="3"/>
      <c r="QTP39" s="3"/>
      <c r="QTQ39" s="3"/>
      <c r="QTR39" s="3"/>
      <c r="QTS39" s="3"/>
      <c r="QTT39" s="3"/>
      <c r="QTU39" s="3"/>
      <c r="QTV39" s="3"/>
      <c r="QTW39" s="3"/>
      <c r="QTX39" s="3"/>
      <c r="QTY39" s="3"/>
      <c r="QTZ39" s="3"/>
      <c r="QUA39" s="3"/>
      <c r="QUB39" s="3"/>
      <c r="QUC39" s="3"/>
      <c r="QUD39" s="3"/>
      <c r="QUE39" s="3"/>
      <c r="QUF39" s="3"/>
      <c r="QUG39" s="3"/>
      <c r="QUH39" s="3"/>
      <c r="QUI39" s="3"/>
      <c r="QUJ39" s="3"/>
      <c r="QUK39" s="3"/>
      <c r="QUL39" s="3"/>
      <c r="QUM39" s="3"/>
      <c r="QUN39" s="3"/>
      <c r="QUO39" s="3"/>
      <c r="QUP39" s="3"/>
      <c r="QUQ39" s="3"/>
      <c r="QUR39" s="3"/>
      <c r="QUS39" s="3"/>
      <c r="QUT39" s="3"/>
      <c r="QUU39" s="3"/>
      <c r="QUV39" s="3"/>
      <c r="QUW39" s="3"/>
      <c r="QUX39" s="3"/>
      <c r="QUY39" s="3"/>
      <c r="QUZ39" s="3"/>
      <c r="QVA39" s="3"/>
      <c r="QVB39" s="3"/>
      <c r="QVC39" s="3"/>
      <c r="QVD39" s="3"/>
      <c r="QVE39" s="3"/>
      <c r="QVF39" s="3"/>
      <c r="QVG39" s="3"/>
      <c r="QVH39" s="3"/>
      <c r="QVI39" s="3"/>
      <c r="QVJ39" s="3"/>
      <c r="QVK39" s="3"/>
      <c r="QVL39" s="3"/>
      <c r="QVM39" s="3"/>
      <c r="QVN39" s="3"/>
      <c r="QVO39" s="3"/>
      <c r="QVP39" s="3"/>
      <c r="QVQ39" s="3"/>
      <c r="QVR39" s="3"/>
      <c r="QVS39" s="3"/>
      <c r="QVT39" s="3"/>
      <c r="QVU39" s="3"/>
      <c r="QVV39" s="3"/>
      <c r="QVW39" s="3"/>
      <c r="QVX39" s="3"/>
      <c r="QVY39" s="3"/>
      <c r="QVZ39" s="3"/>
      <c r="QWA39" s="3"/>
      <c r="QWB39" s="3"/>
      <c r="QWC39" s="3"/>
      <c r="QWD39" s="3"/>
      <c r="QWE39" s="3"/>
      <c r="QWF39" s="3"/>
      <c r="QWG39" s="3"/>
      <c r="QWH39" s="3"/>
      <c r="QWI39" s="3"/>
      <c r="QWJ39" s="3"/>
      <c r="QWK39" s="3"/>
      <c r="QWL39" s="3"/>
      <c r="QWM39" s="3"/>
      <c r="QWN39" s="3"/>
      <c r="QWO39" s="3"/>
      <c r="QWP39" s="3"/>
      <c r="QWQ39" s="3"/>
      <c r="QWR39" s="3"/>
      <c r="QWS39" s="3"/>
      <c r="QWT39" s="3"/>
      <c r="QWU39" s="3"/>
      <c r="QWV39" s="3"/>
      <c r="QWW39" s="3"/>
      <c r="QWX39" s="3"/>
      <c r="QWY39" s="3"/>
      <c r="QWZ39" s="3"/>
      <c r="QXA39" s="3"/>
      <c r="QXB39" s="3"/>
      <c r="QXC39" s="3"/>
      <c r="QXD39" s="3"/>
      <c r="QXE39" s="3"/>
      <c r="QXF39" s="3"/>
      <c r="QXG39" s="3"/>
      <c r="QXH39" s="3"/>
      <c r="QXI39" s="3"/>
      <c r="QXJ39" s="3"/>
      <c r="QXK39" s="3"/>
      <c r="QXL39" s="3"/>
      <c r="QXM39" s="3"/>
      <c r="QXN39" s="3"/>
      <c r="QXO39" s="3"/>
      <c r="QXP39" s="3"/>
      <c r="QXQ39" s="3"/>
      <c r="QXR39" s="3"/>
      <c r="QXS39" s="3"/>
      <c r="QXT39" s="3"/>
      <c r="QXU39" s="3"/>
      <c r="QXV39" s="3"/>
      <c r="QXW39" s="3"/>
      <c r="QXX39" s="3"/>
      <c r="QXY39" s="3"/>
      <c r="QXZ39" s="3"/>
      <c r="QYA39" s="3"/>
      <c r="QYB39" s="3"/>
      <c r="QYC39" s="3"/>
      <c r="QYD39" s="3"/>
      <c r="QYE39" s="3"/>
      <c r="QYF39" s="3"/>
      <c r="QYG39" s="3"/>
      <c r="QYH39" s="3"/>
      <c r="QYI39" s="3"/>
      <c r="QYJ39" s="3"/>
      <c r="QYK39" s="3"/>
      <c r="QYL39" s="3"/>
      <c r="QYM39" s="3"/>
      <c r="QYN39" s="3"/>
      <c r="QYO39" s="3"/>
      <c r="QYP39" s="3"/>
      <c r="QYQ39" s="3"/>
      <c r="QYR39" s="3"/>
      <c r="QYS39" s="3"/>
      <c r="QYT39" s="3"/>
      <c r="QYU39" s="3"/>
      <c r="QYV39" s="3"/>
      <c r="QYW39" s="3"/>
      <c r="QYX39" s="3"/>
      <c r="QYY39" s="3"/>
      <c r="QYZ39" s="3"/>
      <c r="QZA39" s="3"/>
      <c r="QZB39" s="3"/>
      <c r="QZC39" s="3"/>
      <c r="QZD39" s="3"/>
      <c r="QZE39" s="3"/>
      <c r="QZF39" s="3"/>
      <c r="QZG39" s="3"/>
      <c r="QZH39" s="3"/>
      <c r="QZI39" s="3"/>
      <c r="QZJ39" s="3"/>
      <c r="QZK39" s="3"/>
      <c r="QZL39" s="3"/>
      <c r="QZM39" s="3"/>
      <c r="QZN39" s="3"/>
      <c r="QZO39" s="3"/>
      <c r="QZP39" s="3"/>
      <c r="QZQ39" s="3"/>
      <c r="QZR39" s="3"/>
      <c r="QZS39" s="3"/>
      <c r="QZT39" s="3"/>
      <c r="QZU39" s="3"/>
      <c r="QZV39" s="3"/>
      <c r="QZW39" s="3"/>
      <c r="QZX39" s="3"/>
      <c r="QZY39" s="3"/>
      <c r="QZZ39" s="3"/>
      <c r="RAA39" s="3"/>
      <c r="RAB39" s="3"/>
      <c r="RAC39" s="3"/>
      <c r="RAD39" s="3"/>
      <c r="RAE39" s="3"/>
      <c r="RAF39" s="3"/>
      <c r="RAG39" s="3"/>
      <c r="RAH39" s="3"/>
      <c r="RAI39" s="3"/>
      <c r="RAJ39" s="3"/>
      <c r="RAK39" s="3"/>
      <c r="RAL39" s="3"/>
      <c r="RAM39" s="3"/>
      <c r="RAN39" s="3"/>
      <c r="RAO39" s="3"/>
      <c r="RAP39" s="3"/>
      <c r="RAQ39" s="3"/>
      <c r="RAR39" s="3"/>
      <c r="RAS39" s="3"/>
      <c r="RAT39" s="3"/>
      <c r="RAU39" s="3"/>
      <c r="RAV39" s="3"/>
      <c r="RAW39" s="3"/>
      <c r="RAX39" s="3"/>
      <c r="RAY39" s="3"/>
      <c r="RAZ39" s="3"/>
      <c r="RBA39" s="3"/>
      <c r="RBB39" s="3"/>
      <c r="RBC39" s="3"/>
      <c r="RBD39" s="3"/>
      <c r="RBE39" s="3"/>
      <c r="RBF39" s="3"/>
      <c r="RBG39" s="3"/>
      <c r="RBH39" s="3"/>
      <c r="RBI39" s="3"/>
      <c r="RBJ39" s="3"/>
      <c r="RBK39" s="3"/>
      <c r="RBL39" s="3"/>
      <c r="RBM39" s="3"/>
      <c r="RBN39" s="3"/>
      <c r="RBO39" s="3"/>
      <c r="RBP39" s="3"/>
      <c r="RBQ39" s="3"/>
      <c r="RBR39" s="3"/>
      <c r="RBS39" s="3"/>
      <c r="RBT39" s="3"/>
      <c r="RBU39" s="3"/>
      <c r="RBV39" s="3"/>
      <c r="RBW39" s="3"/>
      <c r="RBX39" s="3"/>
      <c r="RBY39" s="3"/>
      <c r="RBZ39" s="3"/>
      <c r="RCA39" s="3"/>
      <c r="RCB39" s="3"/>
      <c r="RCC39" s="3"/>
      <c r="RCD39" s="3"/>
      <c r="RCE39" s="3"/>
      <c r="RCF39" s="3"/>
      <c r="RCG39" s="3"/>
      <c r="RCH39" s="3"/>
      <c r="RCI39" s="3"/>
      <c r="RCJ39" s="3"/>
      <c r="RCK39" s="3"/>
      <c r="RCL39" s="3"/>
      <c r="RCM39" s="3"/>
      <c r="RCN39" s="3"/>
      <c r="RCO39" s="3"/>
      <c r="RCP39" s="3"/>
      <c r="RCQ39" s="3"/>
      <c r="RCR39" s="3"/>
      <c r="RCS39" s="3"/>
      <c r="RCT39" s="3"/>
      <c r="RCU39" s="3"/>
      <c r="RCV39" s="3"/>
      <c r="RCW39" s="3"/>
      <c r="RCX39" s="3"/>
      <c r="RCY39" s="3"/>
      <c r="RCZ39" s="3"/>
      <c r="RDA39" s="3"/>
      <c r="RDB39" s="3"/>
      <c r="RDC39" s="3"/>
      <c r="RDD39" s="3"/>
      <c r="RDE39" s="3"/>
      <c r="RDF39" s="3"/>
      <c r="RDG39" s="3"/>
      <c r="RDH39" s="3"/>
      <c r="RDI39" s="3"/>
      <c r="RDJ39" s="3"/>
      <c r="RDK39" s="3"/>
      <c r="RDL39" s="3"/>
      <c r="RDM39" s="3"/>
      <c r="RDN39" s="3"/>
      <c r="RDO39" s="3"/>
      <c r="RDP39" s="3"/>
      <c r="RDQ39" s="3"/>
      <c r="RDR39" s="3"/>
      <c r="RDS39" s="3"/>
      <c r="RDT39" s="3"/>
      <c r="RDU39" s="3"/>
      <c r="RDV39" s="3"/>
      <c r="RDW39" s="3"/>
      <c r="RDX39" s="3"/>
      <c r="RDY39" s="3"/>
      <c r="RDZ39" s="3"/>
      <c r="REA39" s="3"/>
      <c r="REB39" s="3"/>
      <c r="REC39" s="3"/>
      <c r="RED39" s="3"/>
      <c r="REE39" s="3"/>
      <c r="REF39" s="3"/>
      <c r="REG39" s="3"/>
      <c r="REH39" s="3"/>
      <c r="REI39" s="3"/>
      <c r="REJ39" s="3"/>
      <c r="REK39" s="3"/>
      <c r="REL39" s="3"/>
      <c r="REM39" s="3"/>
      <c r="REN39" s="3"/>
      <c r="REO39" s="3"/>
      <c r="REP39" s="3"/>
      <c r="REQ39" s="3"/>
      <c r="RER39" s="3"/>
      <c r="RES39" s="3"/>
      <c r="RET39" s="3"/>
      <c r="REU39" s="3"/>
      <c r="REV39" s="3"/>
      <c r="REW39" s="3"/>
      <c r="REX39" s="3"/>
      <c r="REY39" s="3"/>
      <c r="REZ39" s="3"/>
      <c r="RFA39" s="3"/>
      <c r="RFB39" s="3"/>
      <c r="RFC39" s="3"/>
      <c r="RFD39" s="3"/>
      <c r="RFE39" s="3"/>
      <c r="RFF39" s="3"/>
      <c r="RFG39" s="3"/>
      <c r="RFH39" s="3"/>
      <c r="RFI39" s="3"/>
      <c r="RFJ39" s="3"/>
      <c r="RFK39" s="3"/>
      <c r="RFL39" s="3"/>
      <c r="RFM39" s="3"/>
      <c r="RFN39" s="3"/>
      <c r="RFO39" s="3"/>
      <c r="RFP39" s="3"/>
      <c r="RFQ39" s="3"/>
      <c r="RFR39" s="3"/>
      <c r="RFS39" s="3"/>
      <c r="RFT39" s="3"/>
      <c r="RFU39" s="3"/>
      <c r="RFV39" s="3"/>
      <c r="RFW39" s="3"/>
      <c r="RFX39" s="3"/>
      <c r="RFY39" s="3"/>
      <c r="RFZ39" s="3"/>
      <c r="RGA39" s="3"/>
      <c r="RGB39" s="3"/>
      <c r="RGC39" s="3"/>
      <c r="RGD39" s="3"/>
      <c r="RGE39" s="3"/>
      <c r="RGF39" s="3"/>
      <c r="RGG39" s="3"/>
      <c r="RGH39" s="3"/>
      <c r="RGI39" s="3"/>
      <c r="RGJ39" s="3"/>
      <c r="RGK39" s="3"/>
      <c r="RGL39" s="3"/>
      <c r="RGM39" s="3"/>
      <c r="RGN39" s="3"/>
      <c r="RGO39" s="3"/>
      <c r="RGP39" s="3"/>
      <c r="RGQ39" s="3"/>
      <c r="RGR39" s="3"/>
      <c r="RGS39" s="3"/>
      <c r="RGT39" s="3"/>
      <c r="RGU39" s="3"/>
      <c r="RGV39" s="3"/>
      <c r="RGW39" s="3"/>
      <c r="RGX39" s="3"/>
      <c r="RGY39" s="3"/>
      <c r="RGZ39" s="3"/>
      <c r="RHA39" s="3"/>
      <c r="RHB39" s="3"/>
      <c r="RHC39" s="3"/>
      <c r="RHD39" s="3"/>
      <c r="RHE39" s="3"/>
      <c r="RHF39" s="3"/>
      <c r="RHG39" s="3"/>
      <c r="RHH39" s="3"/>
      <c r="RHI39" s="3"/>
      <c r="RHJ39" s="3"/>
      <c r="RHK39" s="3"/>
      <c r="RHL39" s="3"/>
      <c r="RHM39" s="3"/>
      <c r="RHN39" s="3"/>
      <c r="RHO39" s="3"/>
      <c r="RHP39" s="3"/>
      <c r="RHQ39" s="3"/>
      <c r="RHR39" s="3"/>
      <c r="RHS39" s="3"/>
      <c r="RHT39" s="3"/>
      <c r="RHU39" s="3"/>
      <c r="RHV39" s="3"/>
      <c r="RHW39" s="3"/>
      <c r="RHX39" s="3"/>
      <c r="RHY39" s="3"/>
      <c r="RHZ39" s="3"/>
      <c r="RIA39" s="3"/>
      <c r="RIB39" s="3"/>
      <c r="RIC39" s="3"/>
      <c r="RID39" s="3"/>
      <c r="RIE39" s="3"/>
      <c r="RIF39" s="3"/>
      <c r="RIG39" s="3"/>
      <c r="RIH39" s="3"/>
      <c r="RII39" s="3"/>
      <c r="RIJ39" s="3"/>
      <c r="RIK39" s="3"/>
      <c r="RIL39" s="3"/>
      <c r="RIM39" s="3"/>
      <c r="RIN39" s="3"/>
      <c r="RIO39" s="3"/>
      <c r="RIP39" s="3"/>
      <c r="RIQ39" s="3"/>
      <c r="RIR39" s="3"/>
      <c r="RIS39" s="3"/>
      <c r="RIT39" s="3"/>
      <c r="RIU39" s="3"/>
      <c r="RIV39" s="3"/>
      <c r="RIW39" s="3"/>
      <c r="RIX39" s="3"/>
      <c r="RIY39" s="3"/>
      <c r="RIZ39" s="3"/>
      <c r="RJA39" s="3"/>
      <c r="RJB39" s="3"/>
      <c r="RJC39" s="3"/>
      <c r="RJD39" s="3"/>
      <c r="RJE39" s="3"/>
      <c r="RJF39" s="3"/>
      <c r="RJG39" s="3"/>
      <c r="RJH39" s="3"/>
      <c r="RJI39" s="3"/>
      <c r="RJJ39" s="3"/>
      <c r="RJK39" s="3"/>
      <c r="RJL39" s="3"/>
      <c r="RJM39" s="3"/>
      <c r="RJN39" s="3"/>
      <c r="RJO39" s="3"/>
      <c r="RJP39" s="3"/>
      <c r="RJQ39" s="3"/>
      <c r="RJR39" s="3"/>
      <c r="RJS39" s="3"/>
      <c r="RJT39" s="3"/>
      <c r="RJU39" s="3"/>
      <c r="RJV39" s="3"/>
      <c r="RJW39" s="3"/>
      <c r="RJX39" s="3"/>
      <c r="RJY39" s="3"/>
      <c r="RJZ39" s="3"/>
      <c r="RKA39" s="3"/>
      <c r="RKB39" s="3"/>
      <c r="RKC39" s="3"/>
      <c r="RKD39" s="3"/>
      <c r="RKE39" s="3"/>
      <c r="RKF39" s="3"/>
      <c r="RKG39" s="3"/>
      <c r="RKH39" s="3"/>
      <c r="RKI39" s="3"/>
      <c r="RKJ39" s="3"/>
      <c r="RKK39" s="3"/>
      <c r="RKL39" s="3"/>
      <c r="RKM39" s="3"/>
      <c r="RKN39" s="3"/>
      <c r="RKO39" s="3"/>
      <c r="RKP39" s="3"/>
      <c r="RKQ39" s="3"/>
      <c r="RKR39" s="3"/>
      <c r="RKS39" s="3"/>
      <c r="RKT39" s="3"/>
      <c r="RKU39" s="3"/>
      <c r="RKV39" s="3"/>
      <c r="RKW39" s="3"/>
      <c r="RKX39" s="3"/>
      <c r="RKY39" s="3"/>
      <c r="RKZ39" s="3"/>
      <c r="RLA39" s="3"/>
      <c r="RLB39" s="3"/>
      <c r="RLC39" s="3"/>
      <c r="RLD39" s="3"/>
      <c r="RLE39" s="3"/>
      <c r="RLF39" s="3"/>
      <c r="RLG39" s="3"/>
      <c r="RLH39" s="3"/>
      <c r="RLI39" s="3"/>
      <c r="RLJ39" s="3"/>
      <c r="RLK39" s="3"/>
      <c r="RLL39" s="3"/>
      <c r="RLM39" s="3"/>
      <c r="RLN39" s="3"/>
      <c r="RLO39" s="3"/>
      <c r="RLP39" s="3"/>
      <c r="RLQ39" s="3"/>
      <c r="RLR39" s="3"/>
      <c r="RLS39" s="3"/>
      <c r="RLT39" s="3"/>
      <c r="RLU39" s="3"/>
      <c r="RLV39" s="3"/>
      <c r="RLW39" s="3"/>
      <c r="RLX39" s="3"/>
      <c r="RLY39" s="3"/>
      <c r="RLZ39" s="3"/>
      <c r="RMA39" s="3"/>
      <c r="RMB39" s="3"/>
      <c r="RMC39" s="3"/>
      <c r="RMD39" s="3"/>
      <c r="RME39" s="3"/>
      <c r="RMF39" s="3"/>
      <c r="RMG39" s="3"/>
      <c r="RMH39" s="3"/>
      <c r="RMI39" s="3"/>
      <c r="RMJ39" s="3"/>
      <c r="RMK39" s="3"/>
      <c r="RML39" s="3"/>
      <c r="RMM39" s="3"/>
      <c r="RMN39" s="3"/>
      <c r="RMO39" s="3"/>
      <c r="RMP39" s="3"/>
      <c r="RMQ39" s="3"/>
      <c r="RMR39" s="3"/>
      <c r="RMS39" s="3"/>
      <c r="RMT39" s="3"/>
      <c r="RMU39" s="3"/>
      <c r="RMV39" s="3"/>
      <c r="RMW39" s="3"/>
      <c r="RMX39" s="3"/>
      <c r="RMY39" s="3"/>
      <c r="RMZ39" s="3"/>
      <c r="RNA39" s="3"/>
      <c r="RNB39" s="3"/>
      <c r="RNC39" s="3"/>
      <c r="RND39" s="3"/>
      <c r="RNE39" s="3"/>
      <c r="RNF39" s="3"/>
      <c r="RNG39" s="3"/>
      <c r="RNH39" s="3"/>
      <c r="RNI39" s="3"/>
      <c r="RNJ39" s="3"/>
      <c r="RNK39" s="3"/>
      <c r="RNL39" s="3"/>
      <c r="RNM39" s="3"/>
      <c r="RNN39" s="3"/>
      <c r="RNO39" s="3"/>
      <c r="RNP39" s="3"/>
      <c r="RNQ39" s="3"/>
      <c r="RNR39" s="3"/>
      <c r="RNS39" s="3"/>
      <c r="RNT39" s="3"/>
      <c r="RNU39" s="3"/>
      <c r="RNV39" s="3"/>
      <c r="RNW39" s="3"/>
      <c r="RNX39" s="3"/>
      <c r="RNY39" s="3"/>
      <c r="RNZ39" s="3"/>
      <c r="ROA39" s="3"/>
      <c r="ROB39" s="3"/>
      <c r="ROC39" s="3"/>
      <c r="ROD39" s="3"/>
      <c r="ROE39" s="3"/>
      <c r="ROF39" s="3"/>
      <c r="ROG39" s="3"/>
      <c r="ROH39" s="3"/>
      <c r="ROI39" s="3"/>
      <c r="ROJ39" s="3"/>
      <c r="ROK39" s="3"/>
      <c r="ROL39" s="3"/>
      <c r="ROM39" s="3"/>
      <c r="RON39" s="3"/>
      <c r="ROO39" s="3"/>
      <c r="ROP39" s="3"/>
      <c r="ROQ39" s="3"/>
      <c r="ROR39" s="3"/>
      <c r="ROS39" s="3"/>
      <c r="ROT39" s="3"/>
      <c r="ROU39" s="3"/>
      <c r="ROV39" s="3"/>
      <c r="ROW39" s="3"/>
      <c r="ROX39" s="3"/>
      <c r="ROY39" s="3"/>
      <c r="ROZ39" s="3"/>
      <c r="RPA39" s="3"/>
      <c r="RPB39" s="3"/>
      <c r="RPC39" s="3"/>
      <c r="RPD39" s="3"/>
      <c r="RPE39" s="3"/>
      <c r="RPF39" s="3"/>
      <c r="RPG39" s="3"/>
      <c r="RPH39" s="3"/>
      <c r="RPI39" s="3"/>
      <c r="RPJ39" s="3"/>
      <c r="RPK39" s="3"/>
      <c r="RPL39" s="3"/>
      <c r="RPM39" s="3"/>
      <c r="RPN39" s="3"/>
      <c r="RPO39" s="3"/>
      <c r="RPP39" s="3"/>
      <c r="RPQ39" s="3"/>
      <c r="RPR39" s="3"/>
      <c r="RPS39" s="3"/>
      <c r="RPT39" s="3"/>
      <c r="RPU39" s="3"/>
      <c r="RPV39" s="3"/>
      <c r="RPW39" s="3"/>
      <c r="RPX39" s="3"/>
      <c r="RPY39" s="3"/>
      <c r="RPZ39" s="3"/>
      <c r="RQA39" s="3"/>
      <c r="RQB39" s="3"/>
      <c r="RQC39" s="3"/>
      <c r="RQD39" s="3"/>
      <c r="RQE39" s="3"/>
      <c r="RQF39" s="3"/>
      <c r="RQG39" s="3"/>
      <c r="RQH39" s="3"/>
      <c r="RQI39" s="3"/>
      <c r="RQJ39" s="3"/>
      <c r="RQK39" s="3"/>
      <c r="RQL39" s="3"/>
      <c r="RQM39" s="3"/>
      <c r="RQN39" s="3"/>
      <c r="RQO39" s="3"/>
      <c r="RQP39" s="3"/>
      <c r="RQQ39" s="3"/>
      <c r="RQR39" s="3"/>
      <c r="RQS39" s="3"/>
      <c r="RQT39" s="3"/>
      <c r="RQU39" s="3"/>
      <c r="RQV39" s="3"/>
      <c r="RQW39" s="3"/>
      <c r="RQX39" s="3"/>
      <c r="RQY39" s="3"/>
      <c r="RQZ39" s="3"/>
      <c r="RRA39" s="3"/>
      <c r="RRB39" s="3"/>
      <c r="RRC39" s="3"/>
      <c r="RRD39" s="3"/>
      <c r="RRE39" s="3"/>
      <c r="RRF39" s="3"/>
      <c r="RRG39" s="3"/>
      <c r="RRH39" s="3"/>
      <c r="RRI39" s="3"/>
      <c r="RRJ39" s="3"/>
      <c r="RRK39" s="3"/>
      <c r="RRL39" s="3"/>
      <c r="RRM39" s="3"/>
      <c r="RRN39" s="3"/>
      <c r="RRO39" s="3"/>
      <c r="RRP39" s="3"/>
      <c r="RRQ39" s="3"/>
      <c r="RRR39" s="3"/>
      <c r="RRS39" s="3"/>
      <c r="RRT39" s="3"/>
      <c r="RRU39" s="3"/>
      <c r="RRV39" s="3"/>
      <c r="RRW39" s="3"/>
      <c r="RRX39" s="3"/>
      <c r="RRY39" s="3"/>
      <c r="RRZ39" s="3"/>
      <c r="RSA39" s="3"/>
      <c r="RSB39" s="3"/>
      <c r="RSC39" s="3"/>
      <c r="RSD39" s="3"/>
      <c r="RSE39" s="3"/>
      <c r="RSF39" s="3"/>
      <c r="RSG39" s="3"/>
      <c r="RSH39" s="3"/>
      <c r="RSI39" s="3"/>
      <c r="RSJ39" s="3"/>
      <c r="RSK39" s="3"/>
      <c r="RSL39" s="3"/>
      <c r="RSM39" s="3"/>
      <c r="RSN39" s="3"/>
      <c r="RSO39" s="3"/>
      <c r="RSP39" s="3"/>
      <c r="RSQ39" s="3"/>
      <c r="RSR39" s="3"/>
      <c r="RSS39" s="3"/>
      <c r="RST39" s="3"/>
      <c r="RSU39" s="3"/>
      <c r="RSV39" s="3"/>
      <c r="RSW39" s="3"/>
      <c r="RSX39" s="3"/>
      <c r="RSY39" s="3"/>
      <c r="RSZ39" s="3"/>
      <c r="RTA39" s="3"/>
      <c r="RTB39" s="3"/>
      <c r="RTC39" s="3"/>
      <c r="RTD39" s="3"/>
      <c r="RTE39" s="3"/>
      <c r="RTF39" s="3"/>
      <c r="RTG39" s="3"/>
      <c r="RTH39" s="3"/>
      <c r="RTI39" s="3"/>
      <c r="RTJ39" s="3"/>
      <c r="RTK39" s="3"/>
      <c r="RTL39" s="3"/>
      <c r="RTM39" s="3"/>
      <c r="RTN39" s="3"/>
      <c r="RTO39" s="3"/>
      <c r="RTP39" s="3"/>
      <c r="RTQ39" s="3"/>
      <c r="RTR39" s="3"/>
      <c r="RTS39" s="3"/>
      <c r="RTT39" s="3"/>
      <c r="RTU39" s="3"/>
      <c r="RTV39" s="3"/>
      <c r="RTW39" s="3"/>
      <c r="RTX39" s="3"/>
      <c r="RTY39" s="3"/>
      <c r="RTZ39" s="3"/>
      <c r="RUA39" s="3"/>
      <c r="RUB39" s="3"/>
      <c r="RUC39" s="3"/>
      <c r="RUD39" s="3"/>
      <c r="RUE39" s="3"/>
      <c r="RUF39" s="3"/>
      <c r="RUG39" s="3"/>
      <c r="RUH39" s="3"/>
      <c r="RUI39" s="3"/>
      <c r="RUJ39" s="3"/>
      <c r="RUK39" s="3"/>
      <c r="RUL39" s="3"/>
      <c r="RUM39" s="3"/>
      <c r="RUN39" s="3"/>
      <c r="RUO39" s="3"/>
      <c r="RUP39" s="3"/>
      <c r="RUQ39" s="3"/>
      <c r="RUR39" s="3"/>
      <c r="RUS39" s="3"/>
      <c r="RUT39" s="3"/>
      <c r="RUU39" s="3"/>
      <c r="RUV39" s="3"/>
      <c r="RUW39" s="3"/>
      <c r="RUX39" s="3"/>
      <c r="RUY39" s="3"/>
      <c r="RUZ39" s="3"/>
      <c r="RVA39" s="3"/>
      <c r="RVB39" s="3"/>
      <c r="RVC39" s="3"/>
      <c r="RVD39" s="3"/>
      <c r="RVE39" s="3"/>
      <c r="RVF39" s="3"/>
      <c r="RVG39" s="3"/>
      <c r="RVH39" s="3"/>
      <c r="RVI39" s="3"/>
      <c r="RVJ39" s="3"/>
      <c r="RVK39" s="3"/>
      <c r="RVL39" s="3"/>
      <c r="RVM39" s="3"/>
      <c r="RVN39" s="3"/>
      <c r="RVO39" s="3"/>
      <c r="RVP39" s="3"/>
      <c r="RVQ39" s="3"/>
      <c r="RVR39" s="3"/>
      <c r="RVS39" s="3"/>
      <c r="RVT39" s="3"/>
      <c r="RVU39" s="3"/>
      <c r="RVV39" s="3"/>
      <c r="RVW39" s="3"/>
      <c r="RVX39" s="3"/>
      <c r="RVY39" s="3"/>
      <c r="RVZ39" s="3"/>
      <c r="RWA39" s="3"/>
      <c r="RWB39" s="3"/>
      <c r="RWC39" s="3"/>
      <c r="RWD39" s="3"/>
      <c r="RWE39" s="3"/>
      <c r="RWF39" s="3"/>
      <c r="RWG39" s="3"/>
      <c r="RWH39" s="3"/>
      <c r="RWI39" s="3"/>
      <c r="RWJ39" s="3"/>
      <c r="RWK39" s="3"/>
      <c r="RWL39" s="3"/>
      <c r="RWM39" s="3"/>
      <c r="RWN39" s="3"/>
      <c r="RWO39" s="3"/>
      <c r="RWP39" s="3"/>
      <c r="RWQ39" s="3"/>
      <c r="RWR39" s="3"/>
      <c r="RWS39" s="3"/>
      <c r="RWT39" s="3"/>
      <c r="RWU39" s="3"/>
      <c r="RWV39" s="3"/>
      <c r="RWW39" s="3"/>
      <c r="RWX39" s="3"/>
      <c r="RWY39" s="3"/>
      <c r="RWZ39" s="3"/>
      <c r="RXA39" s="3"/>
      <c r="RXB39" s="3"/>
      <c r="RXC39" s="3"/>
      <c r="RXD39" s="3"/>
      <c r="RXE39" s="3"/>
      <c r="RXF39" s="3"/>
      <c r="RXG39" s="3"/>
      <c r="RXH39" s="3"/>
      <c r="RXI39" s="3"/>
      <c r="RXJ39" s="3"/>
      <c r="RXK39" s="3"/>
      <c r="RXL39" s="3"/>
      <c r="RXM39" s="3"/>
      <c r="RXN39" s="3"/>
      <c r="RXO39" s="3"/>
      <c r="RXP39" s="3"/>
      <c r="RXQ39" s="3"/>
      <c r="RXR39" s="3"/>
      <c r="RXS39" s="3"/>
      <c r="RXT39" s="3"/>
      <c r="RXU39" s="3"/>
      <c r="RXV39" s="3"/>
      <c r="RXW39" s="3"/>
      <c r="RXX39" s="3"/>
      <c r="RXY39" s="3"/>
      <c r="RXZ39" s="3"/>
      <c r="RYA39" s="3"/>
      <c r="RYB39" s="3"/>
      <c r="RYC39" s="3"/>
      <c r="RYD39" s="3"/>
      <c r="RYE39" s="3"/>
      <c r="RYF39" s="3"/>
      <c r="RYG39" s="3"/>
      <c r="RYH39" s="3"/>
      <c r="RYI39" s="3"/>
      <c r="RYJ39" s="3"/>
      <c r="RYK39" s="3"/>
      <c r="RYL39" s="3"/>
      <c r="RYM39" s="3"/>
      <c r="RYN39" s="3"/>
      <c r="RYO39" s="3"/>
      <c r="RYP39" s="3"/>
      <c r="RYQ39" s="3"/>
      <c r="RYR39" s="3"/>
      <c r="RYS39" s="3"/>
      <c r="RYT39" s="3"/>
      <c r="RYU39" s="3"/>
      <c r="RYV39" s="3"/>
      <c r="RYW39" s="3"/>
      <c r="RYX39" s="3"/>
      <c r="RYY39" s="3"/>
      <c r="RYZ39" s="3"/>
      <c r="RZA39" s="3"/>
      <c r="RZB39" s="3"/>
      <c r="RZC39" s="3"/>
      <c r="RZD39" s="3"/>
      <c r="RZE39" s="3"/>
      <c r="RZF39" s="3"/>
      <c r="RZG39" s="3"/>
      <c r="RZH39" s="3"/>
      <c r="RZI39" s="3"/>
      <c r="RZJ39" s="3"/>
      <c r="RZK39" s="3"/>
      <c r="RZL39" s="3"/>
      <c r="RZM39" s="3"/>
      <c r="RZN39" s="3"/>
      <c r="RZO39" s="3"/>
      <c r="RZP39" s="3"/>
      <c r="RZQ39" s="3"/>
      <c r="RZR39" s="3"/>
      <c r="RZS39" s="3"/>
      <c r="RZT39" s="3"/>
      <c r="RZU39" s="3"/>
      <c r="RZV39" s="3"/>
      <c r="RZW39" s="3"/>
      <c r="RZX39" s="3"/>
      <c r="RZY39" s="3"/>
      <c r="RZZ39" s="3"/>
      <c r="SAA39" s="3"/>
      <c r="SAB39" s="3"/>
      <c r="SAC39" s="3"/>
      <c r="SAD39" s="3"/>
      <c r="SAE39" s="3"/>
      <c r="SAF39" s="3"/>
      <c r="SAG39" s="3"/>
      <c r="SAH39" s="3"/>
      <c r="SAI39" s="3"/>
      <c r="SAJ39" s="3"/>
      <c r="SAK39" s="3"/>
      <c r="SAL39" s="3"/>
      <c r="SAM39" s="3"/>
      <c r="SAN39" s="3"/>
      <c r="SAO39" s="3"/>
      <c r="SAP39" s="3"/>
      <c r="SAQ39" s="3"/>
      <c r="SAR39" s="3"/>
      <c r="SAS39" s="3"/>
      <c r="SAT39" s="3"/>
      <c r="SAU39" s="3"/>
      <c r="SAV39" s="3"/>
      <c r="SAW39" s="3"/>
      <c r="SAX39" s="3"/>
      <c r="SAY39" s="3"/>
      <c r="SAZ39" s="3"/>
      <c r="SBA39" s="3"/>
      <c r="SBB39" s="3"/>
      <c r="SBC39" s="3"/>
      <c r="SBD39" s="3"/>
      <c r="SBE39" s="3"/>
      <c r="SBF39" s="3"/>
      <c r="SBG39" s="3"/>
      <c r="SBH39" s="3"/>
      <c r="SBI39" s="3"/>
      <c r="SBJ39" s="3"/>
      <c r="SBK39" s="3"/>
      <c r="SBL39" s="3"/>
      <c r="SBM39" s="3"/>
      <c r="SBN39" s="3"/>
      <c r="SBO39" s="3"/>
      <c r="SBP39" s="3"/>
      <c r="SBQ39" s="3"/>
      <c r="SBR39" s="3"/>
      <c r="SBS39" s="3"/>
      <c r="SBT39" s="3"/>
      <c r="SBU39" s="3"/>
      <c r="SBV39" s="3"/>
      <c r="SBW39" s="3"/>
      <c r="SBX39" s="3"/>
      <c r="SBY39" s="3"/>
      <c r="SBZ39" s="3"/>
      <c r="SCA39" s="3"/>
      <c r="SCB39" s="3"/>
      <c r="SCC39" s="3"/>
      <c r="SCD39" s="3"/>
      <c r="SCE39" s="3"/>
      <c r="SCF39" s="3"/>
      <c r="SCG39" s="3"/>
      <c r="SCH39" s="3"/>
      <c r="SCI39" s="3"/>
      <c r="SCJ39" s="3"/>
      <c r="SCK39" s="3"/>
      <c r="SCL39" s="3"/>
      <c r="SCM39" s="3"/>
      <c r="SCN39" s="3"/>
      <c r="SCO39" s="3"/>
      <c r="SCP39" s="3"/>
      <c r="SCQ39" s="3"/>
      <c r="SCR39" s="3"/>
      <c r="SCS39" s="3"/>
      <c r="SCT39" s="3"/>
      <c r="SCU39" s="3"/>
      <c r="SCV39" s="3"/>
      <c r="SCW39" s="3"/>
      <c r="SCX39" s="3"/>
      <c r="SCY39" s="3"/>
      <c r="SCZ39" s="3"/>
      <c r="SDA39" s="3"/>
      <c r="SDB39" s="3"/>
      <c r="SDC39" s="3"/>
      <c r="SDD39" s="3"/>
      <c r="SDE39" s="3"/>
      <c r="SDF39" s="3"/>
      <c r="SDG39" s="3"/>
      <c r="SDH39" s="3"/>
      <c r="SDI39" s="3"/>
      <c r="SDJ39" s="3"/>
      <c r="SDK39" s="3"/>
      <c r="SDL39" s="3"/>
      <c r="SDM39" s="3"/>
      <c r="SDN39" s="3"/>
      <c r="SDO39" s="3"/>
      <c r="SDP39" s="3"/>
      <c r="SDQ39" s="3"/>
      <c r="SDR39" s="3"/>
      <c r="SDS39" s="3"/>
      <c r="SDT39" s="3"/>
      <c r="SDU39" s="3"/>
      <c r="SDV39" s="3"/>
      <c r="SDW39" s="3"/>
      <c r="SDX39" s="3"/>
      <c r="SDY39" s="3"/>
      <c r="SDZ39" s="3"/>
      <c r="SEA39" s="3"/>
      <c r="SEB39" s="3"/>
      <c r="SEC39" s="3"/>
      <c r="SED39" s="3"/>
      <c r="SEE39" s="3"/>
      <c r="SEF39" s="3"/>
      <c r="SEG39" s="3"/>
      <c r="SEH39" s="3"/>
      <c r="SEI39" s="3"/>
      <c r="SEJ39" s="3"/>
      <c r="SEK39" s="3"/>
      <c r="SEL39" s="3"/>
      <c r="SEM39" s="3"/>
      <c r="SEN39" s="3"/>
      <c r="SEO39" s="3"/>
      <c r="SEP39" s="3"/>
      <c r="SEQ39" s="3"/>
      <c r="SER39" s="3"/>
      <c r="SES39" s="3"/>
      <c r="SET39" s="3"/>
      <c r="SEU39" s="3"/>
      <c r="SEV39" s="3"/>
      <c r="SEW39" s="3"/>
      <c r="SEX39" s="3"/>
      <c r="SEY39" s="3"/>
      <c r="SEZ39" s="3"/>
      <c r="SFA39" s="3"/>
      <c r="SFB39" s="3"/>
      <c r="SFC39" s="3"/>
      <c r="SFD39" s="3"/>
      <c r="SFE39" s="3"/>
      <c r="SFF39" s="3"/>
      <c r="SFG39" s="3"/>
      <c r="SFH39" s="3"/>
      <c r="SFI39" s="3"/>
      <c r="SFJ39" s="3"/>
      <c r="SFK39" s="3"/>
      <c r="SFL39" s="3"/>
      <c r="SFM39" s="3"/>
      <c r="SFN39" s="3"/>
      <c r="SFO39" s="3"/>
      <c r="SFP39" s="3"/>
      <c r="SFQ39" s="3"/>
      <c r="SFR39" s="3"/>
      <c r="SFS39" s="3"/>
      <c r="SFT39" s="3"/>
      <c r="SFU39" s="3"/>
      <c r="SFV39" s="3"/>
      <c r="SFW39" s="3"/>
      <c r="SFX39" s="3"/>
      <c r="SFY39" s="3"/>
      <c r="SFZ39" s="3"/>
      <c r="SGA39" s="3"/>
      <c r="SGB39" s="3"/>
      <c r="SGC39" s="3"/>
      <c r="SGD39" s="3"/>
      <c r="SGE39" s="3"/>
      <c r="SGF39" s="3"/>
      <c r="SGG39" s="3"/>
      <c r="SGH39" s="3"/>
      <c r="SGI39" s="3"/>
      <c r="SGJ39" s="3"/>
      <c r="SGK39" s="3"/>
      <c r="SGL39" s="3"/>
      <c r="SGM39" s="3"/>
      <c r="SGN39" s="3"/>
      <c r="SGO39" s="3"/>
      <c r="SGP39" s="3"/>
      <c r="SGQ39" s="3"/>
      <c r="SGR39" s="3"/>
      <c r="SGS39" s="3"/>
      <c r="SGT39" s="3"/>
      <c r="SGU39" s="3"/>
      <c r="SGV39" s="3"/>
      <c r="SGW39" s="3"/>
      <c r="SGX39" s="3"/>
      <c r="SGY39" s="3"/>
      <c r="SGZ39" s="3"/>
      <c r="SHA39" s="3"/>
      <c r="SHB39" s="3"/>
      <c r="SHC39" s="3"/>
      <c r="SHD39" s="3"/>
      <c r="SHE39" s="3"/>
      <c r="SHF39" s="3"/>
      <c r="SHG39" s="3"/>
      <c r="SHH39" s="3"/>
      <c r="SHI39" s="3"/>
      <c r="SHJ39" s="3"/>
      <c r="SHK39" s="3"/>
      <c r="SHL39" s="3"/>
      <c r="SHM39" s="3"/>
      <c r="SHN39" s="3"/>
      <c r="SHO39" s="3"/>
      <c r="SHP39" s="3"/>
      <c r="SHQ39" s="3"/>
      <c r="SHR39" s="3"/>
      <c r="SHS39" s="3"/>
      <c r="SHT39" s="3"/>
      <c r="SHU39" s="3"/>
      <c r="SHV39" s="3"/>
      <c r="SHW39" s="3"/>
      <c r="SHX39" s="3"/>
      <c r="SHY39" s="3"/>
      <c r="SHZ39" s="3"/>
      <c r="SIA39" s="3"/>
      <c r="SIB39" s="3"/>
      <c r="SIC39" s="3"/>
      <c r="SID39" s="3"/>
      <c r="SIE39" s="3"/>
      <c r="SIF39" s="3"/>
      <c r="SIG39" s="3"/>
      <c r="SIH39" s="3"/>
      <c r="SII39" s="3"/>
      <c r="SIJ39" s="3"/>
      <c r="SIK39" s="3"/>
      <c r="SIL39" s="3"/>
      <c r="SIM39" s="3"/>
      <c r="SIN39" s="3"/>
      <c r="SIO39" s="3"/>
      <c r="SIP39" s="3"/>
      <c r="SIQ39" s="3"/>
      <c r="SIR39" s="3"/>
      <c r="SIS39" s="3"/>
      <c r="SIT39" s="3"/>
      <c r="SIU39" s="3"/>
      <c r="SIV39" s="3"/>
      <c r="SIW39" s="3"/>
      <c r="SIX39" s="3"/>
      <c r="SIY39" s="3"/>
      <c r="SIZ39" s="3"/>
      <c r="SJA39" s="3"/>
      <c r="SJB39" s="3"/>
      <c r="SJC39" s="3"/>
      <c r="SJD39" s="3"/>
      <c r="SJE39" s="3"/>
      <c r="SJF39" s="3"/>
      <c r="SJG39" s="3"/>
      <c r="SJH39" s="3"/>
      <c r="SJI39" s="3"/>
      <c r="SJJ39" s="3"/>
      <c r="SJK39" s="3"/>
      <c r="SJL39" s="3"/>
      <c r="SJM39" s="3"/>
      <c r="SJN39" s="3"/>
      <c r="SJO39" s="3"/>
      <c r="SJP39" s="3"/>
      <c r="SJQ39" s="3"/>
      <c r="SJR39" s="3"/>
      <c r="SJS39" s="3"/>
      <c r="SJT39" s="3"/>
      <c r="SJU39" s="3"/>
      <c r="SJV39" s="3"/>
      <c r="SJW39" s="3"/>
      <c r="SJX39" s="3"/>
      <c r="SJY39" s="3"/>
      <c r="SJZ39" s="3"/>
      <c r="SKA39" s="3"/>
      <c r="SKB39" s="3"/>
      <c r="SKC39" s="3"/>
      <c r="SKD39" s="3"/>
      <c r="SKE39" s="3"/>
      <c r="SKF39" s="3"/>
      <c r="SKG39" s="3"/>
      <c r="SKH39" s="3"/>
      <c r="SKI39" s="3"/>
      <c r="SKJ39" s="3"/>
      <c r="SKK39" s="3"/>
      <c r="SKL39" s="3"/>
      <c r="SKM39" s="3"/>
      <c r="SKN39" s="3"/>
      <c r="SKO39" s="3"/>
      <c r="SKP39" s="3"/>
      <c r="SKQ39" s="3"/>
      <c r="SKR39" s="3"/>
      <c r="SKS39" s="3"/>
      <c r="SKT39" s="3"/>
      <c r="SKU39" s="3"/>
      <c r="SKV39" s="3"/>
      <c r="SKW39" s="3"/>
      <c r="SKX39" s="3"/>
      <c r="SKY39" s="3"/>
      <c r="SKZ39" s="3"/>
      <c r="SLA39" s="3"/>
      <c r="SLB39" s="3"/>
      <c r="SLC39" s="3"/>
      <c r="SLD39" s="3"/>
      <c r="SLE39" s="3"/>
      <c r="SLF39" s="3"/>
      <c r="SLG39" s="3"/>
      <c r="SLH39" s="3"/>
      <c r="SLI39" s="3"/>
      <c r="SLJ39" s="3"/>
      <c r="SLK39" s="3"/>
      <c r="SLL39" s="3"/>
      <c r="SLM39" s="3"/>
      <c r="SLN39" s="3"/>
      <c r="SLO39" s="3"/>
      <c r="SLP39" s="3"/>
      <c r="SLQ39" s="3"/>
      <c r="SLR39" s="3"/>
      <c r="SLS39" s="3"/>
      <c r="SLT39" s="3"/>
      <c r="SLU39" s="3"/>
      <c r="SLV39" s="3"/>
      <c r="SLW39" s="3"/>
      <c r="SLX39" s="3"/>
      <c r="SLY39" s="3"/>
      <c r="SLZ39" s="3"/>
      <c r="SMA39" s="3"/>
      <c r="SMB39" s="3"/>
      <c r="SMC39" s="3"/>
      <c r="SMD39" s="3"/>
      <c r="SME39" s="3"/>
      <c r="SMF39" s="3"/>
      <c r="SMG39" s="3"/>
      <c r="SMH39" s="3"/>
      <c r="SMI39" s="3"/>
      <c r="SMJ39" s="3"/>
      <c r="SMK39" s="3"/>
      <c r="SML39" s="3"/>
      <c r="SMM39" s="3"/>
      <c r="SMN39" s="3"/>
      <c r="SMO39" s="3"/>
      <c r="SMP39" s="3"/>
      <c r="SMQ39" s="3"/>
      <c r="SMR39" s="3"/>
      <c r="SMS39" s="3"/>
      <c r="SMT39" s="3"/>
      <c r="SMU39" s="3"/>
      <c r="SMV39" s="3"/>
      <c r="SMW39" s="3"/>
      <c r="SMX39" s="3"/>
      <c r="SMY39" s="3"/>
      <c r="SMZ39" s="3"/>
      <c r="SNA39" s="3"/>
      <c r="SNB39" s="3"/>
      <c r="SNC39" s="3"/>
      <c r="SND39" s="3"/>
      <c r="SNE39" s="3"/>
      <c r="SNF39" s="3"/>
      <c r="SNG39" s="3"/>
      <c r="SNH39" s="3"/>
      <c r="SNI39" s="3"/>
      <c r="SNJ39" s="3"/>
      <c r="SNK39" s="3"/>
      <c r="SNL39" s="3"/>
      <c r="SNM39" s="3"/>
      <c r="SNN39" s="3"/>
      <c r="SNO39" s="3"/>
      <c r="SNP39" s="3"/>
      <c r="SNQ39" s="3"/>
      <c r="SNR39" s="3"/>
      <c r="SNS39" s="3"/>
      <c r="SNT39" s="3"/>
      <c r="SNU39" s="3"/>
      <c r="SNV39" s="3"/>
      <c r="SNW39" s="3"/>
      <c r="SNX39" s="3"/>
      <c r="SNY39" s="3"/>
      <c r="SNZ39" s="3"/>
      <c r="SOA39" s="3"/>
      <c r="SOB39" s="3"/>
      <c r="SOC39" s="3"/>
      <c r="SOD39" s="3"/>
      <c r="SOE39" s="3"/>
      <c r="SOF39" s="3"/>
      <c r="SOG39" s="3"/>
      <c r="SOH39" s="3"/>
      <c r="SOI39" s="3"/>
      <c r="SOJ39" s="3"/>
      <c r="SOK39" s="3"/>
      <c r="SOL39" s="3"/>
      <c r="SOM39" s="3"/>
      <c r="SON39" s="3"/>
      <c r="SOO39" s="3"/>
      <c r="SOP39" s="3"/>
      <c r="SOQ39" s="3"/>
      <c r="SOR39" s="3"/>
      <c r="SOS39" s="3"/>
      <c r="SOT39" s="3"/>
      <c r="SOU39" s="3"/>
      <c r="SOV39" s="3"/>
      <c r="SOW39" s="3"/>
      <c r="SOX39" s="3"/>
      <c r="SOY39" s="3"/>
      <c r="SOZ39" s="3"/>
      <c r="SPA39" s="3"/>
      <c r="SPB39" s="3"/>
      <c r="SPC39" s="3"/>
      <c r="SPD39" s="3"/>
      <c r="SPE39" s="3"/>
      <c r="SPF39" s="3"/>
      <c r="SPG39" s="3"/>
      <c r="SPH39" s="3"/>
      <c r="SPI39" s="3"/>
      <c r="SPJ39" s="3"/>
      <c r="SPK39" s="3"/>
      <c r="SPL39" s="3"/>
      <c r="SPM39" s="3"/>
      <c r="SPN39" s="3"/>
      <c r="SPO39" s="3"/>
      <c r="SPP39" s="3"/>
      <c r="SPQ39" s="3"/>
      <c r="SPR39" s="3"/>
      <c r="SPS39" s="3"/>
      <c r="SPT39" s="3"/>
      <c r="SPU39" s="3"/>
      <c r="SPV39" s="3"/>
      <c r="SPW39" s="3"/>
      <c r="SPX39" s="3"/>
      <c r="SPY39" s="3"/>
      <c r="SPZ39" s="3"/>
      <c r="SQA39" s="3"/>
      <c r="SQB39" s="3"/>
      <c r="SQC39" s="3"/>
      <c r="SQD39" s="3"/>
      <c r="SQE39" s="3"/>
      <c r="SQF39" s="3"/>
      <c r="SQG39" s="3"/>
      <c r="SQH39" s="3"/>
      <c r="SQI39" s="3"/>
      <c r="SQJ39" s="3"/>
      <c r="SQK39" s="3"/>
      <c r="SQL39" s="3"/>
      <c r="SQM39" s="3"/>
      <c r="SQN39" s="3"/>
      <c r="SQO39" s="3"/>
      <c r="SQP39" s="3"/>
      <c r="SQQ39" s="3"/>
      <c r="SQR39" s="3"/>
      <c r="SQS39" s="3"/>
      <c r="SQT39" s="3"/>
      <c r="SQU39" s="3"/>
      <c r="SQV39" s="3"/>
      <c r="SQW39" s="3"/>
      <c r="SQX39" s="3"/>
      <c r="SQY39" s="3"/>
      <c r="SQZ39" s="3"/>
      <c r="SRA39" s="3"/>
      <c r="SRB39" s="3"/>
      <c r="SRC39" s="3"/>
      <c r="SRD39" s="3"/>
      <c r="SRE39" s="3"/>
      <c r="SRF39" s="3"/>
      <c r="SRG39" s="3"/>
      <c r="SRH39" s="3"/>
      <c r="SRI39" s="3"/>
      <c r="SRJ39" s="3"/>
      <c r="SRK39" s="3"/>
      <c r="SRL39" s="3"/>
      <c r="SRM39" s="3"/>
      <c r="SRN39" s="3"/>
      <c r="SRO39" s="3"/>
      <c r="SRP39" s="3"/>
      <c r="SRQ39" s="3"/>
      <c r="SRR39" s="3"/>
      <c r="SRS39" s="3"/>
      <c r="SRT39" s="3"/>
      <c r="SRU39" s="3"/>
      <c r="SRV39" s="3"/>
      <c r="SRW39" s="3"/>
      <c r="SRX39" s="3"/>
      <c r="SRY39" s="3"/>
      <c r="SRZ39" s="3"/>
      <c r="SSA39" s="3"/>
      <c r="SSB39" s="3"/>
      <c r="SSC39" s="3"/>
      <c r="SSD39" s="3"/>
      <c r="SSE39" s="3"/>
      <c r="SSF39" s="3"/>
      <c r="SSG39" s="3"/>
      <c r="SSH39" s="3"/>
      <c r="SSI39" s="3"/>
      <c r="SSJ39" s="3"/>
      <c r="SSK39" s="3"/>
      <c r="SSL39" s="3"/>
      <c r="SSM39" s="3"/>
      <c r="SSN39" s="3"/>
      <c r="SSO39" s="3"/>
      <c r="SSP39" s="3"/>
      <c r="SSQ39" s="3"/>
      <c r="SSR39" s="3"/>
      <c r="SSS39" s="3"/>
      <c r="SST39" s="3"/>
      <c r="SSU39" s="3"/>
      <c r="SSV39" s="3"/>
      <c r="SSW39" s="3"/>
      <c r="SSX39" s="3"/>
      <c r="SSY39" s="3"/>
      <c r="SSZ39" s="3"/>
      <c r="STA39" s="3"/>
      <c r="STB39" s="3"/>
      <c r="STC39" s="3"/>
      <c r="STD39" s="3"/>
      <c r="STE39" s="3"/>
      <c r="STF39" s="3"/>
      <c r="STG39" s="3"/>
      <c r="STH39" s="3"/>
      <c r="STI39" s="3"/>
      <c r="STJ39" s="3"/>
      <c r="STK39" s="3"/>
      <c r="STL39" s="3"/>
      <c r="STM39" s="3"/>
      <c r="STN39" s="3"/>
      <c r="STO39" s="3"/>
      <c r="STP39" s="3"/>
      <c r="STQ39" s="3"/>
      <c r="STR39" s="3"/>
      <c r="STS39" s="3"/>
      <c r="STT39" s="3"/>
      <c r="STU39" s="3"/>
      <c r="STV39" s="3"/>
      <c r="STW39" s="3"/>
      <c r="STX39" s="3"/>
      <c r="STY39" s="3"/>
      <c r="STZ39" s="3"/>
      <c r="SUA39" s="3"/>
      <c r="SUB39" s="3"/>
      <c r="SUC39" s="3"/>
      <c r="SUD39" s="3"/>
      <c r="SUE39" s="3"/>
      <c r="SUF39" s="3"/>
      <c r="SUG39" s="3"/>
      <c r="SUH39" s="3"/>
      <c r="SUI39" s="3"/>
      <c r="SUJ39" s="3"/>
      <c r="SUK39" s="3"/>
      <c r="SUL39" s="3"/>
      <c r="SUM39" s="3"/>
      <c r="SUN39" s="3"/>
      <c r="SUO39" s="3"/>
      <c r="SUP39" s="3"/>
      <c r="SUQ39" s="3"/>
      <c r="SUR39" s="3"/>
      <c r="SUS39" s="3"/>
      <c r="SUT39" s="3"/>
      <c r="SUU39" s="3"/>
      <c r="SUV39" s="3"/>
      <c r="SUW39" s="3"/>
      <c r="SUX39" s="3"/>
      <c r="SUY39" s="3"/>
      <c r="SUZ39" s="3"/>
      <c r="SVA39" s="3"/>
      <c r="SVB39" s="3"/>
      <c r="SVC39" s="3"/>
      <c r="SVD39" s="3"/>
      <c r="SVE39" s="3"/>
      <c r="SVF39" s="3"/>
      <c r="SVG39" s="3"/>
      <c r="SVH39" s="3"/>
      <c r="SVI39" s="3"/>
      <c r="SVJ39" s="3"/>
      <c r="SVK39" s="3"/>
      <c r="SVL39" s="3"/>
      <c r="SVM39" s="3"/>
      <c r="SVN39" s="3"/>
      <c r="SVO39" s="3"/>
      <c r="SVP39" s="3"/>
      <c r="SVQ39" s="3"/>
      <c r="SVR39" s="3"/>
      <c r="SVS39" s="3"/>
      <c r="SVT39" s="3"/>
      <c r="SVU39" s="3"/>
      <c r="SVV39" s="3"/>
      <c r="SVW39" s="3"/>
      <c r="SVX39" s="3"/>
      <c r="SVY39" s="3"/>
      <c r="SVZ39" s="3"/>
      <c r="SWA39" s="3"/>
      <c r="SWB39" s="3"/>
      <c r="SWC39" s="3"/>
      <c r="SWD39" s="3"/>
      <c r="SWE39" s="3"/>
      <c r="SWF39" s="3"/>
      <c r="SWG39" s="3"/>
      <c r="SWH39" s="3"/>
      <c r="SWI39" s="3"/>
      <c r="SWJ39" s="3"/>
      <c r="SWK39" s="3"/>
      <c r="SWL39" s="3"/>
      <c r="SWM39" s="3"/>
      <c r="SWN39" s="3"/>
      <c r="SWO39" s="3"/>
      <c r="SWP39" s="3"/>
      <c r="SWQ39" s="3"/>
      <c r="SWR39" s="3"/>
      <c r="SWS39" s="3"/>
      <c r="SWT39" s="3"/>
      <c r="SWU39" s="3"/>
      <c r="SWV39" s="3"/>
      <c r="SWW39" s="3"/>
      <c r="SWX39" s="3"/>
      <c r="SWY39" s="3"/>
      <c r="SWZ39" s="3"/>
      <c r="SXA39" s="3"/>
      <c r="SXB39" s="3"/>
      <c r="SXC39" s="3"/>
      <c r="SXD39" s="3"/>
      <c r="SXE39" s="3"/>
      <c r="SXF39" s="3"/>
      <c r="SXG39" s="3"/>
      <c r="SXH39" s="3"/>
      <c r="SXI39" s="3"/>
      <c r="SXJ39" s="3"/>
      <c r="SXK39" s="3"/>
      <c r="SXL39" s="3"/>
      <c r="SXM39" s="3"/>
      <c r="SXN39" s="3"/>
      <c r="SXO39" s="3"/>
      <c r="SXP39" s="3"/>
      <c r="SXQ39" s="3"/>
      <c r="SXR39" s="3"/>
      <c r="SXS39" s="3"/>
      <c r="SXT39" s="3"/>
      <c r="SXU39" s="3"/>
      <c r="SXV39" s="3"/>
      <c r="SXW39" s="3"/>
      <c r="SXX39" s="3"/>
      <c r="SXY39" s="3"/>
      <c r="SXZ39" s="3"/>
      <c r="SYA39" s="3"/>
      <c r="SYB39" s="3"/>
      <c r="SYC39" s="3"/>
      <c r="SYD39" s="3"/>
      <c r="SYE39" s="3"/>
      <c r="SYF39" s="3"/>
      <c r="SYG39" s="3"/>
      <c r="SYH39" s="3"/>
      <c r="SYI39" s="3"/>
      <c r="SYJ39" s="3"/>
      <c r="SYK39" s="3"/>
      <c r="SYL39" s="3"/>
      <c r="SYM39" s="3"/>
      <c r="SYN39" s="3"/>
      <c r="SYO39" s="3"/>
      <c r="SYP39" s="3"/>
      <c r="SYQ39" s="3"/>
      <c r="SYR39" s="3"/>
      <c r="SYS39" s="3"/>
      <c r="SYT39" s="3"/>
      <c r="SYU39" s="3"/>
      <c r="SYV39" s="3"/>
      <c r="SYW39" s="3"/>
      <c r="SYX39" s="3"/>
      <c r="SYY39" s="3"/>
      <c r="SYZ39" s="3"/>
      <c r="SZA39" s="3"/>
      <c r="SZB39" s="3"/>
      <c r="SZC39" s="3"/>
      <c r="SZD39" s="3"/>
      <c r="SZE39" s="3"/>
      <c r="SZF39" s="3"/>
      <c r="SZG39" s="3"/>
      <c r="SZH39" s="3"/>
      <c r="SZI39" s="3"/>
      <c r="SZJ39" s="3"/>
      <c r="SZK39" s="3"/>
      <c r="SZL39" s="3"/>
      <c r="SZM39" s="3"/>
      <c r="SZN39" s="3"/>
      <c r="SZO39" s="3"/>
      <c r="SZP39" s="3"/>
      <c r="SZQ39" s="3"/>
      <c r="SZR39" s="3"/>
      <c r="SZS39" s="3"/>
      <c r="SZT39" s="3"/>
      <c r="SZU39" s="3"/>
      <c r="SZV39" s="3"/>
      <c r="SZW39" s="3"/>
      <c r="SZX39" s="3"/>
      <c r="SZY39" s="3"/>
      <c r="SZZ39" s="3"/>
      <c r="TAA39" s="3"/>
      <c r="TAB39" s="3"/>
      <c r="TAC39" s="3"/>
      <c r="TAD39" s="3"/>
      <c r="TAE39" s="3"/>
      <c r="TAF39" s="3"/>
      <c r="TAG39" s="3"/>
      <c r="TAH39" s="3"/>
      <c r="TAI39" s="3"/>
      <c r="TAJ39" s="3"/>
      <c r="TAK39" s="3"/>
      <c r="TAL39" s="3"/>
      <c r="TAM39" s="3"/>
      <c r="TAN39" s="3"/>
      <c r="TAO39" s="3"/>
      <c r="TAP39" s="3"/>
      <c r="TAQ39" s="3"/>
      <c r="TAR39" s="3"/>
      <c r="TAS39" s="3"/>
      <c r="TAT39" s="3"/>
      <c r="TAU39" s="3"/>
      <c r="TAV39" s="3"/>
      <c r="TAW39" s="3"/>
      <c r="TAX39" s="3"/>
      <c r="TAY39" s="3"/>
      <c r="TAZ39" s="3"/>
      <c r="TBA39" s="3"/>
      <c r="TBB39" s="3"/>
      <c r="TBC39" s="3"/>
      <c r="TBD39" s="3"/>
      <c r="TBE39" s="3"/>
      <c r="TBF39" s="3"/>
      <c r="TBG39" s="3"/>
      <c r="TBH39" s="3"/>
      <c r="TBI39" s="3"/>
      <c r="TBJ39" s="3"/>
      <c r="TBK39" s="3"/>
      <c r="TBL39" s="3"/>
      <c r="TBM39" s="3"/>
      <c r="TBN39" s="3"/>
      <c r="TBO39" s="3"/>
      <c r="TBP39" s="3"/>
      <c r="TBQ39" s="3"/>
      <c r="TBR39" s="3"/>
      <c r="TBS39" s="3"/>
      <c r="TBT39" s="3"/>
      <c r="TBU39" s="3"/>
      <c r="TBV39" s="3"/>
      <c r="TBW39" s="3"/>
      <c r="TBX39" s="3"/>
      <c r="TBY39" s="3"/>
      <c r="TBZ39" s="3"/>
      <c r="TCA39" s="3"/>
      <c r="TCB39" s="3"/>
      <c r="TCC39" s="3"/>
      <c r="TCD39" s="3"/>
      <c r="TCE39" s="3"/>
      <c r="TCF39" s="3"/>
      <c r="TCG39" s="3"/>
      <c r="TCH39" s="3"/>
      <c r="TCI39" s="3"/>
      <c r="TCJ39" s="3"/>
      <c r="TCK39" s="3"/>
      <c r="TCL39" s="3"/>
      <c r="TCM39" s="3"/>
      <c r="TCN39" s="3"/>
      <c r="TCO39" s="3"/>
      <c r="TCP39" s="3"/>
      <c r="TCQ39" s="3"/>
      <c r="TCR39" s="3"/>
      <c r="TCS39" s="3"/>
      <c r="TCT39" s="3"/>
      <c r="TCU39" s="3"/>
      <c r="TCV39" s="3"/>
      <c r="TCW39" s="3"/>
      <c r="TCX39" s="3"/>
      <c r="TCY39" s="3"/>
      <c r="TCZ39" s="3"/>
      <c r="TDA39" s="3"/>
      <c r="TDB39" s="3"/>
      <c r="TDC39" s="3"/>
      <c r="TDD39" s="3"/>
      <c r="TDE39" s="3"/>
      <c r="TDF39" s="3"/>
      <c r="TDG39" s="3"/>
      <c r="TDH39" s="3"/>
      <c r="TDI39" s="3"/>
      <c r="TDJ39" s="3"/>
      <c r="TDK39" s="3"/>
      <c r="TDL39" s="3"/>
      <c r="TDM39" s="3"/>
      <c r="TDN39" s="3"/>
      <c r="TDO39" s="3"/>
      <c r="TDP39" s="3"/>
      <c r="TDQ39" s="3"/>
      <c r="TDR39" s="3"/>
      <c r="TDS39" s="3"/>
      <c r="TDT39" s="3"/>
      <c r="TDU39" s="3"/>
      <c r="TDV39" s="3"/>
      <c r="TDW39" s="3"/>
      <c r="TDX39" s="3"/>
      <c r="TDY39" s="3"/>
      <c r="TDZ39" s="3"/>
      <c r="TEA39" s="3"/>
      <c r="TEB39" s="3"/>
      <c r="TEC39" s="3"/>
      <c r="TED39" s="3"/>
      <c r="TEE39" s="3"/>
      <c r="TEF39" s="3"/>
      <c r="TEG39" s="3"/>
      <c r="TEH39" s="3"/>
      <c r="TEI39" s="3"/>
      <c r="TEJ39" s="3"/>
      <c r="TEK39" s="3"/>
      <c r="TEL39" s="3"/>
      <c r="TEM39" s="3"/>
      <c r="TEN39" s="3"/>
      <c r="TEO39" s="3"/>
      <c r="TEP39" s="3"/>
      <c r="TEQ39" s="3"/>
      <c r="TER39" s="3"/>
      <c r="TES39" s="3"/>
      <c r="TET39" s="3"/>
      <c r="TEU39" s="3"/>
      <c r="TEV39" s="3"/>
      <c r="TEW39" s="3"/>
      <c r="TEX39" s="3"/>
      <c r="TEY39" s="3"/>
      <c r="TEZ39" s="3"/>
      <c r="TFA39" s="3"/>
      <c r="TFB39" s="3"/>
      <c r="TFC39" s="3"/>
      <c r="TFD39" s="3"/>
      <c r="TFE39" s="3"/>
      <c r="TFF39" s="3"/>
      <c r="TFG39" s="3"/>
      <c r="TFH39" s="3"/>
      <c r="TFI39" s="3"/>
      <c r="TFJ39" s="3"/>
      <c r="TFK39" s="3"/>
      <c r="TFL39" s="3"/>
      <c r="TFM39" s="3"/>
      <c r="TFN39" s="3"/>
      <c r="TFO39" s="3"/>
      <c r="TFP39" s="3"/>
      <c r="TFQ39" s="3"/>
      <c r="TFR39" s="3"/>
      <c r="TFS39" s="3"/>
      <c r="TFT39" s="3"/>
      <c r="TFU39" s="3"/>
      <c r="TFV39" s="3"/>
      <c r="TFW39" s="3"/>
      <c r="TFX39" s="3"/>
      <c r="TFY39" s="3"/>
      <c r="TFZ39" s="3"/>
      <c r="TGA39" s="3"/>
      <c r="TGB39" s="3"/>
      <c r="TGC39" s="3"/>
      <c r="TGD39" s="3"/>
      <c r="TGE39" s="3"/>
      <c r="TGF39" s="3"/>
      <c r="TGG39" s="3"/>
      <c r="TGH39" s="3"/>
      <c r="TGI39" s="3"/>
      <c r="TGJ39" s="3"/>
      <c r="TGK39" s="3"/>
      <c r="TGL39" s="3"/>
      <c r="TGM39" s="3"/>
      <c r="TGN39" s="3"/>
      <c r="TGO39" s="3"/>
      <c r="TGP39" s="3"/>
      <c r="TGQ39" s="3"/>
      <c r="TGR39" s="3"/>
      <c r="TGS39" s="3"/>
      <c r="TGT39" s="3"/>
      <c r="TGU39" s="3"/>
      <c r="TGV39" s="3"/>
      <c r="TGW39" s="3"/>
      <c r="TGX39" s="3"/>
      <c r="TGY39" s="3"/>
      <c r="TGZ39" s="3"/>
      <c r="THA39" s="3"/>
      <c r="THB39" s="3"/>
      <c r="THC39" s="3"/>
      <c r="THD39" s="3"/>
      <c r="THE39" s="3"/>
      <c r="THF39" s="3"/>
      <c r="THG39" s="3"/>
      <c r="THH39" s="3"/>
      <c r="THI39" s="3"/>
      <c r="THJ39" s="3"/>
      <c r="THK39" s="3"/>
      <c r="THL39" s="3"/>
      <c r="THM39" s="3"/>
      <c r="THN39" s="3"/>
      <c r="THO39" s="3"/>
      <c r="THP39" s="3"/>
      <c r="THQ39" s="3"/>
      <c r="THR39" s="3"/>
      <c r="THS39" s="3"/>
      <c r="THT39" s="3"/>
      <c r="THU39" s="3"/>
      <c r="THV39" s="3"/>
      <c r="THW39" s="3"/>
      <c r="THX39" s="3"/>
      <c r="THY39" s="3"/>
      <c r="THZ39" s="3"/>
      <c r="TIA39" s="3"/>
      <c r="TIB39" s="3"/>
      <c r="TIC39" s="3"/>
      <c r="TID39" s="3"/>
      <c r="TIE39" s="3"/>
      <c r="TIF39" s="3"/>
      <c r="TIG39" s="3"/>
      <c r="TIH39" s="3"/>
      <c r="TII39" s="3"/>
      <c r="TIJ39" s="3"/>
      <c r="TIK39" s="3"/>
      <c r="TIL39" s="3"/>
      <c r="TIM39" s="3"/>
      <c r="TIN39" s="3"/>
      <c r="TIO39" s="3"/>
      <c r="TIP39" s="3"/>
      <c r="TIQ39" s="3"/>
      <c r="TIR39" s="3"/>
      <c r="TIS39" s="3"/>
      <c r="TIT39" s="3"/>
      <c r="TIU39" s="3"/>
      <c r="TIV39" s="3"/>
      <c r="TIW39" s="3"/>
      <c r="TIX39" s="3"/>
      <c r="TIY39" s="3"/>
      <c r="TIZ39" s="3"/>
      <c r="TJA39" s="3"/>
      <c r="TJB39" s="3"/>
      <c r="TJC39" s="3"/>
      <c r="TJD39" s="3"/>
      <c r="TJE39" s="3"/>
      <c r="TJF39" s="3"/>
      <c r="TJG39" s="3"/>
      <c r="TJH39" s="3"/>
      <c r="TJI39" s="3"/>
      <c r="TJJ39" s="3"/>
      <c r="TJK39" s="3"/>
      <c r="TJL39" s="3"/>
      <c r="TJM39" s="3"/>
      <c r="TJN39" s="3"/>
      <c r="TJO39" s="3"/>
      <c r="TJP39" s="3"/>
      <c r="TJQ39" s="3"/>
      <c r="TJR39" s="3"/>
      <c r="TJS39" s="3"/>
      <c r="TJT39" s="3"/>
      <c r="TJU39" s="3"/>
      <c r="TJV39" s="3"/>
      <c r="TJW39" s="3"/>
      <c r="TJX39" s="3"/>
      <c r="TJY39" s="3"/>
      <c r="TJZ39" s="3"/>
      <c r="TKA39" s="3"/>
      <c r="TKB39" s="3"/>
      <c r="TKC39" s="3"/>
      <c r="TKD39" s="3"/>
      <c r="TKE39" s="3"/>
      <c r="TKF39" s="3"/>
      <c r="TKG39" s="3"/>
      <c r="TKH39" s="3"/>
      <c r="TKI39" s="3"/>
      <c r="TKJ39" s="3"/>
      <c r="TKK39" s="3"/>
      <c r="TKL39" s="3"/>
      <c r="TKM39" s="3"/>
      <c r="TKN39" s="3"/>
      <c r="TKO39" s="3"/>
      <c r="TKP39" s="3"/>
      <c r="TKQ39" s="3"/>
      <c r="TKR39" s="3"/>
      <c r="TKS39" s="3"/>
      <c r="TKT39" s="3"/>
      <c r="TKU39" s="3"/>
      <c r="TKV39" s="3"/>
      <c r="TKW39" s="3"/>
      <c r="TKX39" s="3"/>
      <c r="TKY39" s="3"/>
      <c r="TKZ39" s="3"/>
      <c r="TLA39" s="3"/>
      <c r="TLB39" s="3"/>
      <c r="TLC39" s="3"/>
      <c r="TLD39" s="3"/>
      <c r="TLE39" s="3"/>
      <c r="TLF39" s="3"/>
      <c r="TLG39" s="3"/>
      <c r="TLH39" s="3"/>
      <c r="TLI39" s="3"/>
      <c r="TLJ39" s="3"/>
      <c r="TLK39" s="3"/>
      <c r="TLL39" s="3"/>
      <c r="TLM39" s="3"/>
      <c r="TLN39" s="3"/>
      <c r="TLO39" s="3"/>
      <c r="TLP39" s="3"/>
      <c r="TLQ39" s="3"/>
      <c r="TLR39" s="3"/>
      <c r="TLS39" s="3"/>
      <c r="TLT39" s="3"/>
      <c r="TLU39" s="3"/>
      <c r="TLV39" s="3"/>
      <c r="TLW39" s="3"/>
      <c r="TLX39" s="3"/>
      <c r="TLY39" s="3"/>
      <c r="TLZ39" s="3"/>
      <c r="TMA39" s="3"/>
      <c r="TMB39" s="3"/>
      <c r="TMC39" s="3"/>
      <c r="TMD39" s="3"/>
      <c r="TME39" s="3"/>
      <c r="TMF39" s="3"/>
      <c r="TMG39" s="3"/>
      <c r="TMH39" s="3"/>
      <c r="TMI39" s="3"/>
      <c r="TMJ39" s="3"/>
      <c r="TMK39" s="3"/>
      <c r="TML39" s="3"/>
      <c r="TMM39" s="3"/>
      <c r="TMN39" s="3"/>
      <c r="TMO39" s="3"/>
      <c r="TMP39" s="3"/>
      <c r="TMQ39" s="3"/>
      <c r="TMR39" s="3"/>
      <c r="TMS39" s="3"/>
      <c r="TMT39" s="3"/>
      <c r="TMU39" s="3"/>
      <c r="TMV39" s="3"/>
      <c r="TMW39" s="3"/>
      <c r="TMX39" s="3"/>
      <c r="TMY39" s="3"/>
      <c r="TMZ39" s="3"/>
      <c r="TNA39" s="3"/>
      <c r="TNB39" s="3"/>
      <c r="TNC39" s="3"/>
      <c r="TND39" s="3"/>
      <c r="TNE39" s="3"/>
      <c r="TNF39" s="3"/>
      <c r="TNG39" s="3"/>
      <c r="TNH39" s="3"/>
      <c r="TNI39" s="3"/>
      <c r="TNJ39" s="3"/>
      <c r="TNK39" s="3"/>
      <c r="TNL39" s="3"/>
      <c r="TNM39" s="3"/>
      <c r="TNN39" s="3"/>
      <c r="TNO39" s="3"/>
      <c r="TNP39" s="3"/>
      <c r="TNQ39" s="3"/>
      <c r="TNR39" s="3"/>
      <c r="TNS39" s="3"/>
      <c r="TNT39" s="3"/>
      <c r="TNU39" s="3"/>
      <c r="TNV39" s="3"/>
      <c r="TNW39" s="3"/>
      <c r="TNX39" s="3"/>
      <c r="TNY39" s="3"/>
      <c r="TNZ39" s="3"/>
      <c r="TOA39" s="3"/>
      <c r="TOB39" s="3"/>
      <c r="TOC39" s="3"/>
      <c r="TOD39" s="3"/>
      <c r="TOE39" s="3"/>
      <c r="TOF39" s="3"/>
      <c r="TOG39" s="3"/>
      <c r="TOH39" s="3"/>
      <c r="TOI39" s="3"/>
      <c r="TOJ39" s="3"/>
      <c r="TOK39" s="3"/>
      <c r="TOL39" s="3"/>
      <c r="TOM39" s="3"/>
      <c r="TON39" s="3"/>
      <c r="TOO39" s="3"/>
      <c r="TOP39" s="3"/>
      <c r="TOQ39" s="3"/>
      <c r="TOR39" s="3"/>
      <c r="TOS39" s="3"/>
      <c r="TOT39" s="3"/>
      <c r="TOU39" s="3"/>
      <c r="TOV39" s="3"/>
      <c r="TOW39" s="3"/>
      <c r="TOX39" s="3"/>
      <c r="TOY39" s="3"/>
      <c r="TOZ39" s="3"/>
      <c r="TPA39" s="3"/>
      <c r="TPB39" s="3"/>
      <c r="TPC39" s="3"/>
      <c r="TPD39" s="3"/>
      <c r="TPE39" s="3"/>
      <c r="TPF39" s="3"/>
      <c r="TPG39" s="3"/>
      <c r="TPH39" s="3"/>
      <c r="TPI39" s="3"/>
      <c r="TPJ39" s="3"/>
      <c r="TPK39" s="3"/>
      <c r="TPL39" s="3"/>
      <c r="TPM39" s="3"/>
      <c r="TPN39" s="3"/>
      <c r="TPO39" s="3"/>
      <c r="TPP39" s="3"/>
      <c r="TPQ39" s="3"/>
      <c r="TPR39" s="3"/>
      <c r="TPS39" s="3"/>
      <c r="TPT39" s="3"/>
      <c r="TPU39" s="3"/>
      <c r="TPV39" s="3"/>
      <c r="TPW39" s="3"/>
      <c r="TPX39" s="3"/>
      <c r="TPY39" s="3"/>
      <c r="TPZ39" s="3"/>
      <c r="TQA39" s="3"/>
      <c r="TQB39" s="3"/>
      <c r="TQC39" s="3"/>
      <c r="TQD39" s="3"/>
      <c r="TQE39" s="3"/>
      <c r="TQF39" s="3"/>
      <c r="TQG39" s="3"/>
      <c r="TQH39" s="3"/>
      <c r="TQI39" s="3"/>
      <c r="TQJ39" s="3"/>
      <c r="TQK39" s="3"/>
      <c r="TQL39" s="3"/>
      <c r="TQM39" s="3"/>
      <c r="TQN39" s="3"/>
      <c r="TQO39" s="3"/>
      <c r="TQP39" s="3"/>
      <c r="TQQ39" s="3"/>
      <c r="TQR39" s="3"/>
      <c r="TQS39" s="3"/>
      <c r="TQT39" s="3"/>
      <c r="TQU39" s="3"/>
      <c r="TQV39" s="3"/>
      <c r="TQW39" s="3"/>
      <c r="TQX39" s="3"/>
      <c r="TQY39" s="3"/>
      <c r="TQZ39" s="3"/>
      <c r="TRA39" s="3"/>
      <c r="TRB39" s="3"/>
      <c r="TRC39" s="3"/>
      <c r="TRD39" s="3"/>
      <c r="TRE39" s="3"/>
      <c r="TRF39" s="3"/>
      <c r="TRG39" s="3"/>
      <c r="TRH39" s="3"/>
      <c r="TRI39" s="3"/>
      <c r="TRJ39" s="3"/>
      <c r="TRK39" s="3"/>
      <c r="TRL39" s="3"/>
      <c r="TRM39" s="3"/>
      <c r="TRN39" s="3"/>
      <c r="TRO39" s="3"/>
      <c r="TRP39" s="3"/>
      <c r="TRQ39" s="3"/>
      <c r="TRR39" s="3"/>
      <c r="TRS39" s="3"/>
      <c r="TRT39" s="3"/>
      <c r="TRU39" s="3"/>
      <c r="TRV39" s="3"/>
      <c r="TRW39" s="3"/>
      <c r="TRX39" s="3"/>
      <c r="TRY39" s="3"/>
      <c r="TRZ39" s="3"/>
      <c r="TSA39" s="3"/>
      <c r="TSB39" s="3"/>
      <c r="TSC39" s="3"/>
      <c r="TSD39" s="3"/>
      <c r="TSE39" s="3"/>
      <c r="TSF39" s="3"/>
      <c r="TSG39" s="3"/>
      <c r="TSH39" s="3"/>
      <c r="TSI39" s="3"/>
      <c r="TSJ39" s="3"/>
      <c r="TSK39" s="3"/>
      <c r="TSL39" s="3"/>
      <c r="TSM39" s="3"/>
      <c r="TSN39" s="3"/>
      <c r="TSO39" s="3"/>
      <c r="TSP39" s="3"/>
      <c r="TSQ39" s="3"/>
      <c r="TSR39" s="3"/>
      <c r="TSS39" s="3"/>
      <c r="TST39" s="3"/>
      <c r="TSU39" s="3"/>
      <c r="TSV39" s="3"/>
      <c r="TSW39" s="3"/>
      <c r="TSX39" s="3"/>
      <c r="TSY39" s="3"/>
      <c r="TSZ39" s="3"/>
      <c r="TTA39" s="3"/>
      <c r="TTB39" s="3"/>
      <c r="TTC39" s="3"/>
      <c r="TTD39" s="3"/>
      <c r="TTE39" s="3"/>
      <c r="TTF39" s="3"/>
      <c r="TTG39" s="3"/>
      <c r="TTH39" s="3"/>
      <c r="TTI39" s="3"/>
      <c r="TTJ39" s="3"/>
      <c r="TTK39" s="3"/>
      <c r="TTL39" s="3"/>
      <c r="TTM39" s="3"/>
      <c r="TTN39" s="3"/>
      <c r="TTO39" s="3"/>
      <c r="TTP39" s="3"/>
      <c r="TTQ39" s="3"/>
      <c r="TTR39" s="3"/>
      <c r="TTS39" s="3"/>
      <c r="TTT39" s="3"/>
      <c r="TTU39" s="3"/>
      <c r="TTV39" s="3"/>
      <c r="TTW39" s="3"/>
      <c r="TTX39" s="3"/>
      <c r="TTY39" s="3"/>
      <c r="TTZ39" s="3"/>
      <c r="TUA39" s="3"/>
      <c r="TUB39" s="3"/>
      <c r="TUC39" s="3"/>
      <c r="TUD39" s="3"/>
      <c r="TUE39" s="3"/>
      <c r="TUF39" s="3"/>
      <c r="TUG39" s="3"/>
      <c r="TUH39" s="3"/>
      <c r="TUI39" s="3"/>
      <c r="TUJ39" s="3"/>
      <c r="TUK39" s="3"/>
      <c r="TUL39" s="3"/>
      <c r="TUM39" s="3"/>
      <c r="TUN39" s="3"/>
      <c r="TUO39" s="3"/>
      <c r="TUP39" s="3"/>
      <c r="TUQ39" s="3"/>
      <c r="TUR39" s="3"/>
      <c r="TUS39" s="3"/>
      <c r="TUT39" s="3"/>
      <c r="TUU39" s="3"/>
      <c r="TUV39" s="3"/>
      <c r="TUW39" s="3"/>
      <c r="TUX39" s="3"/>
      <c r="TUY39" s="3"/>
      <c r="TUZ39" s="3"/>
      <c r="TVA39" s="3"/>
      <c r="TVB39" s="3"/>
      <c r="TVC39" s="3"/>
      <c r="TVD39" s="3"/>
      <c r="TVE39" s="3"/>
      <c r="TVF39" s="3"/>
      <c r="TVG39" s="3"/>
      <c r="TVH39" s="3"/>
      <c r="TVI39" s="3"/>
      <c r="TVJ39" s="3"/>
      <c r="TVK39" s="3"/>
      <c r="TVL39" s="3"/>
      <c r="TVM39" s="3"/>
      <c r="TVN39" s="3"/>
      <c r="TVO39" s="3"/>
      <c r="TVP39" s="3"/>
      <c r="TVQ39" s="3"/>
      <c r="TVR39" s="3"/>
      <c r="TVS39" s="3"/>
      <c r="TVT39" s="3"/>
      <c r="TVU39" s="3"/>
      <c r="TVV39" s="3"/>
      <c r="TVW39" s="3"/>
      <c r="TVX39" s="3"/>
      <c r="TVY39" s="3"/>
      <c r="TVZ39" s="3"/>
      <c r="TWA39" s="3"/>
      <c r="TWB39" s="3"/>
      <c r="TWC39" s="3"/>
      <c r="TWD39" s="3"/>
      <c r="TWE39" s="3"/>
      <c r="TWF39" s="3"/>
      <c r="TWG39" s="3"/>
      <c r="TWH39" s="3"/>
      <c r="TWI39" s="3"/>
      <c r="TWJ39" s="3"/>
      <c r="TWK39" s="3"/>
      <c r="TWL39" s="3"/>
      <c r="TWM39" s="3"/>
      <c r="TWN39" s="3"/>
      <c r="TWO39" s="3"/>
      <c r="TWP39" s="3"/>
      <c r="TWQ39" s="3"/>
      <c r="TWR39" s="3"/>
      <c r="TWS39" s="3"/>
      <c r="TWT39" s="3"/>
      <c r="TWU39" s="3"/>
      <c r="TWV39" s="3"/>
      <c r="TWW39" s="3"/>
      <c r="TWX39" s="3"/>
      <c r="TWY39" s="3"/>
      <c r="TWZ39" s="3"/>
      <c r="TXA39" s="3"/>
      <c r="TXB39" s="3"/>
      <c r="TXC39" s="3"/>
      <c r="TXD39" s="3"/>
      <c r="TXE39" s="3"/>
      <c r="TXF39" s="3"/>
      <c r="TXG39" s="3"/>
      <c r="TXH39" s="3"/>
      <c r="TXI39" s="3"/>
      <c r="TXJ39" s="3"/>
      <c r="TXK39" s="3"/>
      <c r="TXL39" s="3"/>
      <c r="TXM39" s="3"/>
      <c r="TXN39" s="3"/>
      <c r="TXO39" s="3"/>
      <c r="TXP39" s="3"/>
      <c r="TXQ39" s="3"/>
      <c r="TXR39" s="3"/>
      <c r="TXS39" s="3"/>
      <c r="TXT39" s="3"/>
      <c r="TXU39" s="3"/>
      <c r="TXV39" s="3"/>
      <c r="TXW39" s="3"/>
      <c r="TXX39" s="3"/>
      <c r="TXY39" s="3"/>
      <c r="TXZ39" s="3"/>
      <c r="TYA39" s="3"/>
      <c r="TYB39" s="3"/>
      <c r="TYC39" s="3"/>
      <c r="TYD39" s="3"/>
      <c r="TYE39" s="3"/>
      <c r="TYF39" s="3"/>
      <c r="TYG39" s="3"/>
      <c r="TYH39" s="3"/>
      <c r="TYI39" s="3"/>
      <c r="TYJ39" s="3"/>
      <c r="TYK39" s="3"/>
      <c r="TYL39" s="3"/>
      <c r="TYM39" s="3"/>
      <c r="TYN39" s="3"/>
      <c r="TYO39" s="3"/>
      <c r="TYP39" s="3"/>
      <c r="TYQ39" s="3"/>
      <c r="TYR39" s="3"/>
      <c r="TYS39" s="3"/>
      <c r="TYT39" s="3"/>
      <c r="TYU39" s="3"/>
      <c r="TYV39" s="3"/>
      <c r="TYW39" s="3"/>
      <c r="TYX39" s="3"/>
      <c r="TYY39" s="3"/>
      <c r="TYZ39" s="3"/>
      <c r="TZA39" s="3"/>
      <c r="TZB39" s="3"/>
      <c r="TZC39" s="3"/>
      <c r="TZD39" s="3"/>
      <c r="TZE39" s="3"/>
      <c r="TZF39" s="3"/>
      <c r="TZG39" s="3"/>
      <c r="TZH39" s="3"/>
      <c r="TZI39" s="3"/>
      <c r="TZJ39" s="3"/>
      <c r="TZK39" s="3"/>
      <c r="TZL39" s="3"/>
      <c r="TZM39" s="3"/>
      <c r="TZN39" s="3"/>
      <c r="TZO39" s="3"/>
      <c r="TZP39" s="3"/>
      <c r="TZQ39" s="3"/>
      <c r="TZR39" s="3"/>
      <c r="TZS39" s="3"/>
      <c r="TZT39" s="3"/>
      <c r="TZU39" s="3"/>
      <c r="TZV39" s="3"/>
      <c r="TZW39" s="3"/>
      <c r="TZX39" s="3"/>
      <c r="TZY39" s="3"/>
      <c r="TZZ39" s="3"/>
      <c r="UAA39" s="3"/>
      <c r="UAB39" s="3"/>
      <c r="UAC39" s="3"/>
      <c r="UAD39" s="3"/>
      <c r="UAE39" s="3"/>
      <c r="UAF39" s="3"/>
      <c r="UAG39" s="3"/>
      <c r="UAH39" s="3"/>
      <c r="UAI39" s="3"/>
      <c r="UAJ39" s="3"/>
      <c r="UAK39" s="3"/>
      <c r="UAL39" s="3"/>
      <c r="UAM39" s="3"/>
      <c r="UAN39" s="3"/>
      <c r="UAO39" s="3"/>
      <c r="UAP39" s="3"/>
      <c r="UAQ39" s="3"/>
      <c r="UAR39" s="3"/>
      <c r="UAS39" s="3"/>
      <c r="UAT39" s="3"/>
      <c r="UAU39" s="3"/>
      <c r="UAV39" s="3"/>
      <c r="UAW39" s="3"/>
      <c r="UAX39" s="3"/>
      <c r="UAY39" s="3"/>
      <c r="UAZ39" s="3"/>
      <c r="UBA39" s="3"/>
      <c r="UBB39" s="3"/>
      <c r="UBC39" s="3"/>
      <c r="UBD39" s="3"/>
      <c r="UBE39" s="3"/>
      <c r="UBF39" s="3"/>
      <c r="UBG39" s="3"/>
      <c r="UBH39" s="3"/>
      <c r="UBI39" s="3"/>
      <c r="UBJ39" s="3"/>
      <c r="UBK39" s="3"/>
      <c r="UBL39" s="3"/>
      <c r="UBM39" s="3"/>
      <c r="UBN39" s="3"/>
      <c r="UBO39" s="3"/>
      <c r="UBP39" s="3"/>
      <c r="UBQ39" s="3"/>
      <c r="UBR39" s="3"/>
      <c r="UBS39" s="3"/>
      <c r="UBT39" s="3"/>
      <c r="UBU39" s="3"/>
      <c r="UBV39" s="3"/>
      <c r="UBW39" s="3"/>
      <c r="UBX39" s="3"/>
      <c r="UBY39" s="3"/>
      <c r="UBZ39" s="3"/>
      <c r="UCA39" s="3"/>
      <c r="UCB39" s="3"/>
      <c r="UCC39" s="3"/>
      <c r="UCD39" s="3"/>
      <c r="UCE39" s="3"/>
      <c r="UCF39" s="3"/>
      <c r="UCG39" s="3"/>
      <c r="UCH39" s="3"/>
      <c r="UCI39" s="3"/>
      <c r="UCJ39" s="3"/>
      <c r="UCK39" s="3"/>
      <c r="UCL39" s="3"/>
      <c r="UCM39" s="3"/>
      <c r="UCN39" s="3"/>
      <c r="UCO39" s="3"/>
      <c r="UCP39" s="3"/>
      <c r="UCQ39" s="3"/>
      <c r="UCR39" s="3"/>
      <c r="UCS39" s="3"/>
      <c r="UCT39" s="3"/>
      <c r="UCU39" s="3"/>
      <c r="UCV39" s="3"/>
      <c r="UCW39" s="3"/>
      <c r="UCX39" s="3"/>
      <c r="UCY39" s="3"/>
      <c r="UCZ39" s="3"/>
      <c r="UDA39" s="3"/>
      <c r="UDB39" s="3"/>
      <c r="UDC39" s="3"/>
      <c r="UDD39" s="3"/>
      <c r="UDE39" s="3"/>
      <c r="UDF39" s="3"/>
      <c r="UDG39" s="3"/>
      <c r="UDH39" s="3"/>
      <c r="UDI39" s="3"/>
      <c r="UDJ39" s="3"/>
      <c r="UDK39" s="3"/>
      <c r="UDL39" s="3"/>
      <c r="UDM39" s="3"/>
      <c r="UDN39" s="3"/>
      <c r="UDO39" s="3"/>
      <c r="UDP39" s="3"/>
      <c r="UDQ39" s="3"/>
      <c r="UDR39" s="3"/>
      <c r="UDS39" s="3"/>
      <c r="UDT39" s="3"/>
      <c r="UDU39" s="3"/>
      <c r="UDV39" s="3"/>
      <c r="UDW39" s="3"/>
      <c r="UDX39" s="3"/>
      <c r="UDY39" s="3"/>
      <c r="UDZ39" s="3"/>
      <c r="UEA39" s="3"/>
      <c r="UEB39" s="3"/>
      <c r="UEC39" s="3"/>
      <c r="UED39" s="3"/>
      <c r="UEE39" s="3"/>
      <c r="UEF39" s="3"/>
      <c r="UEG39" s="3"/>
      <c r="UEH39" s="3"/>
      <c r="UEI39" s="3"/>
      <c r="UEJ39" s="3"/>
      <c r="UEK39" s="3"/>
      <c r="UEL39" s="3"/>
      <c r="UEM39" s="3"/>
      <c r="UEN39" s="3"/>
      <c r="UEO39" s="3"/>
      <c r="UEP39" s="3"/>
      <c r="UEQ39" s="3"/>
      <c r="UER39" s="3"/>
      <c r="UES39" s="3"/>
      <c r="UET39" s="3"/>
      <c r="UEU39" s="3"/>
      <c r="UEV39" s="3"/>
      <c r="UEW39" s="3"/>
      <c r="UEX39" s="3"/>
      <c r="UEY39" s="3"/>
      <c r="UEZ39" s="3"/>
      <c r="UFA39" s="3"/>
      <c r="UFB39" s="3"/>
      <c r="UFC39" s="3"/>
      <c r="UFD39" s="3"/>
      <c r="UFE39" s="3"/>
      <c r="UFF39" s="3"/>
      <c r="UFG39" s="3"/>
      <c r="UFH39" s="3"/>
      <c r="UFI39" s="3"/>
      <c r="UFJ39" s="3"/>
      <c r="UFK39" s="3"/>
      <c r="UFL39" s="3"/>
      <c r="UFM39" s="3"/>
      <c r="UFN39" s="3"/>
      <c r="UFO39" s="3"/>
      <c r="UFP39" s="3"/>
      <c r="UFQ39" s="3"/>
      <c r="UFR39" s="3"/>
      <c r="UFS39" s="3"/>
      <c r="UFT39" s="3"/>
      <c r="UFU39" s="3"/>
      <c r="UFV39" s="3"/>
      <c r="UFW39" s="3"/>
      <c r="UFX39" s="3"/>
      <c r="UFY39" s="3"/>
      <c r="UFZ39" s="3"/>
      <c r="UGA39" s="3"/>
      <c r="UGB39" s="3"/>
      <c r="UGC39" s="3"/>
      <c r="UGD39" s="3"/>
      <c r="UGE39" s="3"/>
      <c r="UGF39" s="3"/>
      <c r="UGG39" s="3"/>
      <c r="UGH39" s="3"/>
      <c r="UGI39" s="3"/>
      <c r="UGJ39" s="3"/>
      <c r="UGK39" s="3"/>
      <c r="UGL39" s="3"/>
      <c r="UGM39" s="3"/>
      <c r="UGN39" s="3"/>
      <c r="UGO39" s="3"/>
      <c r="UGP39" s="3"/>
      <c r="UGQ39" s="3"/>
      <c r="UGR39" s="3"/>
      <c r="UGS39" s="3"/>
      <c r="UGT39" s="3"/>
      <c r="UGU39" s="3"/>
      <c r="UGV39" s="3"/>
      <c r="UGW39" s="3"/>
      <c r="UGX39" s="3"/>
      <c r="UGY39" s="3"/>
      <c r="UGZ39" s="3"/>
      <c r="UHA39" s="3"/>
      <c r="UHB39" s="3"/>
      <c r="UHC39" s="3"/>
      <c r="UHD39" s="3"/>
      <c r="UHE39" s="3"/>
      <c r="UHF39" s="3"/>
      <c r="UHG39" s="3"/>
      <c r="UHH39" s="3"/>
      <c r="UHI39" s="3"/>
      <c r="UHJ39" s="3"/>
      <c r="UHK39" s="3"/>
      <c r="UHL39" s="3"/>
      <c r="UHM39" s="3"/>
      <c r="UHN39" s="3"/>
      <c r="UHO39" s="3"/>
      <c r="UHP39" s="3"/>
      <c r="UHQ39" s="3"/>
      <c r="UHR39" s="3"/>
      <c r="UHS39" s="3"/>
      <c r="UHT39" s="3"/>
      <c r="UHU39" s="3"/>
      <c r="UHV39" s="3"/>
      <c r="UHW39" s="3"/>
      <c r="UHX39" s="3"/>
      <c r="UHY39" s="3"/>
      <c r="UHZ39" s="3"/>
      <c r="UIA39" s="3"/>
      <c r="UIB39" s="3"/>
      <c r="UIC39" s="3"/>
      <c r="UID39" s="3"/>
      <c r="UIE39" s="3"/>
      <c r="UIF39" s="3"/>
      <c r="UIG39" s="3"/>
      <c r="UIH39" s="3"/>
      <c r="UII39" s="3"/>
      <c r="UIJ39" s="3"/>
      <c r="UIK39" s="3"/>
      <c r="UIL39" s="3"/>
      <c r="UIM39" s="3"/>
      <c r="UIN39" s="3"/>
      <c r="UIO39" s="3"/>
      <c r="UIP39" s="3"/>
      <c r="UIQ39" s="3"/>
      <c r="UIR39" s="3"/>
      <c r="UIS39" s="3"/>
      <c r="UIT39" s="3"/>
      <c r="UIU39" s="3"/>
      <c r="UIV39" s="3"/>
      <c r="UIW39" s="3"/>
      <c r="UIX39" s="3"/>
      <c r="UIY39" s="3"/>
      <c r="UIZ39" s="3"/>
      <c r="UJA39" s="3"/>
      <c r="UJB39" s="3"/>
      <c r="UJC39" s="3"/>
      <c r="UJD39" s="3"/>
      <c r="UJE39" s="3"/>
      <c r="UJF39" s="3"/>
      <c r="UJG39" s="3"/>
      <c r="UJH39" s="3"/>
      <c r="UJI39" s="3"/>
      <c r="UJJ39" s="3"/>
      <c r="UJK39" s="3"/>
      <c r="UJL39" s="3"/>
      <c r="UJM39" s="3"/>
      <c r="UJN39" s="3"/>
      <c r="UJO39" s="3"/>
      <c r="UJP39" s="3"/>
      <c r="UJQ39" s="3"/>
      <c r="UJR39" s="3"/>
      <c r="UJS39" s="3"/>
      <c r="UJT39" s="3"/>
      <c r="UJU39" s="3"/>
      <c r="UJV39" s="3"/>
      <c r="UJW39" s="3"/>
      <c r="UJX39" s="3"/>
      <c r="UJY39" s="3"/>
      <c r="UJZ39" s="3"/>
      <c r="UKA39" s="3"/>
      <c r="UKB39" s="3"/>
      <c r="UKC39" s="3"/>
      <c r="UKD39" s="3"/>
      <c r="UKE39" s="3"/>
      <c r="UKF39" s="3"/>
      <c r="UKG39" s="3"/>
      <c r="UKH39" s="3"/>
      <c r="UKI39" s="3"/>
      <c r="UKJ39" s="3"/>
      <c r="UKK39" s="3"/>
      <c r="UKL39" s="3"/>
      <c r="UKM39" s="3"/>
      <c r="UKN39" s="3"/>
      <c r="UKO39" s="3"/>
      <c r="UKP39" s="3"/>
      <c r="UKQ39" s="3"/>
      <c r="UKR39" s="3"/>
      <c r="UKS39" s="3"/>
      <c r="UKT39" s="3"/>
      <c r="UKU39" s="3"/>
      <c r="UKV39" s="3"/>
      <c r="UKW39" s="3"/>
      <c r="UKX39" s="3"/>
      <c r="UKY39" s="3"/>
      <c r="UKZ39" s="3"/>
      <c r="ULA39" s="3"/>
      <c r="ULB39" s="3"/>
      <c r="ULC39" s="3"/>
      <c r="ULD39" s="3"/>
      <c r="ULE39" s="3"/>
      <c r="ULF39" s="3"/>
      <c r="ULG39" s="3"/>
      <c r="ULH39" s="3"/>
      <c r="ULI39" s="3"/>
      <c r="ULJ39" s="3"/>
      <c r="ULK39" s="3"/>
      <c r="ULL39" s="3"/>
      <c r="ULM39" s="3"/>
      <c r="ULN39" s="3"/>
      <c r="ULO39" s="3"/>
      <c r="ULP39" s="3"/>
      <c r="ULQ39" s="3"/>
      <c r="ULR39" s="3"/>
      <c r="ULS39" s="3"/>
      <c r="ULT39" s="3"/>
      <c r="ULU39" s="3"/>
      <c r="ULV39" s="3"/>
      <c r="ULW39" s="3"/>
      <c r="ULX39" s="3"/>
      <c r="ULY39" s="3"/>
      <c r="ULZ39" s="3"/>
      <c r="UMA39" s="3"/>
      <c r="UMB39" s="3"/>
      <c r="UMC39" s="3"/>
      <c r="UMD39" s="3"/>
      <c r="UME39" s="3"/>
      <c r="UMF39" s="3"/>
      <c r="UMG39" s="3"/>
      <c r="UMH39" s="3"/>
      <c r="UMI39" s="3"/>
      <c r="UMJ39" s="3"/>
      <c r="UMK39" s="3"/>
      <c r="UML39" s="3"/>
      <c r="UMM39" s="3"/>
      <c r="UMN39" s="3"/>
      <c r="UMO39" s="3"/>
      <c r="UMP39" s="3"/>
      <c r="UMQ39" s="3"/>
      <c r="UMR39" s="3"/>
      <c r="UMS39" s="3"/>
      <c r="UMT39" s="3"/>
      <c r="UMU39" s="3"/>
      <c r="UMV39" s="3"/>
      <c r="UMW39" s="3"/>
      <c r="UMX39" s="3"/>
      <c r="UMY39" s="3"/>
      <c r="UMZ39" s="3"/>
      <c r="UNA39" s="3"/>
      <c r="UNB39" s="3"/>
      <c r="UNC39" s="3"/>
      <c r="UND39" s="3"/>
      <c r="UNE39" s="3"/>
      <c r="UNF39" s="3"/>
      <c r="UNG39" s="3"/>
      <c r="UNH39" s="3"/>
      <c r="UNI39" s="3"/>
      <c r="UNJ39" s="3"/>
      <c r="UNK39" s="3"/>
      <c r="UNL39" s="3"/>
      <c r="UNM39" s="3"/>
      <c r="UNN39" s="3"/>
      <c r="UNO39" s="3"/>
      <c r="UNP39" s="3"/>
      <c r="UNQ39" s="3"/>
      <c r="UNR39" s="3"/>
      <c r="UNS39" s="3"/>
      <c r="UNT39" s="3"/>
      <c r="UNU39" s="3"/>
      <c r="UNV39" s="3"/>
      <c r="UNW39" s="3"/>
      <c r="UNX39" s="3"/>
      <c r="UNY39" s="3"/>
      <c r="UNZ39" s="3"/>
      <c r="UOA39" s="3"/>
      <c r="UOB39" s="3"/>
      <c r="UOC39" s="3"/>
      <c r="UOD39" s="3"/>
      <c r="UOE39" s="3"/>
      <c r="UOF39" s="3"/>
      <c r="UOG39" s="3"/>
      <c r="UOH39" s="3"/>
      <c r="UOI39" s="3"/>
      <c r="UOJ39" s="3"/>
      <c r="UOK39" s="3"/>
      <c r="UOL39" s="3"/>
      <c r="UOM39" s="3"/>
      <c r="UON39" s="3"/>
      <c r="UOO39" s="3"/>
      <c r="UOP39" s="3"/>
      <c r="UOQ39" s="3"/>
      <c r="UOR39" s="3"/>
      <c r="UOS39" s="3"/>
      <c r="UOT39" s="3"/>
      <c r="UOU39" s="3"/>
      <c r="UOV39" s="3"/>
      <c r="UOW39" s="3"/>
      <c r="UOX39" s="3"/>
      <c r="UOY39" s="3"/>
      <c r="UOZ39" s="3"/>
      <c r="UPA39" s="3"/>
      <c r="UPB39" s="3"/>
      <c r="UPC39" s="3"/>
      <c r="UPD39" s="3"/>
      <c r="UPE39" s="3"/>
      <c r="UPF39" s="3"/>
      <c r="UPG39" s="3"/>
      <c r="UPH39" s="3"/>
      <c r="UPI39" s="3"/>
      <c r="UPJ39" s="3"/>
      <c r="UPK39" s="3"/>
      <c r="UPL39" s="3"/>
      <c r="UPM39" s="3"/>
      <c r="UPN39" s="3"/>
      <c r="UPO39" s="3"/>
      <c r="UPP39" s="3"/>
      <c r="UPQ39" s="3"/>
      <c r="UPR39" s="3"/>
      <c r="UPS39" s="3"/>
      <c r="UPT39" s="3"/>
      <c r="UPU39" s="3"/>
      <c r="UPV39" s="3"/>
      <c r="UPW39" s="3"/>
      <c r="UPX39" s="3"/>
      <c r="UPY39" s="3"/>
      <c r="UPZ39" s="3"/>
      <c r="UQA39" s="3"/>
      <c r="UQB39" s="3"/>
      <c r="UQC39" s="3"/>
      <c r="UQD39" s="3"/>
      <c r="UQE39" s="3"/>
      <c r="UQF39" s="3"/>
      <c r="UQG39" s="3"/>
      <c r="UQH39" s="3"/>
      <c r="UQI39" s="3"/>
      <c r="UQJ39" s="3"/>
      <c r="UQK39" s="3"/>
      <c r="UQL39" s="3"/>
      <c r="UQM39" s="3"/>
      <c r="UQN39" s="3"/>
      <c r="UQO39" s="3"/>
      <c r="UQP39" s="3"/>
      <c r="UQQ39" s="3"/>
      <c r="UQR39" s="3"/>
      <c r="UQS39" s="3"/>
      <c r="UQT39" s="3"/>
      <c r="UQU39" s="3"/>
      <c r="UQV39" s="3"/>
      <c r="UQW39" s="3"/>
      <c r="UQX39" s="3"/>
      <c r="UQY39" s="3"/>
      <c r="UQZ39" s="3"/>
      <c r="URA39" s="3"/>
      <c r="URB39" s="3"/>
      <c r="URC39" s="3"/>
      <c r="URD39" s="3"/>
      <c r="URE39" s="3"/>
      <c r="URF39" s="3"/>
      <c r="URG39" s="3"/>
      <c r="URH39" s="3"/>
      <c r="URI39" s="3"/>
      <c r="URJ39" s="3"/>
      <c r="URK39" s="3"/>
      <c r="URL39" s="3"/>
      <c r="URM39" s="3"/>
      <c r="URN39" s="3"/>
      <c r="URO39" s="3"/>
      <c r="URP39" s="3"/>
      <c r="URQ39" s="3"/>
      <c r="URR39" s="3"/>
      <c r="URS39" s="3"/>
      <c r="URT39" s="3"/>
      <c r="URU39" s="3"/>
      <c r="URV39" s="3"/>
      <c r="URW39" s="3"/>
      <c r="URX39" s="3"/>
      <c r="URY39" s="3"/>
      <c r="URZ39" s="3"/>
      <c r="USA39" s="3"/>
      <c r="USB39" s="3"/>
      <c r="USC39" s="3"/>
      <c r="USD39" s="3"/>
      <c r="USE39" s="3"/>
      <c r="USF39" s="3"/>
      <c r="USG39" s="3"/>
      <c r="USH39" s="3"/>
      <c r="USI39" s="3"/>
      <c r="USJ39" s="3"/>
      <c r="USK39" s="3"/>
      <c r="USL39" s="3"/>
      <c r="USM39" s="3"/>
      <c r="USN39" s="3"/>
      <c r="USO39" s="3"/>
      <c r="USP39" s="3"/>
      <c r="USQ39" s="3"/>
      <c r="USR39" s="3"/>
      <c r="USS39" s="3"/>
      <c r="UST39" s="3"/>
      <c r="USU39" s="3"/>
      <c r="USV39" s="3"/>
      <c r="USW39" s="3"/>
      <c r="USX39" s="3"/>
      <c r="USY39" s="3"/>
      <c r="USZ39" s="3"/>
      <c r="UTA39" s="3"/>
      <c r="UTB39" s="3"/>
      <c r="UTC39" s="3"/>
      <c r="UTD39" s="3"/>
      <c r="UTE39" s="3"/>
      <c r="UTF39" s="3"/>
      <c r="UTG39" s="3"/>
      <c r="UTH39" s="3"/>
      <c r="UTI39" s="3"/>
      <c r="UTJ39" s="3"/>
      <c r="UTK39" s="3"/>
      <c r="UTL39" s="3"/>
      <c r="UTM39" s="3"/>
      <c r="UTN39" s="3"/>
      <c r="UTO39" s="3"/>
      <c r="UTP39" s="3"/>
      <c r="UTQ39" s="3"/>
      <c r="UTR39" s="3"/>
      <c r="UTS39" s="3"/>
      <c r="UTT39" s="3"/>
      <c r="UTU39" s="3"/>
      <c r="UTV39" s="3"/>
      <c r="UTW39" s="3"/>
      <c r="UTX39" s="3"/>
      <c r="UTY39" s="3"/>
      <c r="UTZ39" s="3"/>
      <c r="UUA39" s="3"/>
      <c r="UUB39" s="3"/>
      <c r="UUC39" s="3"/>
      <c r="UUD39" s="3"/>
      <c r="UUE39" s="3"/>
      <c r="UUF39" s="3"/>
      <c r="UUG39" s="3"/>
      <c r="UUH39" s="3"/>
      <c r="UUI39" s="3"/>
      <c r="UUJ39" s="3"/>
      <c r="UUK39" s="3"/>
      <c r="UUL39" s="3"/>
      <c r="UUM39" s="3"/>
      <c r="UUN39" s="3"/>
      <c r="UUO39" s="3"/>
      <c r="UUP39" s="3"/>
      <c r="UUQ39" s="3"/>
      <c r="UUR39" s="3"/>
      <c r="UUS39" s="3"/>
      <c r="UUT39" s="3"/>
      <c r="UUU39" s="3"/>
      <c r="UUV39" s="3"/>
      <c r="UUW39" s="3"/>
      <c r="UUX39" s="3"/>
      <c r="UUY39" s="3"/>
      <c r="UUZ39" s="3"/>
      <c r="UVA39" s="3"/>
      <c r="UVB39" s="3"/>
      <c r="UVC39" s="3"/>
      <c r="UVD39" s="3"/>
      <c r="UVE39" s="3"/>
      <c r="UVF39" s="3"/>
      <c r="UVG39" s="3"/>
      <c r="UVH39" s="3"/>
      <c r="UVI39" s="3"/>
      <c r="UVJ39" s="3"/>
      <c r="UVK39" s="3"/>
      <c r="UVL39" s="3"/>
      <c r="UVM39" s="3"/>
      <c r="UVN39" s="3"/>
      <c r="UVO39" s="3"/>
      <c r="UVP39" s="3"/>
      <c r="UVQ39" s="3"/>
      <c r="UVR39" s="3"/>
      <c r="UVS39" s="3"/>
      <c r="UVT39" s="3"/>
      <c r="UVU39" s="3"/>
      <c r="UVV39" s="3"/>
      <c r="UVW39" s="3"/>
      <c r="UVX39" s="3"/>
      <c r="UVY39" s="3"/>
      <c r="UVZ39" s="3"/>
      <c r="UWA39" s="3"/>
      <c r="UWB39" s="3"/>
      <c r="UWC39" s="3"/>
      <c r="UWD39" s="3"/>
      <c r="UWE39" s="3"/>
      <c r="UWF39" s="3"/>
      <c r="UWG39" s="3"/>
      <c r="UWH39" s="3"/>
      <c r="UWI39" s="3"/>
      <c r="UWJ39" s="3"/>
      <c r="UWK39" s="3"/>
      <c r="UWL39" s="3"/>
      <c r="UWM39" s="3"/>
      <c r="UWN39" s="3"/>
      <c r="UWO39" s="3"/>
      <c r="UWP39" s="3"/>
      <c r="UWQ39" s="3"/>
      <c r="UWR39" s="3"/>
      <c r="UWS39" s="3"/>
      <c r="UWT39" s="3"/>
      <c r="UWU39" s="3"/>
      <c r="UWV39" s="3"/>
      <c r="UWW39" s="3"/>
      <c r="UWX39" s="3"/>
      <c r="UWY39" s="3"/>
      <c r="UWZ39" s="3"/>
      <c r="UXA39" s="3"/>
      <c r="UXB39" s="3"/>
      <c r="UXC39" s="3"/>
      <c r="UXD39" s="3"/>
      <c r="UXE39" s="3"/>
      <c r="UXF39" s="3"/>
      <c r="UXG39" s="3"/>
      <c r="UXH39" s="3"/>
      <c r="UXI39" s="3"/>
      <c r="UXJ39" s="3"/>
      <c r="UXK39" s="3"/>
      <c r="UXL39" s="3"/>
      <c r="UXM39" s="3"/>
      <c r="UXN39" s="3"/>
      <c r="UXO39" s="3"/>
      <c r="UXP39" s="3"/>
      <c r="UXQ39" s="3"/>
      <c r="UXR39" s="3"/>
      <c r="UXS39" s="3"/>
      <c r="UXT39" s="3"/>
      <c r="UXU39" s="3"/>
      <c r="UXV39" s="3"/>
      <c r="UXW39" s="3"/>
      <c r="UXX39" s="3"/>
      <c r="UXY39" s="3"/>
      <c r="UXZ39" s="3"/>
      <c r="UYA39" s="3"/>
      <c r="UYB39" s="3"/>
      <c r="UYC39" s="3"/>
      <c r="UYD39" s="3"/>
      <c r="UYE39" s="3"/>
      <c r="UYF39" s="3"/>
      <c r="UYG39" s="3"/>
      <c r="UYH39" s="3"/>
      <c r="UYI39" s="3"/>
      <c r="UYJ39" s="3"/>
      <c r="UYK39" s="3"/>
      <c r="UYL39" s="3"/>
      <c r="UYM39" s="3"/>
      <c r="UYN39" s="3"/>
      <c r="UYO39" s="3"/>
      <c r="UYP39" s="3"/>
      <c r="UYQ39" s="3"/>
      <c r="UYR39" s="3"/>
      <c r="UYS39" s="3"/>
      <c r="UYT39" s="3"/>
      <c r="UYU39" s="3"/>
      <c r="UYV39" s="3"/>
      <c r="UYW39" s="3"/>
      <c r="UYX39" s="3"/>
      <c r="UYY39" s="3"/>
      <c r="UYZ39" s="3"/>
      <c r="UZA39" s="3"/>
      <c r="UZB39" s="3"/>
      <c r="UZC39" s="3"/>
      <c r="UZD39" s="3"/>
      <c r="UZE39" s="3"/>
      <c r="UZF39" s="3"/>
      <c r="UZG39" s="3"/>
      <c r="UZH39" s="3"/>
      <c r="UZI39" s="3"/>
      <c r="UZJ39" s="3"/>
      <c r="UZK39" s="3"/>
      <c r="UZL39" s="3"/>
      <c r="UZM39" s="3"/>
      <c r="UZN39" s="3"/>
      <c r="UZO39" s="3"/>
      <c r="UZP39" s="3"/>
      <c r="UZQ39" s="3"/>
      <c r="UZR39" s="3"/>
      <c r="UZS39" s="3"/>
      <c r="UZT39" s="3"/>
      <c r="UZU39" s="3"/>
      <c r="UZV39" s="3"/>
      <c r="UZW39" s="3"/>
      <c r="UZX39" s="3"/>
      <c r="UZY39" s="3"/>
      <c r="UZZ39" s="3"/>
      <c r="VAA39" s="3"/>
      <c r="VAB39" s="3"/>
      <c r="VAC39" s="3"/>
      <c r="VAD39" s="3"/>
      <c r="VAE39" s="3"/>
      <c r="VAF39" s="3"/>
      <c r="VAG39" s="3"/>
      <c r="VAH39" s="3"/>
      <c r="VAI39" s="3"/>
      <c r="VAJ39" s="3"/>
      <c r="VAK39" s="3"/>
      <c r="VAL39" s="3"/>
      <c r="VAM39" s="3"/>
      <c r="VAN39" s="3"/>
      <c r="VAO39" s="3"/>
      <c r="VAP39" s="3"/>
      <c r="VAQ39" s="3"/>
      <c r="VAR39" s="3"/>
      <c r="VAS39" s="3"/>
      <c r="VAT39" s="3"/>
      <c r="VAU39" s="3"/>
      <c r="VAV39" s="3"/>
      <c r="VAW39" s="3"/>
      <c r="VAX39" s="3"/>
      <c r="VAY39" s="3"/>
      <c r="VAZ39" s="3"/>
      <c r="VBA39" s="3"/>
      <c r="VBB39" s="3"/>
      <c r="VBC39" s="3"/>
      <c r="VBD39" s="3"/>
      <c r="VBE39" s="3"/>
      <c r="VBF39" s="3"/>
      <c r="VBG39" s="3"/>
      <c r="VBH39" s="3"/>
      <c r="VBI39" s="3"/>
      <c r="VBJ39" s="3"/>
      <c r="VBK39" s="3"/>
      <c r="VBL39" s="3"/>
      <c r="VBM39" s="3"/>
      <c r="VBN39" s="3"/>
      <c r="VBO39" s="3"/>
      <c r="VBP39" s="3"/>
      <c r="VBQ39" s="3"/>
      <c r="VBR39" s="3"/>
      <c r="VBS39" s="3"/>
      <c r="VBT39" s="3"/>
      <c r="VBU39" s="3"/>
      <c r="VBV39" s="3"/>
      <c r="VBW39" s="3"/>
      <c r="VBX39" s="3"/>
      <c r="VBY39" s="3"/>
      <c r="VBZ39" s="3"/>
      <c r="VCA39" s="3"/>
      <c r="VCB39" s="3"/>
      <c r="VCC39" s="3"/>
      <c r="VCD39" s="3"/>
      <c r="VCE39" s="3"/>
      <c r="VCF39" s="3"/>
      <c r="VCG39" s="3"/>
      <c r="VCH39" s="3"/>
      <c r="VCI39" s="3"/>
      <c r="VCJ39" s="3"/>
      <c r="VCK39" s="3"/>
      <c r="VCL39" s="3"/>
      <c r="VCM39" s="3"/>
      <c r="VCN39" s="3"/>
      <c r="VCO39" s="3"/>
      <c r="VCP39" s="3"/>
      <c r="VCQ39" s="3"/>
      <c r="VCR39" s="3"/>
      <c r="VCS39" s="3"/>
      <c r="VCT39" s="3"/>
      <c r="VCU39" s="3"/>
      <c r="VCV39" s="3"/>
      <c r="VCW39" s="3"/>
      <c r="VCX39" s="3"/>
      <c r="VCY39" s="3"/>
      <c r="VCZ39" s="3"/>
      <c r="VDA39" s="3"/>
      <c r="VDB39" s="3"/>
      <c r="VDC39" s="3"/>
      <c r="VDD39" s="3"/>
      <c r="VDE39" s="3"/>
      <c r="VDF39" s="3"/>
      <c r="VDG39" s="3"/>
      <c r="VDH39" s="3"/>
      <c r="VDI39" s="3"/>
      <c r="VDJ39" s="3"/>
      <c r="VDK39" s="3"/>
      <c r="VDL39" s="3"/>
      <c r="VDM39" s="3"/>
      <c r="VDN39" s="3"/>
      <c r="VDO39" s="3"/>
      <c r="VDP39" s="3"/>
      <c r="VDQ39" s="3"/>
      <c r="VDR39" s="3"/>
      <c r="VDS39" s="3"/>
      <c r="VDT39" s="3"/>
      <c r="VDU39" s="3"/>
      <c r="VDV39" s="3"/>
      <c r="VDW39" s="3"/>
      <c r="VDX39" s="3"/>
      <c r="VDY39" s="3"/>
      <c r="VDZ39" s="3"/>
      <c r="VEA39" s="3"/>
      <c r="VEB39" s="3"/>
      <c r="VEC39" s="3"/>
      <c r="VED39" s="3"/>
      <c r="VEE39" s="3"/>
      <c r="VEF39" s="3"/>
      <c r="VEG39" s="3"/>
      <c r="VEH39" s="3"/>
      <c r="VEI39" s="3"/>
      <c r="VEJ39" s="3"/>
      <c r="VEK39" s="3"/>
      <c r="VEL39" s="3"/>
      <c r="VEM39" s="3"/>
      <c r="VEN39" s="3"/>
      <c r="VEO39" s="3"/>
      <c r="VEP39" s="3"/>
      <c r="VEQ39" s="3"/>
      <c r="VER39" s="3"/>
      <c r="VES39" s="3"/>
      <c r="VET39" s="3"/>
      <c r="VEU39" s="3"/>
      <c r="VEV39" s="3"/>
      <c r="VEW39" s="3"/>
      <c r="VEX39" s="3"/>
      <c r="VEY39" s="3"/>
      <c r="VEZ39" s="3"/>
      <c r="VFA39" s="3"/>
      <c r="VFB39" s="3"/>
      <c r="VFC39" s="3"/>
      <c r="VFD39" s="3"/>
      <c r="VFE39" s="3"/>
      <c r="VFF39" s="3"/>
      <c r="VFG39" s="3"/>
      <c r="VFH39" s="3"/>
      <c r="VFI39" s="3"/>
      <c r="VFJ39" s="3"/>
      <c r="VFK39" s="3"/>
      <c r="VFL39" s="3"/>
      <c r="VFM39" s="3"/>
      <c r="VFN39" s="3"/>
      <c r="VFO39" s="3"/>
      <c r="VFP39" s="3"/>
      <c r="VFQ39" s="3"/>
      <c r="VFR39" s="3"/>
      <c r="VFS39" s="3"/>
      <c r="VFT39" s="3"/>
      <c r="VFU39" s="3"/>
      <c r="VFV39" s="3"/>
      <c r="VFW39" s="3"/>
      <c r="VFX39" s="3"/>
      <c r="VFY39" s="3"/>
      <c r="VFZ39" s="3"/>
      <c r="VGA39" s="3"/>
      <c r="VGB39" s="3"/>
      <c r="VGC39" s="3"/>
      <c r="VGD39" s="3"/>
      <c r="VGE39" s="3"/>
      <c r="VGF39" s="3"/>
      <c r="VGG39" s="3"/>
      <c r="VGH39" s="3"/>
      <c r="VGI39" s="3"/>
      <c r="VGJ39" s="3"/>
      <c r="VGK39" s="3"/>
      <c r="VGL39" s="3"/>
      <c r="VGM39" s="3"/>
      <c r="VGN39" s="3"/>
      <c r="VGO39" s="3"/>
      <c r="VGP39" s="3"/>
      <c r="VGQ39" s="3"/>
      <c r="VGR39" s="3"/>
      <c r="VGS39" s="3"/>
      <c r="VGT39" s="3"/>
      <c r="VGU39" s="3"/>
      <c r="VGV39" s="3"/>
      <c r="VGW39" s="3"/>
      <c r="VGX39" s="3"/>
      <c r="VGY39" s="3"/>
      <c r="VGZ39" s="3"/>
      <c r="VHA39" s="3"/>
      <c r="VHB39" s="3"/>
      <c r="VHC39" s="3"/>
      <c r="VHD39" s="3"/>
      <c r="VHE39" s="3"/>
      <c r="VHF39" s="3"/>
      <c r="VHG39" s="3"/>
      <c r="VHH39" s="3"/>
      <c r="VHI39" s="3"/>
      <c r="VHJ39" s="3"/>
      <c r="VHK39" s="3"/>
      <c r="VHL39" s="3"/>
      <c r="VHM39" s="3"/>
      <c r="VHN39" s="3"/>
      <c r="VHO39" s="3"/>
      <c r="VHP39" s="3"/>
      <c r="VHQ39" s="3"/>
      <c r="VHR39" s="3"/>
      <c r="VHS39" s="3"/>
      <c r="VHT39" s="3"/>
      <c r="VHU39" s="3"/>
      <c r="VHV39" s="3"/>
      <c r="VHW39" s="3"/>
      <c r="VHX39" s="3"/>
      <c r="VHY39" s="3"/>
      <c r="VHZ39" s="3"/>
      <c r="VIA39" s="3"/>
      <c r="VIB39" s="3"/>
      <c r="VIC39" s="3"/>
      <c r="VID39" s="3"/>
      <c r="VIE39" s="3"/>
      <c r="VIF39" s="3"/>
      <c r="VIG39" s="3"/>
      <c r="VIH39" s="3"/>
      <c r="VII39" s="3"/>
      <c r="VIJ39" s="3"/>
      <c r="VIK39" s="3"/>
      <c r="VIL39" s="3"/>
      <c r="VIM39" s="3"/>
      <c r="VIN39" s="3"/>
      <c r="VIO39" s="3"/>
      <c r="VIP39" s="3"/>
      <c r="VIQ39" s="3"/>
      <c r="VIR39" s="3"/>
      <c r="VIS39" s="3"/>
      <c r="VIT39" s="3"/>
      <c r="VIU39" s="3"/>
      <c r="VIV39" s="3"/>
      <c r="VIW39" s="3"/>
      <c r="VIX39" s="3"/>
      <c r="VIY39" s="3"/>
      <c r="VIZ39" s="3"/>
      <c r="VJA39" s="3"/>
      <c r="VJB39" s="3"/>
      <c r="VJC39" s="3"/>
      <c r="VJD39" s="3"/>
      <c r="VJE39" s="3"/>
      <c r="VJF39" s="3"/>
      <c r="VJG39" s="3"/>
      <c r="VJH39" s="3"/>
      <c r="VJI39" s="3"/>
      <c r="VJJ39" s="3"/>
      <c r="VJK39" s="3"/>
      <c r="VJL39" s="3"/>
      <c r="VJM39" s="3"/>
      <c r="VJN39" s="3"/>
      <c r="VJO39" s="3"/>
      <c r="VJP39" s="3"/>
      <c r="VJQ39" s="3"/>
      <c r="VJR39" s="3"/>
      <c r="VJS39" s="3"/>
      <c r="VJT39" s="3"/>
      <c r="VJU39" s="3"/>
      <c r="VJV39" s="3"/>
      <c r="VJW39" s="3"/>
      <c r="VJX39" s="3"/>
      <c r="VJY39" s="3"/>
      <c r="VJZ39" s="3"/>
      <c r="VKA39" s="3"/>
      <c r="VKB39" s="3"/>
      <c r="VKC39" s="3"/>
      <c r="VKD39" s="3"/>
      <c r="VKE39" s="3"/>
      <c r="VKF39" s="3"/>
      <c r="VKG39" s="3"/>
      <c r="VKH39" s="3"/>
      <c r="VKI39" s="3"/>
      <c r="VKJ39" s="3"/>
      <c r="VKK39" s="3"/>
      <c r="VKL39" s="3"/>
      <c r="VKM39" s="3"/>
      <c r="VKN39" s="3"/>
      <c r="VKO39" s="3"/>
      <c r="VKP39" s="3"/>
      <c r="VKQ39" s="3"/>
      <c r="VKR39" s="3"/>
      <c r="VKS39" s="3"/>
      <c r="VKT39" s="3"/>
      <c r="VKU39" s="3"/>
      <c r="VKV39" s="3"/>
      <c r="VKW39" s="3"/>
      <c r="VKX39" s="3"/>
      <c r="VKY39" s="3"/>
      <c r="VKZ39" s="3"/>
      <c r="VLA39" s="3"/>
      <c r="VLB39" s="3"/>
      <c r="VLC39" s="3"/>
      <c r="VLD39" s="3"/>
      <c r="VLE39" s="3"/>
      <c r="VLF39" s="3"/>
      <c r="VLG39" s="3"/>
      <c r="VLH39" s="3"/>
      <c r="VLI39" s="3"/>
      <c r="VLJ39" s="3"/>
      <c r="VLK39" s="3"/>
      <c r="VLL39" s="3"/>
      <c r="VLM39" s="3"/>
      <c r="VLN39" s="3"/>
      <c r="VLO39" s="3"/>
      <c r="VLP39" s="3"/>
      <c r="VLQ39" s="3"/>
      <c r="VLR39" s="3"/>
      <c r="VLS39" s="3"/>
      <c r="VLT39" s="3"/>
      <c r="VLU39" s="3"/>
      <c r="VLV39" s="3"/>
      <c r="VLW39" s="3"/>
      <c r="VLX39" s="3"/>
      <c r="VLY39" s="3"/>
      <c r="VLZ39" s="3"/>
      <c r="VMA39" s="3"/>
      <c r="VMB39" s="3"/>
      <c r="VMC39" s="3"/>
      <c r="VMD39" s="3"/>
      <c r="VME39" s="3"/>
      <c r="VMF39" s="3"/>
      <c r="VMG39" s="3"/>
      <c r="VMH39" s="3"/>
      <c r="VMI39" s="3"/>
      <c r="VMJ39" s="3"/>
      <c r="VMK39" s="3"/>
      <c r="VML39" s="3"/>
      <c r="VMM39" s="3"/>
      <c r="VMN39" s="3"/>
      <c r="VMO39" s="3"/>
      <c r="VMP39" s="3"/>
      <c r="VMQ39" s="3"/>
      <c r="VMR39" s="3"/>
      <c r="VMS39" s="3"/>
      <c r="VMT39" s="3"/>
      <c r="VMU39" s="3"/>
      <c r="VMV39" s="3"/>
      <c r="VMW39" s="3"/>
      <c r="VMX39" s="3"/>
      <c r="VMY39" s="3"/>
      <c r="VMZ39" s="3"/>
      <c r="VNA39" s="3"/>
      <c r="VNB39" s="3"/>
      <c r="VNC39" s="3"/>
      <c r="VND39" s="3"/>
      <c r="VNE39" s="3"/>
      <c r="VNF39" s="3"/>
      <c r="VNG39" s="3"/>
      <c r="VNH39" s="3"/>
      <c r="VNI39" s="3"/>
      <c r="VNJ39" s="3"/>
      <c r="VNK39" s="3"/>
      <c r="VNL39" s="3"/>
      <c r="VNM39" s="3"/>
      <c r="VNN39" s="3"/>
      <c r="VNO39" s="3"/>
      <c r="VNP39" s="3"/>
      <c r="VNQ39" s="3"/>
      <c r="VNR39" s="3"/>
      <c r="VNS39" s="3"/>
      <c r="VNT39" s="3"/>
      <c r="VNU39" s="3"/>
      <c r="VNV39" s="3"/>
      <c r="VNW39" s="3"/>
      <c r="VNX39" s="3"/>
      <c r="VNY39" s="3"/>
      <c r="VNZ39" s="3"/>
      <c r="VOA39" s="3"/>
      <c r="VOB39" s="3"/>
      <c r="VOC39" s="3"/>
      <c r="VOD39" s="3"/>
      <c r="VOE39" s="3"/>
      <c r="VOF39" s="3"/>
      <c r="VOG39" s="3"/>
      <c r="VOH39" s="3"/>
      <c r="VOI39" s="3"/>
      <c r="VOJ39" s="3"/>
      <c r="VOK39" s="3"/>
      <c r="VOL39" s="3"/>
      <c r="VOM39" s="3"/>
      <c r="VON39" s="3"/>
      <c r="VOO39" s="3"/>
      <c r="VOP39" s="3"/>
      <c r="VOQ39" s="3"/>
      <c r="VOR39" s="3"/>
      <c r="VOS39" s="3"/>
      <c r="VOT39" s="3"/>
      <c r="VOU39" s="3"/>
      <c r="VOV39" s="3"/>
      <c r="VOW39" s="3"/>
      <c r="VOX39" s="3"/>
      <c r="VOY39" s="3"/>
      <c r="VOZ39" s="3"/>
      <c r="VPA39" s="3"/>
      <c r="VPB39" s="3"/>
      <c r="VPC39" s="3"/>
      <c r="VPD39" s="3"/>
      <c r="VPE39" s="3"/>
      <c r="VPF39" s="3"/>
      <c r="VPG39" s="3"/>
      <c r="VPH39" s="3"/>
      <c r="VPI39" s="3"/>
      <c r="VPJ39" s="3"/>
      <c r="VPK39" s="3"/>
      <c r="VPL39" s="3"/>
      <c r="VPM39" s="3"/>
      <c r="VPN39" s="3"/>
      <c r="VPO39" s="3"/>
      <c r="VPP39" s="3"/>
      <c r="VPQ39" s="3"/>
      <c r="VPR39" s="3"/>
      <c r="VPS39" s="3"/>
      <c r="VPT39" s="3"/>
      <c r="VPU39" s="3"/>
      <c r="VPV39" s="3"/>
      <c r="VPW39" s="3"/>
      <c r="VPX39" s="3"/>
      <c r="VPY39" s="3"/>
      <c r="VPZ39" s="3"/>
      <c r="VQA39" s="3"/>
      <c r="VQB39" s="3"/>
      <c r="VQC39" s="3"/>
      <c r="VQD39" s="3"/>
      <c r="VQE39" s="3"/>
      <c r="VQF39" s="3"/>
      <c r="VQG39" s="3"/>
      <c r="VQH39" s="3"/>
      <c r="VQI39" s="3"/>
      <c r="VQJ39" s="3"/>
      <c r="VQK39" s="3"/>
      <c r="VQL39" s="3"/>
      <c r="VQM39" s="3"/>
      <c r="VQN39" s="3"/>
      <c r="VQO39" s="3"/>
      <c r="VQP39" s="3"/>
      <c r="VQQ39" s="3"/>
      <c r="VQR39" s="3"/>
      <c r="VQS39" s="3"/>
      <c r="VQT39" s="3"/>
      <c r="VQU39" s="3"/>
      <c r="VQV39" s="3"/>
      <c r="VQW39" s="3"/>
      <c r="VQX39" s="3"/>
      <c r="VQY39" s="3"/>
      <c r="VQZ39" s="3"/>
      <c r="VRA39" s="3"/>
      <c r="VRB39" s="3"/>
      <c r="VRC39" s="3"/>
      <c r="VRD39" s="3"/>
      <c r="VRE39" s="3"/>
      <c r="VRF39" s="3"/>
      <c r="VRG39" s="3"/>
      <c r="VRH39" s="3"/>
      <c r="VRI39" s="3"/>
      <c r="VRJ39" s="3"/>
      <c r="VRK39" s="3"/>
      <c r="VRL39" s="3"/>
      <c r="VRM39" s="3"/>
      <c r="VRN39" s="3"/>
      <c r="VRO39" s="3"/>
      <c r="VRP39" s="3"/>
      <c r="VRQ39" s="3"/>
      <c r="VRR39" s="3"/>
      <c r="VRS39" s="3"/>
      <c r="VRT39" s="3"/>
      <c r="VRU39" s="3"/>
      <c r="VRV39" s="3"/>
      <c r="VRW39" s="3"/>
      <c r="VRX39" s="3"/>
      <c r="VRY39" s="3"/>
      <c r="VRZ39" s="3"/>
      <c r="VSA39" s="3"/>
      <c r="VSB39" s="3"/>
      <c r="VSC39" s="3"/>
      <c r="VSD39" s="3"/>
      <c r="VSE39" s="3"/>
      <c r="VSF39" s="3"/>
      <c r="VSG39" s="3"/>
      <c r="VSH39" s="3"/>
      <c r="VSI39" s="3"/>
      <c r="VSJ39" s="3"/>
      <c r="VSK39" s="3"/>
      <c r="VSL39" s="3"/>
      <c r="VSM39" s="3"/>
      <c r="VSN39" s="3"/>
      <c r="VSO39" s="3"/>
      <c r="VSP39" s="3"/>
      <c r="VSQ39" s="3"/>
      <c r="VSR39" s="3"/>
      <c r="VSS39" s="3"/>
      <c r="VST39" s="3"/>
      <c r="VSU39" s="3"/>
      <c r="VSV39" s="3"/>
      <c r="VSW39" s="3"/>
      <c r="VSX39" s="3"/>
      <c r="VSY39" s="3"/>
      <c r="VSZ39" s="3"/>
      <c r="VTA39" s="3"/>
      <c r="VTB39" s="3"/>
      <c r="VTC39" s="3"/>
      <c r="VTD39" s="3"/>
      <c r="VTE39" s="3"/>
      <c r="VTF39" s="3"/>
      <c r="VTG39" s="3"/>
      <c r="VTH39" s="3"/>
      <c r="VTI39" s="3"/>
      <c r="VTJ39" s="3"/>
      <c r="VTK39" s="3"/>
      <c r="VTL39" s="3"/>
      <c r="VTM39" s="3"/>
      <c r="VTN39" s="3"/>
      <c r="VTO39" s="3"/>
      <c r="VTP39" s="3"/>
      <c r="VTQ39" s="3"/>
      <c r="VTR39" s="3"/>
      <c r="VTS39" s="3"/>
      <c r="VTT39" s="3"/>
      <c r="VTU39" s="3"/>
      <c r="VTV39" s="3"/>
      <c r="VTW39" s="3"/>
      <c r="VTX39" s="3"/>
      <c r="VTY39" s="3"/>
      <c r="VTZ39" s="3"/>
      <c r="VUA39" s="3"/>
      <c r="VUB39" s="3"/>
      <c r="VUC39" s="3"/>
      <c r="VUD39" s="3"/>
      <c r="VUE39" s="3"/>
      <c r="VUF39" s="3"/>
      <c r="VUG39" s="3"/>
      <c r="VUH39" s="3"/>
      <c r="VUI39" s="3"/>
      <c r="VUJ39" s="3"/>
      <c r="VUK39" s="3"/>
      <c r="VUL39" s="3"/>
      <c r="VUM39" s="3"/>
      <c r="VUN39" s="3"/>
      <c r="VUO39" s="3"/>
      <c r="VUP39" s="3"/>
      <c r="VUQ39" s="3"/>
      <c r="VUR39" s="3"/>
      <c r="VUS39" s="3"/>
      <c r="VUT39" s="3"/>
      <c r="VUU39" s="3"/>
      <c r="VUV39" s="3"/>
      <c r="VUW39" s="3"/>
      <c r="VUX39" s="3"/>
      <c r="VUY39" s="3"/>
      <c r="VUZ39" s="3"/>
      <c r="VVA39" s="3"/>
      <c r="VVB39" s="3"/>
      <c r="VVC39" s="3"/>
      <c r="VVD39" s="3"/>
      <c r="VVE39" s="3"/>
      <c r="VVF39" s="3"/>
      <c r="VVG39" s="3"/>
      <c r="VVH39" s="3"/>
      <c r="VVI39" s="3"/>
      <c r="VVJ39" s="3"/>
      <c r="VVK39" s="3"/>
      <c r="VVL39" s="3"/>
      <c r="VVM39" s="3"/>
      <c r="VVN39" s="3"/>
      <c r="VVO39" s="3"/>
      <c r="VVP39" s="3"/>
      <c r="VVQ39" s="3"/>
      <c r="VVR39" s="3"/>
      <c r="VVS39" s="3"/>
      <c r="VVT39" s="3"/>
      <c r="VVU39" s="3"/>
      <c r="VVV39" s="3"/>
      <c r="VVW39" s="3"/>
      <c r="VVX39" s="3"/>
      <c r="VVY39" s="3"/>
      <c r="VVZ39" s="3"/>
      <c r="VWA39" s="3"/>
      <c r="VWB39" s="3"/>
      <c r="VWC39" s="3"/>
      <c r="VWD39" s="3"/>
      <c r="VWE39" s="3"/>
      <c r="VWF39" s="3"/>
      <c r="VWG39" s="3"/>
      <c r="VWH39" s="3"/>
      <c r="VWI39" s="3"/>
      <c r="VWJ39" s="3"/>
      <c r="VWK39" s="3"/>
      <c r="VWL39" s="3"/>
      <c r="VWM39" s="3"/>
      <c r="VWN39" s="3"/>
      <c r="VWO39" s="3"/>
      <c r="VWP39" s="3"/>
      <c r="VWQ39" s="3"/>
      <c r="VWR39" s="3"/>
      <c r="VWS39" s="3"/>
      <c r="VWT39" s="3"/>
      <c r="VWU39" s="3"/>
      <c r="VWV39" s="3"/>
      <c r="VWW39" s="3"/>
      <c r="VWX39" s="3"/>
      <c r="VWY39" s="3"/>
      <c r="VWZ39" s="3"/>
      <c r="VXA39" s="3"/>
      <c r="VXB39" s="3"/>
      <c r="VXC39" s="3"/>
      <c r="VXD39" s="3"/>
      <c r="VXE39" s="3"/>
      <c r="VXF39" s="3"/>
      <c r="VXG39" s="3"/>
      <c r="VXH39" s="3"/>
      <c r="VXI39" s="3"/>
      <c r="VXJ39" s="3"/>
      <c r="VXK39" s="3"/>
      <c r="VXL39" s="3"/>
      <c r="VXM39" s="3"/>
      <c r="VXN39" s="3"/>
      <c r="VXO39" s="3"/>
      <c r="VXP39" s="3"/>
      <c r="VXQ39" s="3"/>
      <c r="VXR39" s="3"/>
      <c r="VXS39" s="3"/>
      <c r="VXT39" s="3"/>
      <c r="VXU39" s="3"/>
      <c r="VXV39" s="3"/>
      <c r="VXW39" s="3"/>
      <c r="VXX39" s="3"/>
      <c r="VXY39" s="3"/>
      <c r="VXZ39" s="3"/>
      <c r="VYA39" s="3"/>
      <c r="VYB39" s="3"/>
      <c r="VYC39" s="3"/>
      <c r="VYD39" s="3"/>
      <c r="VYE39" s="3"/>
      <c r="VYF39" s="3"/>
      <c r="VYG39" s="3"/>
      <c r="VYH39" s="3"/>
      <c r="VYI39" s="3"/>
      <c r="VYJ39" s="3"/>
      <c r="VYK39" s="3"/>
      <c r="VYL39" s="3"/>
      <c r="VYM39" s="3"/>
      <c r="VYN39" s="3"/>
      <c r="VYO39" s="3"/>
      <c r="VYP39" s="3"/>
      <c r="VYQ39" s="3"/>
      <c r="VYR39" s="3"/>
      <c r="VYS39" s="3"/>
      <c r="VYT39" s="3"/>
      <c r="VYU39" s="3"/>
      <c r="VYV39" s="3"/>
      <c r="VYW39" s="3"/>
      <c r="VYX39" s="3"/>
      <c r="VYY39" s="3"/>
      <c r="VYZ39" s="3"/>
      <c r="VZA39" s="3"/>
      <c r="VZB39" s="3"/>
      <c r="VZC39" s="3"/>
      <c r="VZD39" s="3"/>
      <c r="VZE39" s="3"/>
      <c r="VZF39" s="3"/>
      <c r="VZG39" s="3"/>
      <c r="VZH39" s="3"/>
      <c r="VZI39" s="3"/>
      <c r="VZJ39" s="3"/>
      <c r="VZK39" s="3"/>
      <c r="VZL39" s="3"/>
      <c r="VZM39" s="3"/>
      <c r="VZN39" s="3"/>
      <c r="VZO39" s="3"/>
      <c r="VZP39" s="3"/>
      <c r="VZQ39" s="3"/>
      <c r="VZR39" s="3"/>
      <c r="VZS39" s="3"/>
      <c r="VZT39" s="3"/>
      <c r="VZU39" s="3"/>
      <c r="VZV39" s="3"/>
      <c r="VZW39" s="3"/>
      <c r="VZX39" s="3"/>
      <c r="VZY39" s="3"/>
      <c r="VZZ39" s="3"/>
      <c r="WAA39" s="3"/>
      <c r="WAB39" s="3"/>
      <c r="WAC39" s="3"/>
      <c r="WAD39" s="3"/>
      <c r="WAE39" s="3"/>
      <c r="WAF39" s="3"/>
      <c r="WAG39" s="3"/>
      <c r="WAH39" s="3"/>
      <c r="WAI39" s="3"/>
      <c r="WAJ39" s="3"/>
      <c r="WAK39" s="3"/>
      <c r="WAL39" s="3"/>
      <c r="WAM39" s="3"/>
      <c r="WAN39" s="3"/>
      <c r="WAO39" s="3"/>
      <c r="WAP39" s="3"/>
      <c r="WAQ39" s="3"/>
      <c r="WAR39" s="3"/>
      <c r="WAS39" s="3"/>
      <c r="WAT39" s="3"/>
      <c r="WAU39" s="3"/>
      <c r="WAV39" s="3"/>
      <c r="WAW39" s="3"/>
      <c r="WAX39" s="3"/>
      <c r="WAY39" s="3"/>
      <c r="WAZ39" s="3"/>
      <c r="WBA39" s="3"/>
      <c r="WBB39" s="3"/>
      <c r="WBC39" s="3"/>
      <c r="WBD39" s="3"/>
      <c r="WBE39" s="3"/>
      <c r="WBF39" s="3"/>
      <c r="WBG39" s="3"/>
      <c r="WBH39" s="3"/>
      <c r="WBI39" s="3"/>
      <c r="WBJ39" s="3"/>
      <c r="WBK39" s="3"/>
      <c r="WBL39" s="3"/>
      <c r="WBM39" s="3"/>
      <c r="WBN39" s="3"/>
      <c r="WBO39" s="3"/>
      <c r="WBP39" s="3"/>
      <c r="WBQ39" s="3"/>
      <c r="WBR39" s="3"/>
      <c r="WBS39" s="3"/>
      <c r="WBT39" s="3"/>
      <c r="WBU39" s="3"/>
      <c r="WBV39" s="3"/>
      <c r="WBW39" s="3"/>
      <c r="WBX39" s="3"/>
      <c r="WBY39" s="3"/>
      <c r="WBZ39" s="3"/>
      <c r="WCA39" s="3"/>
      <c r="WCB39" s="3"/>
      <c r="WCC39" s="3"/>
      <c r="WCD39" s="3"/>
      <c r="WCE39" s="3"/>
      <c r="WCF39" s="3"/>
      <c r="WCG39" s="3"/>
      <c r="WCH39" s="3"/>
      <c r="WCI39" s="3"/>
      <c r="WCJ39" s="3"/>
      <c r="WCK39" s="3"/>
      <c r="WCL39" s="3"/>
      <c r="WCM39" s="3"/>
      <c r="WCN39" s="3"/>
      <c r="WCO39" s="3"/>
      <c r="WCP39" s="3"/>
      <c r="WCQ39" s="3"/>
      <c r="WCR39" s="3"/>
      <c r="WCS39" s="3"/>
      <c r="WCT39" s="3"/>
      <c r="WCU39" s="3"/>
      <c r="WCV39" s="3"/>
      <c r="WCW39" s="3"/>
      <c r="WCX39" s="3"/>
      <c r="WCY39" s="3"/>
      <c r="WCZ39" s="3"/>
      <c r="WDA39" s="3"/>
      <c r="WDB39" s="3"/>
      <c r="WDC39" s="3"/>
      <c r="WDD39" s="3"/>
      <c r="WDE39" s="3"/>
      <c r="WDF39" s="3"/>
      <c r="WDG39" s="3"/>
      <c r="WDH39" s="3"/>
      <c r="WDI39" s="3"/>
      <c r="WDJ39" s="3"/>
      <c r="WDK39" s="3"/>
      <c r="WDL39" s="3"/>
      <c r="WDM39" s="3"/>
      <c r="WDN39" s="3"/>
      <c r="WDO39" s="3"/>
      <c r="WDP39" s="3"/>
      <c r="WDQ39" s="3"/>
      <c r="WDR39" s="3"/>
      <c r="WDS39" s="3"/>
      <c r="WDT39" s="3"/>
      <c r="WDU39" s="3"/>
      <c r="WDV39" s="3"/>
      <c r="WDW39" s="3"/>
      <c r="WDX39" s="3"/>
      <c r="WDY39" s="3"/>
      <c r="WDZ39" s="3"/>
      <c r="WEA39" s="3"/>
      <c r="WEB39" s="3"/>
      <c r="WEC39" s="3"/>
      <c r="WED39" s="3"/>
      <c r="WEE39" s="3"/>
      <c r="WEF39" s="3"/>
      <c r="WEG39" s="3"/>
      <c r="WEH39" s="3"/>
      <c r="WEI39" s="3"/>
      <c r="WEJ39" s="3"/>
      <c r="WEK39" s="3"/>
      <c r="WEL39" s="3"/>
      <c r="WEM39" s="3"/>
      <c r="WEN39" s="3"/>
      <c r="WEO39" s="3"/>
      <c r="WEP39" s="3"/>
      <c r="WEQ39" s="3"/>
      <c r="WER39" s="3"/>
      <c r="WES39" s="3"/>
      <c r="WET39" s="3"/>
      <c r="WEU39" s="3"/>
      <c r="WEV39" s="3"/>
      <c r="WEW39" s="3"/>
      <c r="WEX39" s="3"/>
      <c r="WEY39" s="3"/>
      <c r="WEZ39" s="3"/>
      <c r="WFA39" s="3"/>
      <c r="WFB39" s="3"/>
      <c r="WFC39" s="3"/>
      <c r="WFD39" s="3"/>
      <c r="WFE39" s="3"/>
      <c r="WFF39" s="3"/>
      <c r="WFG39" s="3"/>
      <c r="WFH39" s="3"/>
      <c r="WFI39" s="3"/>
      <c r="WFJ39" s="3"/>
      <c r="WFK39" s="3"/>
      <c r="WFL39" s="3"/>
      <c r="WFM39" s="3"/>
      <c r="WFN39" s="3"/>
      <c r="WFO39" s="3"/>
      <c r="WFP39" s="3"/>
      <c r="WFQ39" s="3"/>
      <c r="WFR39" s="3"/>
      <c r="WFS39" s="3"/>
      <c r="WFT39" s="3"/>
      <c r="WFU39" s="3"/>
      <c r="WFV39" s="3"/>
      <c r="WFW39" s="3"/>
      <c r="WFX39" s="3"/>
      <c r="WFY39" s="3"/>
      <c r="WFZ39" s="3"/>
      <c r="WGA39" s="3"/>
      <c r="WGB39" s="3"/>
      <c r="WGC39" s="3"/>
      <c r="WGD39" s="3"/>
      <c r="WGE39" s="3"/>
      <c r="WGF39" s="3"/>
      <c r="WGG39" s="3"/>
      <c r="WGH39" s="3"/>
      <c r="WGI39" s="3"/>
      <c r="WGJ39" s="3"/>
      <c r="WGK39" s="3"/>
      <c r="WGL39" s="3"/>
      <c r="WGM39" s="3"/>
      <c r="WGN39" s="3"/>
      <c r="WGO39" s="3"/>
      <c r="WGP39" s="3"/>
      <c r="WGQ39" s="3"/>
      <c r="WGR39" s="3"/>
      <c r="WGS39" s="3"/>
      <c r="WGT39" s="3"/>
      <c r="WGU39" s="3"/>
      <c r="WGV39" s="3"/>
      <c r="WGW39" s="3"/>
      <c r="WGX39" s="3"/>
      <c r="WGY39" s="3"/>
      <c r="WGZ39" s="3"/>
      <c r="WHA39" s="3"/>
      <c r="WHB39" s="3"/>
      <c r="WHC39" s="3"/>
      <c r="WHD39" s="3"/>
      <c r="WHE39" s="3"/>
      <c r="WHF39" s="3"/>
      <c r="WHG39" s="3"/>
      <c r="WHH39" s="3"/>
      <c r="WHI39" s="3"/>
      <c r="WHJ39" s="3"/>
      <c r="WHK39" s="3"/>
      <c r="WHL39" s="3"/>
      <c r="WHM39" s="3"/>
      <c r="WHN39" s="3"/>
      <c r="WHO39" s="3"/>
      <c r="WHP39" s="3"/>
      <c r="WHQ39" s="3"/>
      <c r="WHR39" s="3"/>
      <c r="WHS39" s="3"/>
      <c r="WHT39" s="3"/>
      <c r="WHU39" s="3"/>
      <c r="WHV39" s="3"/>
      <c r="WHW39" s="3"/>
      <c r="WHX39" s="3"/>
      <c r="WHY39" s="3"/>
      <c r="WHZ39" s="3"/>
      <c r="WIA39" s="3"/>
      <c r="WIB39" s="3"/>
      <c r="WIC39" s="3"/>
      <c r="WID39" s="3"/>
      <c r="WIE39" s="3"/>
      <c r="WIF39" s="3"/>
      <c r="WIG39" s="3"/>
      <c r="WIH39" s="3"/>
      <c r="WII39" s="3"/>
      <c r="WIJ39" s="3"/>
      <c r="WIK39" s="3"/>
      <c r="WIL39" s="3"/>
      <c r="WIM39" s="3"/>
      <c r="WIN39" s="3"/>
      <c r="WIO39" s="3"/>
      <c r="WIP39" s="3"/>
      <c r="WIQ39" s="3"/>
      <c r="WIR39" s="3"/>
      <c r="WIS39" s="3"/>
      <c r="WIT39" s="3"/>
      <c r="WIU39" s="3"/>
      <c r="WIV39" s="3"/>
      <c r="WIW39" s="3"/>
      <c r="WIX39" s="3"/>
      <c r="WIY39" s="3"/>
      <c r="WIZ39" s="3"/>
      <c r="WJA39" s="3"/>
      <c r="WJB39" s="3"/>
      <c r="WJC39" s="3"/>
      <c r="WJD39" s="3"/>
      <c r="WJE39" s="3"/>
      <c r="WJF39" s="3"/>
      <c r="WJG39" s="3"/>
      <c r="WJH39" s="3"/>
      <c r="WJI39" s="3"/>
      <c r="WJJ39" s="3"/>
      <c r="WJK39" s="3"/>
      <c r="WJL39" s="3"/>
      <c r="WJM39" s="3"/>
      <c r="WJN39" s="3"/>
      <c r="WJO39" s="3"/>
      <c r="WJP39" s="3"/>
      <c r="WJQ39" s="3"/>
      <c r="WJR39" s="3"/>
      <c r="WJS39" s="3"/>
      <c r="WJT39" s="3"/>
      <c r="WJU39" s="3"/>
      <c r="WJV39" s="3"/>
      <c r="WJW39" s="3"/>
      <c r="WJX39" s="3"/>
      <c r="WJY39" s="3"/>
      <c r="WJZ39" s="3"/>
      <c r="WKA39" s="3"/>
      <c r="WKB39" s="3"/>
      <c r="WKC39" s="3"/>
      <c r="WKD39" s="3"/>
      <c r="WKE39" s="3"/>
      <c r="WKF39" s="3"/>
      <c r="WKG39" s="3"/>
      <c r="WKH39" s="3"/>
      <c r="WKI39" s="3"/>
      <c r="WKJ39" s="3"/>
      <c r="WKK39" s="3"/>
      <c r="WKL39" s="3"/>
      <c r="WKM39" s="3"/>
      <c r="WKN39" s="3"/>
      <c r="WKO39" s="3"/>
      <c r="WKP39" s="3"/>
      <c r="WKQ39" s="3"/>
      <c r="WKR39" s="3"/>
      <c r="WKS39" s="3"/>
      <c r="WKT39" s="3"/>
      <c r="WKU39" s="3"/>
      <c r="WKV39" s="3"/>
      <c r="WKW39" s="3"/>
      <c r="WKX39" s="3"/>
      <c r="WKY39" s="3"/>
      <c r="WKZ39" s="3"/>
      <c r="WLA39" s="3"/>
      <c r="WLB39" s="3"/>
      <c r="WLC39" s="3"/>
      <c r="WLD39" s="3"/>
      <c r="WLE39" s="3"/>
      <c r="WLF39" s="3"/>
      <c r="WLG39" s="3"/>
      <c r="WLH39" s="3"/>
      <c r="WLI39" s="3"/>
      <c r="WLJ39" s="3"/>
      <c r="WLK39" s="3"/>
      <c r="WLL39" s="3"/>
      <c r="WLM39" s="3"/>
      <c r="WLN39" s="3"/>
      <c r="WLO39" s="3"/>
      <c r="WLP39" s="3"/>
      <c r="WLQ39" s="3"/>
      <c r="WLR39" s="3"/>
      <c r="WLS39" s="3"/>
      <c r="WLT39" s="3"/>
      <c r="WLU39" s="3"/>
      <c r="WLV39" s="3"/>
      <c r="WLW39" s="3"/>
      <c r="WLX39" s="3"/>
      <c r="WLY39" s="3"/>
      <c r="WLZ39" s="3"/>
      <c r="WMA39" s="3"/>
      <c r="WMB39" s="3"/>
      <c r="WMC39" s="3"/>
      <c r="WMD39" s="3"/>
      <c r="WME39" s="3"/>
      <c r="WMF39" s="3"/>
      <c r="WMG39" s="3"/>
      <c r="WMH39" s="3"/>
      <c r="WMI39" s="3"/>
      <c r="WMJ39" s="3"/>
      <c r="WMK39" s="3"/>
      <c r="WML39" s="3"/>
      <c r="WMM39" s="3"/>
      <c r="WMN39" s="3"/>
      <c r="WMO39" s="3"/>
      <c r="WMP39" s="3"/>
      <c r="WMQ39" s="3"/>
      <c r="WMR39" s="3"/>
      <c r="WMS39" s="3"/>
      <c r="WMT39" s="3"/>
      <c r="WMU39" s="3"/>
      <c r="WMV39" s="3"/>
      <c r="WMW39" s="3"/>
      <c r="WMX39" s="3"/>
      <c r="WMY39" s="3"/>
      <c r="WMZ39" s="3"/>
      <c r="WNA39" s="3"/>
      <c r="WNB39" s="3"/>
      <c r="WNC39" s="3"/>
      <c r="WND39" s="3"/>
      <c r="WNE39" s="3"/>
      <c r="WNF39" s="3"/>
      <c r="WNG39" s="3"/>
      <c r="WNH39" s="3"/>
      <c r="WNI39" s="3"/>
      <c r="WNJ39" s="3"/>
      <c r="WNK39" s="3"/>
      <c r="WNL39" s="3"/>
      <c r="WNM39" s="3"/>
      <c r="WNN39" s="3"/>
      <c r="WNO39" s="3"/>
      <c r="WNP39" s="3"/>
      <c r="WNQ39" s="3"/>
      <c r="WNR39" s="3"/>
      <c r="WNS39" s="3"/>
      <c r="WNT39" s="3"/>
      <c r="WNU39" s="3"/>
      <c r="WNV39" s="3"/>
      <c r="WNW39" s="3"/>
      <c r="WNX39" s="3"/>
      <c r="WNY39" s="3"/>
      <c r="WNZ39" s="3"/>
      <c r="WOA39" s="3"/>
      <c r="WOB39" s="3"/>
      <c r="WOC39" s="3"/>
      <c r="WOD39" s="3"/>
      <c r="WOE39" s="3"/>
      <c r="WOF39" s="3"/>
      <c r="WOG39" s="3"/>
      <c r="WOH39" s="3"/>
      <c r="WOI39" s="3"/>
      <c r="WOJ39" s="3"/>
      <c r="WOK39" s="3"/>
      <c r="WOL39" s="3"/>
      <c r="WOM39" s="3"/>
      <c r="WON39" s="3"/>
      <c r="WOO39" s="3"/>
      <c r="WOP39" s="3"/>
      <c r="WOQ39" s="3"/>
      <c r="WOR39" s="3"/>
      <c r="WOS39" s="3"/>
      <c r="WOT39" s="3"/>
      <c r="WOU39" s="3"/>
      <c r="WOV39" s="3"/>
      <c r="WOW39" s="3"/>
      <c r="WOX39" s="3"/>
      <c r="WOY39" s="3"/>
      <c r="WOZ39" s="3"/>
      <c r="WPA39" s="3"/>
      <c r="WPB39" s="3"/>
      <c r="WPC39" s="3"/>
      <c r="WPD39" s="3"/>
      <c r="WPE39" s="3"/>
      <c r="WPF39" s="3"/>
      <c r="WPG39" s="3"/>
      <c r="WPH39" s="3"/>
      <c r="WPI39" s="3"/>
      <c r="WPJ39" s="3"/>
      <c r="WPK39" s="3"/>
      <c r="WPL39" s="3"/>
      <c r="WPM39" s="3"/>
      <c r="WPN39" s="3"/>
      <c r="WPO39" s="3"/>
      <c r="WPP39" s="3"/>
      <c r="WPQ39" s="3"/>
      <c r="WPR39" s="3"/>
      <c r="WPS39" s="3"/>
      <c r="WPT39" s="3"/>
      <c r="WPU39" s="3"/>
      <c r="WPV39" s="3"/>
      <c r="WPW39" s="3"/>
      <c r="WPX39" s="3"/>
      <c r="WPY39" s="3"/>
      <c r="WPZ39" s="3"/>
      <c r="WQA39" s="3"/>
      <c r="WQB39" s="3"/>
      <c r="WQC39" s="3"/>
      <c r="WQD39" s="3"/>
      <c r="WQE39" s="3"/>
      <c r="WQF39" s="3"/>
      <c r="WQG39" s="3"/>
      <c r="WQH39" s="3"/>
      <c r="WQI39" s="3"/>
      <c r="WQJ39" s="3"/>
      <c r="WQK39" s="3"/>
      <c r="WQL39" s="3"/>
      <c r="WQM39" s="3"/>
      <c r="WQN39" s="3"/>
      <c r="WQO39" s="3"/>
      <c r="WQP39" s="3"/>
      <c r="WQQ39" s="3"/>
      <c r="WQR39" s="3"/>
      <c r="WQS39" s="3"/>
      <c r="WQT39" s="3"/>
      <c r="WQU39" s="3"/>
      <c r="WQV39" s="3"/>
      <c r="WQW39" s="3"/>
      <c r="WQX39" s="3"/>
      <c r="WQY39" s="3"/>
      <c r="WQZ39" s="3"/>
      <c r="WRA39" s="3"/>
      <c r="WRB39" s="3"/>
      <c r="WRC39" s="3"/>
      <c r="WRD39" s="3"/>
      <c r="WRE39" s="3"/>
      <c r="WRF39" s="3"/>
      <c r="WRG39" s="3"/>
      <c r="WRH39" s="3"/>
      <c r="WRI39" s="3"/>
      <c r="WRJ39" s="3"/>
      <c r="WRK39" s="3"/>
      <c r="WRL39" s="3"/>
      <c r="WRM39" s="3"/>
      <c r="WRN39" s="3"/>
      <c r="WRO39" s="3"/>
      <c r="WRP39" s="3"/>
      <c r="WRQ39" s="3"/>
      <c r="WRR39" s="3"/>
      <c r="WRS39" s="3"/>
      <c r="WRT39" s="3"/>
      <c r="WRU39" s="3"/>
      <c r="WRV39" s="3"/>
      <c r="WRW39" s="3"/>
      <c r="WRX39" s="3"/>
      <c r="WRY39" s="3"/>
      <c r="WRZ39" s="3"/>
      <c r="WSA39" s="3"/>
      <c r="WSB39" s="3"/>
      <c r="WSC39" s="3"/>
      <c r="WSD39" s="3"/>
      <c r="WSE39" s="3"/>
      <c r="WSF39" s="3"/>
      <c r="WSG39" s="3"/>
      <c r="WSH39" s="3"/>
      <c r="WSI39" s="3"/>
      <c r="WSJ39" s="3"/>
      <c r="WSK39" s="3"/>
      <c r="WSL39" s="3"/>
      <c r="WSM39" s="3"/>
      <c r="WSN39" s="3"/>
      <c r="WSO39" s="3"/>
      <c r="WSP39" s="3"/>
      <c r="WSQ39" s="3"/>
      <c r="WSR39" s="3"/>
      <c r="WSS39" s="3"/>
      <c r="WST39" s="3"/>
      <c r="WSU39" s="3"/>
      <c r="WSV39" s="3"/>
      <c r="WSW39" s="3"/>
      <c r="WSX39" s="3"/>
      <c r="WSY39" s="3"/>
      <c r="WSZ39" s="3"/>
      <c r="WTA39" s="3"/>
      <c r="WTB39" s="3"/>
      <c r="WTC39" s="3"/>
      <c r="WTD39" s="3"/>
      <c r="WTE39" s="3"/>
      <c r="WTF39" s="3"/>
      <c r="WTG39" s="3"/>
      <c r="WTH39" s="3"/>
      <c r="WTI39" s="3"/>
      <c r="WTJ39" s="3"/>
      <c r="WTK39" s="3"/>
      <c r="WTL39" s="3"/>
      <c r="WTM39" s="3"/>
      <c r="WTN39" s="3"/>
      <c r="WTO39" s="3"/>
      <c r="WTP39" s="3"/>
      <c r="WTQ39" s="3"/>
      <c r="WTR39" s="3"/>
      <c r="WTS39" s="3"/>
      <c r="WTT39" s="3"/>
      <c r="WTU39" s="3"/>
      <c r="WTV39" s="3"/>
      <c r="WTW39" s="3"/>
      <c r="WTX39" s="3"/>
      <c r="WTY39" s="3"/>
      <c r="WTZ39" s="3"/>
      <c r="WUA39" s="3"/>
      <c r="WUB39" s="3"/>
      <c r="WUC39" s="3"/>
      <c r="WUD39" s="3"/>
      <c r="WUE39" s="3"/>
      <c r="WUF39" s="3"/>
      <c r="WUG39" s="3"/>
      <c r="WUH39" s="3"/>
      <c r="WUI39" s="3"/>
      <c r="WUJ39" s="3"/>
      <c r="WUK39" s="3"/>
      <c r="WUL39" s="3"/>
      <c r="WUM39" s="3"/>
      <c r="WUN39" s="3"/>
      <c r="WUO39" s="3"/>
      <c r="WUP39" s="3"/>
      <c r="WUQ39" s="3"/>
      <c r="WUR39" s="3"/>
      <c r="WUS39" s="3"/>
      <c r="WUT39" s="3"/>
      <c r="WUU39" s="3"/>
      <c r="WUV39" s="3"/>
      <c r="WUW39" s="3"/>
      <c r="WUX39" s="3"/>
      <c r="WUY39" s="3"/>
      <c r="WUZ39" s="3"/>
      <c r="WVA39" s="3"/>
      <c r="WVB39" s="3"/>
      <c r="WVC39" s="3"/>
      <c r="WVD39" s="3"/>
      <c r="WVE39" s="3"/>
      <c r="WVF39" s="3"/>
      <c r="WVG39" s="3"/>
      <c r="WVH39" s="3"/>
      <c r="WVI39" s="3"/>
      <c r="WVJ39" s="3"/>
      <c r="WVK39" s="3"/>
      <c r="WVL39" s="3"/>
      <c r="WVM39" s="3"/>
      <c r="WVN39" s="3"/>
      <c r="WVO39" s="3"/>
      <c r="WVP39" s="3"/>
      <c r="WVQ39" s="3"/>
      <c r="WVR39" s="3"/>
      <c r="WVS39" s="3"/>
      <c r="WVT39" s="3"/>
      <c r="WVU39" s="3"/>
      <c r="WVV39" s="3"/>
      <c r="WVW39" s="3"/>
      <c r="WVX39" s="3"/>
      <c r="WVY39" s="3"/>
      <c r="WVZ39" s="3"/>
      <c r="WWA39" s="3"/>
      <c r="WWB39" s="3"/>
      <c r="WWC39" s="3"/>
      <c r="WWD39" s="3"/>
      <c r="WWE39" s="3"/>
      <c r="WWF39" s="3"/>
      <c r="WWG39" s="3"/>
      <c r="WWH39" s="3"/>
      <c r="WWI39" s="3"/>
      <c r="WWJ39" s="3"/>
      <c r="WWK39" s="3"/>
      <c r="WWL39" s="3"/>
      <c r="WWM39" s="3"/>
      <c r="WWN39" s="3"/>
      <c r="WWO39" s="3"/>
      <c r="WWP39" s="3"/>
      <c r="WWQ39" s="3"/>
      <c r="WWR39" s="3"/>
      <c r="WWS39" s="3"/>
      <c r="WWT39" s="3"/>
      <c r="WWU39" s="3"/>
      <c r="WWV39" s="3"/>
      <c r="WWW39" s="3"/>
      <c r="WWX39" s="3"/>
      <c r="WWY39" s="3"/>
      <c r="WWZ39" s="3"/>
      <c r="WXA39" s="3"/>
      <c r="WXB39" s="3"/>
      <c r="WXC39" s="3"/>
      <c r="WXD39" s="3"/>
      <c r="WXE39" s="3"/>
      <c r="WXF39" s="3"/>
      <c r="WXG39" s="3"/>
      <c r="WXH39" s="3"/>
      <c r="WXI39" s="3"/>
      <c r="WXJ39" s="3"/>
      <c r="WXK39" s="3"/>
      <c r="WXL39" s="3"/>
      <c r="WXM39" s="3"/>
      <c r="WXN39" s="3"/>
      <c r="WXO39" s="3"/>
      <c r="WXP39" s="3"/>
      <c r="WXQ39" s="3"/>
      <c r="WXR39" s="3"/>
      <c r="WXS39" s="3"/>
      <c r="WXT39" s="3"/>
      <c r="WXU39" s="3"/>
      <c r="WXV39" s="3"/>
      <c r="WXW39" s="3"/>
      <c r="WXX39" s="3"/>
      <c r="WXY39" s="3"/>
      <c r="WXZ39" s="3"/>
      <c r="WYA39" s="3"/>
      <c r="WYB39" s="3"/>
      <c r="WYC39" s="3"/>
      <c r="WYD39" s="3"/>
      <c r="WYE39" s="3"/>
      <c r="WYF39" s="3"/>
      <c r="WYG39" s="3"/>
      <c r="WYH39" s="3"/>
      <c r="WYI39" s="3"/>
      <c r="WYJ39" s="3"/>
      <c r="WYK39" s="3"/>
      <c r="WYL39" s="3"/>
      <c r="WYM39" s="3"/>
      <c r="WYN39" s="3"/>
      <c r="WYO39" s="3"/>
      <c r="WYP39" s="3"/>
      <c r="WYQ39" s="3"/>
      <c r="WYR39" s="3"/>
      <c r="WYS39" s="3"/>
      <c r="WYT39" s="3"/>
      <c r="WYU39" s="3"/>
      <c r="WYV39" s="3"/>
      <c r="WYW39" s="3"/>
      <c r="WYX39" s="3"/>
      <c r="WYY39" s="3"/>
      <c r="WYZ39" s="3"/>
      <c r="WZA39" s="3"/>
      <c r="WZB39" s="3"/>
      <c r="WZC39" s="3"/>
      <c r="WZD39" s="3"/>
      <c r="WZE39" s="3"/>
      <c r="WZF39" s="3"/>
      <c r="WZG39" s="3"/>
      <c r="WZH39" s="3"/>
      <c r="WZI39" s="3"/>
      <c r="WZJ39" s="3"/>
      <c r="WZK39" s="3"/>
      <c r="WZL39" s="3"/>
      <c r="WZM39" s="3"/>
      <c r="WZN39" s="3"/>
      <c r="WZO39" s="3"/>
      <c r="WZP39" s="3"/>
      <c r="WZQ39" s="3"/>
      <c r="WZR39" s="3"/>
      <c r="WZS39" s="3"/>
      <c r="WZT39" s="3"/>
      <c r="WZU39" s="3"/>
      <c r="WZV39" s="3"/>
      <c r="WZW39" s="3"/>
      <c r="WZX39" s="3"/>
      <c r="WZY39" s="3"/>
      <c r="WZZ39" s="3"/>
      <c r="XAA39" s="3"/>
      <c r="XAB39" s="3"/>
      <c r="XAC39" s="3"/>
      <c r="XAD39" s="3"/>
      <c r="XAE39" s="3"/>
      <c r="XAF39" s="3"/>
      <c r="XAG39" s="3"/>
      <c r="XAH39" s="3"/>
      <c r="XAI39" s="3"/>
      <c r="XAJ39" s="3"/>
      <c r="XAK39" s="3"/>
      <c r="XAL39" s="3"/>
      <c r="XAM39" s="3"/>
      <c r="XAN39" s="3"/>
      <c r="XAO39" s="3"/>
      <c r="XAP39" s="3"/>
      <c r="XAQ39" s="3"/>
      <c r="XAR39" s="3"/>
      <c r="XAS39" s="3"/>
      <c r="XAT39" s="3"/>
      <c r="XAU39" s="3"/>
      <c r="XAV39" s="3"/>
      <c r="XAW39" s="3"/>
      <c r="XAX39" s="3"/>
      <c r="XAY39" s="3"/>
      <c r="XAZ39" s="3"/>
      <c r="XBA39" s="3"/>
      <c r="XBB39" s="3"/>
      <c r="XBC39" s="3"/>
      <c r="XBD39" s="3"/>
      <c r="XBE39" s="3"/>
      <c r="XBF39" s="3"/>
      <c r="XBG39" s="3"/>
      <c r="XBH39" s="3"/>
      <c r="XBI39" s="3"/>
      <c r="XBJ39" s="3"/>
      <c r="XBK39" s="3"/>
      <c r="XBL39" s="3"/>
      <c r="XBM39" s="3"/>
      <c r="XBN39" s="3"/>
      <c r="XBO39" s="3"/>
      <c r="XBP39" s="3"/>
      <c r="XBQ39" s="3"/>
      <c r="XBR39" s="3"/>
      <c r="XBS39" s="3"/>
      <c r="XBT39" s="3"/>
      <c r="XBU39" s="3"/>
      <c r="XBV39" s="3"/>
      <c r="XBW39" s="3"/>
      <c r="XBX39" s="3"/>
      <c r="XBY39" s="3"/>
      <c r="XBZ39" s="3"/>
      <c r="XCA39" s="3"/>
      <c r="XCB39" s="3"/>
      <c r="XCC39" s="3"/>
      <c r="XCD39" s="3"/>
      <c r="XCE39" s="3"/>
      <c r="XCF39" s="3"/>
      <c r="XCG39" s="3"/>
      <c r="XCH39" s="3"/>
      <c r="XCI39" s="3"/>
      <c r="XCJ39" s="3"/>
      <c r="XCK39" s="3"/>
      <c r="XCL39" s="3"/>
      <c r="XCM39" s="3"/>
      <c r="XCN39" s="3"/>
      <c r="XCO39" s="3"/>
      <c r="XCP39" s="3"/>
      <c r="XCQ39" s="3"/>
      <c r="XCR39" s="3"/>
      <c r="XCS39" s="3"/>
      <c r="XCT39" s="3"/>
      <c r="XCU39" s="3"/>
      <c r="XCV39" s="3"/>
      <c r="XCW39" s="3"/>
      <c r="XCX39" s="3"/>
      <c r="XCY39" s="3"/>
      <c r="XCZ39" s="3"/>
      <c r="XDA39" s="3"/>
      <c r="XDB39" s="3"/>
      <c r="XDC39" s="3"/>
      <c r="XDD39" s="3"/>
      <c r="XDE39" s="3"/>
      <c r="XDF39" s="3"/>
      <c r="XDG39" s="3"/>
      <c r="XDH39" s="3"/>
      <c r="XDI39" s="3"/>
      <c r="XDJ39" s="3"/>
      <c r="XDK39" s="3"/>
      <c r="XDL39" s="3"/>
      <c r="XDM39" s="3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</row>
    <row r="40" customHeight="1" spans="1:8">
      <c r="A40" s="122" t="s">
        <v>127</v>
      </c>
      <c r="B40" s="122" t="s">
        <v>598</v>
      </c>
      <c r="C40" s="122" t="s">
        <v>592</v>
      </c>
      <c r="D40" s="122" t="s">
        <v>595</v>
      </c>
      <c r="E40" s="122" t="s">
        <v>597</v>
      </c>
      <c r="F40" s="122" t="s">
        <v>583</v>
      </c>
      <c r="G40" s="122" t="s">
        <v>584</v>
      </c>
      <c r="H40" s="25" t="s">
        <v>547</v>
      </c>
    </row>
    <row r="41" customHeight="1" spans="1:8">
      <c r="A41" s="122" t="s">
        <v>131</v>
      </c>
      <c r="B41" s="122" t="s">
        <v>598</v>
      </c>
      <c r="C41" s="122" t="s">
        <v>592</v>
      </c>
      <c r="D41" s="122" t="s">
        <v>595</v>
      </c>
      <c r="E41" s="122" t="s">
        <v>597</v>
      </c>
      <c r="F41" s="122" t="s">
        <v>583</v>
      </c>
      <c r="G41" s="122" t="s">
        <v>584</v>
      </c>
      <c r="H41" s="25" t="s">
        <v>547</v>
      </c>
    </row>
    <row r="42" customHeight="1" spans="1:8">
      <c r="A42" s="106" t="s">
        <v>138</v>
      </c>
      <c r="B42" s="122" t="s">
        <v>598</v>
      </c>
      <c r="C42" s="122" t="s">
        <v>592</v>
      </c>
      <c r="D42" s="122" t="s">
        <v>595</v>
      </c>
      <c r="E42" s="122" t="s">
        <v>597</v>
      </c>
      <c r="F42" s="122" t="s">
        <v>583</v>
      </c>
      <c r="G42" s="122" t="s">
        <v>584</v>
      </c>
      <c r="H42" s="25" t="s">
        <v>547</v>
      </c>
    </row>
    <row r="43" customHeight="1" spans="1:8">
      <c r="A43" s="122" t="s">
        <v>140</v>
      </c>
      <c r="B43" s="122" t="s">
        <v>598</v>
      </c>
      <c r="C43" s="122" t="s">
        <v>592</v>
      </c>
      <c r="D43" s="122" t="s">
        <v>595</v>
      </c>
      <c r="E43" s="122" t="s">
        <v>597</v>
      </c>
      <c r="F43" s="122" t="s">
        <v>583</v>
      </c>
      <c r="G43" s="122" t="s">
        <v>584</v>
      </c>
      <c r="H43" s="25" t="s">
        <v>547</v>
      </c>
    </row>
    <row r="44" customHeight="1" spans="1:8">
      <c r="A44" s="122" t="s">
        <v>144</v>
      </c>
      <c r="B44" s="122" t="s">
        <v>598</v>
      </c>
      <c r="C44" s="122" t="s">
        <v>592</v>
      </c>
      <c r="D44" s="122" t="s">
        <v>595</v>
      </c>
      <c r="E44" s="122" t="s">
        <v>597</v>
      </c>
      <c r="F44" s="122" t="s">
        <v>583</v>
      </c>
      <c r="G44" s="122" t="s">
        <v>584</v>
      </c>
      <c r="H44" s="25" t="s">
        <v>547</v>
      </c>
    </row>
    <row r="45" customHeight="1" spans="1:8">
      <c r="A45" s="124" t="s">
        <v>150</v>
      </c>
      <c r="B45" s="122" t="s">
        <v>598</v>
      </c>
      <c r="C45" s="122" t="s">
        <v>592</v>
      </c>
      <c r="D45" s="122" t="s">
        <v>595</v>
      </c>
      <c r="E45" s="122" t="s">
        <v>597</v>
      </c>
      <c r="F45" s="122" t="s">
        <v>583</v>
      </c>
      <c r="G45" s="122" t="s">
        <v>584</v>
      </c>
      <c r="H45" s="25" t="s">
        <v>547</v>
      </c>
    </row>
    <row r="46" customHeight="1" spans="1:8">
      <c r="A46" s="121"/>
      <c r="B46" s="106"/>
      <c r="C46" s="106"/>
      <c r="D46" s="106" t="s">
        <v>599</v>
      </c>
      <c r="E46" s="106"/>
      <c r="F46" s="106"/>
      <c r="G46" s="106"/>
      <c r="H46" s="106"/>
    </row>
    <row r="47" customHeight="1" spans="1:8">
      <c r="A47" s="122" t="s">
        <v>152</v>
      </c>
      <c r="B47" s="122" t="s">
        <v>598</v>
      </c>
      <c r="C47" s="122" t="s">
        <v>592</v>
      </c>
      <c r="D47" s="122" t="s">
        <v>595</v>
      </c>
      <c r="E47" s="122" t="s">
        <v>597</v>
      </c>
      <c r="F47" s="122" t="s">
        <v>583</v>
      </c>
      <c r="G47" s="122" t="s">
        <v>584</v>
      </c>
      <c r="H47" s="25" t="s">
        <v>547</v>
      </c>
    </row>
    <row r="48" customHeight="1" spans="1:8">
      <c r="A48" s="122"/>
      <c r="B48" s="25"/>
      <c r="C48" s="25"/>
      <c r="D48" s="25" t="s">
        <v>599</v>
      </c>
      <c r="E48" s="25"/>
      <c r="F48" s="25"/>
      <c r="G48" s="25"/>
      <c r="H48" s="25"/>
    </row>
    <row r="49" customHeight="1" spans="1:8">
      <c r="A49" s="122" t="s">
        <v>155</v>
      </c>
      <c r="B49" s="122" t="s">
        <v>598</v>
      </c>
      <c r="C49" s="122" t="s">
        <v>592</v>
      </c>
      <c r="D49" s="122" t="s">
        <v>599</v>
      </c>
      <c r="E49" s="122" t="s">
        <v>597</v>
      </c>
      <c r="F49" s="122" t="s">
        <v>583</v>
      </c>
      <c r="G49" s="122" t="s">
        <v>584</v>
      </c>
      <c r="H49" s="25" t="s">
        <v>547</v>
      </c>
    </row>
    <row r="50" customHeight="1" spans="1:8">
      <c r="A50" s="122"/>
      <c r="B50" s="25" t="s">
        <v>600</v>
      </c>
      <c r="C50" s="25"/>
      <c r="D50" s="25"/>
      <c r="E50" s="25"/>
      <c r="F50" s="25"/>
      <c r="G50" s="25"/>
      <c r="H50" s="25"/>
    </row>
    <row r="51" customHeight="1" spans="1:8">
      <c r="A51" s="122" t="s">
        <v>159</v>
      </c>
      <c r="B51" s="122" t="s">
        <v>600</v>
      </c>
      <c r="C51" s="122" t="s">
        <v>592</v>
      </c>
      <c r="D51" s="122" t="s">
        <v>599</v>
      </c>
      <c r="E51" s="122" t="s">
        <v>597</v>
      </c>
      <c r="F51" s="122" t="s">
        <v>583</v>
      </c>
      <c r="G51" s="122" t="s">
        <v>584</v>
      </c>
      <c r="H51" s="25" t="s">
        <v>547</v>
      </c>
    </row>
    <row r="52" customHeight="1" spans="1:8">
      <c r="A52" s="124" t="s">
        <v>165</v>
      </c>
      <c r="B52" s="122" t="s">
        <v>600</v>
      </c>
      <c r="C52" s="122" t="s">
        <v>592</v>
      </c>
      <c r="D52" s="122" t="s">
        <v>595</v>
      </c>
      <c r="E52" s="122" t="s">
        <v>597</v>
      </c>
      <c r="F52" s="122" t="s">
        <v>583</v>
      </c>
      <c r="G52" s="122" t="s">
        <v>584</v>
      </c>
      <c r="H52" s="25" t="s">
        <v>547</v>
      </c>
    </row>
    <row r="53" customHeight="1" spans="1:8">
      <c r="A53" s="121"/>
      <c r="B53" s="25"/>
      <c r="C53" s="25"/>
      <c r="D53" s="25" t="s">
        <v>599</v>
      </c>
      <c r="E53" s="25"/>
      <c r="F53" s="25"/>
      <c r="G53" s="25"/>
      <c r="H53" s="25"/>
    </row>
    <row r="54" customHeight="1" spans="1:8">
      <c r="A54" s="124" t="s">
        <v>169</v>
      </c>
      <c r="B54" s="122" t="s">
        <v>600</v>
      </c>
      <c r="C54" s="122" t="s">
        <v>592</v>
      </c>
      <c r="D54" s="25" t="s">
        <v>599</v>
      </c>
      <c r="E54" s="122" t="s">
        <v>597</v>
      </c>
      <c r="F54" s="122" t="s">
        <v>583</v>
      </c>
      <c r="G54" s="122" t="s">
        <v>584</v>
      </c>
      <c r="H54" s="25" t="s">
        <v>547</v>
      </c>
    </row>
    <row r="55" customHeight="1" spans="1:8">
      <c r="A55" s="124" t="s">
        <v>171</v>
      </c>
      <c r="B55" s="122" t="s">
        <v>600</v>
      </c>
      <c r="C55" s="122" t="s">
        <v>592</v>
      </c>
      <c r="D55" s="25" t="s">
        <v>599</v>
      </c>
      <c r="E55" s="122" t="s">
        <v>597</v>
      </c>
      <c r="F55" s="122" t="s">
        <v>583</v>
      </c>
      <c r="G55" s="122" t="s">
        <v>584</v>
      </c>
      <c r="H55" s="25" t="s">
        <v>547</v>
      </c>
    </row>
    <row r="56" customHeight="1" spans="1:8">
      <c r="A56" s="121"/>
      <c r="B56" s="25"/>
      <c r="C56" s="25"/>
      <c r="D56" s="25" t="s">
        <v>601</v>
      </c>
      <c r="E56" s="25" t="s">
        <v>602</v>
      </c>
      <c r="F56" s="25"/>
      <c r="G56" s="25"/>
      <c r="H56" s="25"/>
    </row>
    <row r="57" customHeight="1" spans="1:8">
      <c r="A57" s="124" t="s">
        <v>177</v>
      </c>
      <c r="B57" s="122" t="s">
        <v>600</v>
      </c>
      <c r="C57" s="122" t="s">
        <v>592</v>
      </c>
      <c r="D57" s="25" t="s">
        <v>601</v>
      </c>
      <c r="E57" s="25" t="s">
        <v>602</v>
      </c>
      <c r="F57" s="122" t="s">
        <v>583</v>
      </c>
      <c r="G57" s="122" t="s">
        <v>584</v>
      </c>
      <c r="H57" s="25" t="s">
        <v>603</v>
      </c>
    </row>
    <row r="58" customHeight="1" spans="1:8">
      <c r="A58" s="124" t="s">
        <v>181</v>
      </c>
      <c r="B58" s="122" t="s">
        <v>600</v>
      </c>
      <c r="C58" s="122" t="s">
        <v>592</v>
      </c>
      <c r="D58" s="25" t="s">
        <v>601</v>
      </c>
      <c r="E58" s="25" t="s">
        <v>602</v>
      </c>
      <c r="F58" s="122" t="s">
        <v>583</v>
      </c>
      <c r="G58" s="122" t="s">
        <v>584</v>
      </c>
      <c r="H58" s="25"/>
    </row>
    <row r="59" customHeight="1" spans="1:8">
      <c r="A59" s="122" t="s">
        <v>182</v>
      </c>
      <c r="B59" s="122" t="s">
        <v>600</v>
      </c>
      <c r="C59" s="122" t="s">
        <v>592</v>
      </c>
      <c r="D59" s="25" t="s">
        <v>601</v>
      </c>
      <c r="E59" s="25" t="s">
        <v>602</v>
      </c>
      <c r="F59" s="122" t="s">
        <v>583</v>
      </c>
      <c r="G59" s="122" t="s">
        <v>584</v>
      </c>
      <c r="H59" s="25"/>
    </row>
    <row r="60" customHeight="1" spans="1:8">
      <c r="A60" s="124" t="s">
        <v>185</v>
      </c>
      <c r="B60" s="122" t="s">
        <v>600</v>
      </c>
      <c r="C60" s="122" t="s">
        <v>592</v>
      </c>
      <c r="D60" s="25" t="s">
        <v>595</v>
      </c>
      <c r="E60" s="122" t="s">
        <v>597</v>
      </c>
      <c r="F60" s="122" t="s">
        <v>583</v>
      </c>
      <c r="G60" s="122" t="s">
        <v>584</v>
      </c>
      <c r="H60" s="25"/>
    </row>
    <row r="61" customHeight="1" spans="1:8">
      <c r="A61" s="125"/>
      <c r="B61" s="122"/>
      <c r="C61" s="122"/>
      <c r="D61" s="25" t="s">
        <v>599</v>
      </c>
      <c r="E61" s="25" t="s">
        <v>602</v>
      </c>
      <c r="F61" s="122"/>
      <c r="G61" s="122"/>
      <c r="H61" s="25"/>
    </row>
    <row r="62" customHeight="1" spans="1:8">
      <c r="A62" s="121"/>
      <c r="B62" s="122"/>
      <c r="C62" s="122"/>
      <c r="D62" s="25" t="s">
        <v>601</v>
      </c>
      <c r="E62" s="25"/>
      <c r="F62" s="122"/>
      <c r="G62" s="122"/>
      <c r="H62" s="25"/>
    </row>
    <row r="63" customHeight="1" spans="1:8">
      <c r="A63" s="122" t="s">
        <v>189</v>
      </c>
      <c r="B63" s="122" t="s">
        <v>600</v>
      </c>
      <c r="C63" s="122" t="s">
        <v>592</v>
      </c>
      <c r="D63" s="25" t="s">
        <v>601</v>
      </c>
      <c r="E63" s="25" t="s">
        <v>602</v>
      </c>
      <c r="F63" s="122" t="s">
        <v>583</v>
      </c>
      <c r="G63" s="122" t="s">
        <v>584</v>
      </c>
      <c r="H63" s="25"/>
    </row>
    <row r="64" customHeight="1" spans="1:8">
      <c r="A64" s="122" t="s">
        <v>192</v>
      </c>
      <c r="B64" s="122" t="s">
        <v>600</v>
      </c>
      <c r="C64" s="122" t="s">
        <v>592</v>
      </c>
      <c r="D64" s="25" t="s">
        <v>601</v>
      </c>
      <c r="E64" s="25" t="s">
        <v>602</v>
      </c>
      <c r="F64" s="122" t="s">
        <v>583</v>
      </c>
      <c r="G64" s="122" t="s">
        <v>584</v>
      </c>
      <c r="H64" s="25"/>
    </row>
    <row r="65" customHeight="1" spans="1:8">
      <c r="A65" s="122" t="s">
        <v>196</v>
      </c>
      <c r="B65" s="122" t="s">
        <v>600</v>
      </c>
      <c r="C65" s="122" t="s">
        <v>592</v>
      </c>
      <c r="D65" s="25" t="s">
        <v>601</v>
      </c>
      <c r="E65" s="25" t="s">
        <v>602</v>
      </c>
      <c r="F65" s="122" t="s">
        <v>583</v>
      </c>
      <c r="G65" s="122" t="s">
        <v>584</v>
      </c>
      <c r="H65" s="25"/>
    </row>
    <row r="66" customHeight="1" spans="1:8">
      <c r="A66" s="122" t="s">
        <v>197</v>
      </c>
      <c r="B66" s="122" t="s">
        <v>600</v>
      </c>
      <c r="C66" s="122" t="s">
        <v>592</v>
      </c>
      <c r="D66" s="25" t="s">
        <v>601</v>
      </c>
      <c r="E66" s="25" t="s">
        <v>602</v>
      </c>
      <c r="F66" s="122" t="s">
        <v>583</v>
      </c>
      <c r="G66" s="122" t="s">
        <v>584</v>
      </c>
      <c r="H66" s="25"/>
    </row>
    <row r="67" customHeight="1" spans="1:8">
      <c r="A67" s="122"/>
      <c r="B67" s="25"/>
      <c r="C67" s="25" t="s">
        <v>604</v>
      </c>
      <c r="D67" s="25"/>
      <c r="E67" s="25"/>
      <c r="F67" s="25"/>
      <c r="G67" s="25"/>
      <c r="H67" s="25"/>
    </row>
    <row r="68" customHeight="1" spans="1:8">
      <c r="A68" s="25" t="s">
        <v>200</v>
      </c>
      <c r="B68" s="122" t="s">
        <v>600</v>
      </c>
      <c r="C68" s="122" t="s">
        <v>604</v>
      </c>
      <c r="D68" s="25" t="s">
        <v>601</v>
      </c>
      <c r="E68" s="25" t="s">
        <v>602</v>
      </c>
      <c r="F68" s="122" t="s">
        <v>605</v>
      </c>
      <c r="G68" s="122" t="s">
        <v>584</v>
      </c>
      <c r="H68" s="25" t="s">
        <v>606</v>
      </c>
    </row>
    <row r="69" customHeight="1" spans="1:8">
      <c r="A69" s="25" t="s">
        <v>203</v>
      </c>
      <c r="B69" s="122" t="s">
        <v>600</v>
      </c>
      <c r="C69" s="122" t="s">
        <v>604</v>
      </c>
      <c r="D69" s="25" t="s">
        <v>601</v>
      </c>
      <c r="E69" s="25" t="s">
        <v>602</v>
      </c>
      <c r="F69" s="122" t="s">
        <v>605</v>
      </c>
      <c r="G69" s="122" t="s">
        <v>584</v>
      </c>
      <c r="H69" s="25"/>
    </row>
    <row r="70" customHeight="1" spans="1:8">
      <c r="A70" s="131" t="s">
        <v>206</v>
      </c>
      <c r="B70" s="122" t="s">
        <v>600</v>
      </c>
      <c r="C70" s="122" t="s">
        <v>604</v>
      </c>
      <c r="D70" s="25" t="s">
        <v>601</v>
      </c>
      <c r="E70" s="25" t="s">
        <v>602</v>
      </c>
      <c r="F70" s="122" t="s">
        <v>605</v>
      </c>
      <c r="G70" s="122" t="s">
        <v>584</v>
      </c>
      <c r="H70" s="25"/>
    </row>
    <row r="71" customHeight="1" spans="1:8">
      <c r="A71" s="131"/>
      <c r="B71" s="25" t="s">
        <v>607</v>
      </c>
      <c r="C71" s="25"/>
      <c r="D71" s="25"/>
      <c r="E71" s="25"/>
      <c r="F71" s="25"/>
      <c r="G71" s="25"/>
      <c r="H71" s="25"/>
    </row>
    <row r="72" customHeight="1" spans="1:8">
      <c r="A72" s="131" t="s">
        <v>210</v>
      </c>
      <c r="B72" s="122" t="s">
        <v>607</v>
      </c>
      <c r="C72" s="122" t="s">
        <v>604</v>
      </c>
      <c r="D72" s="25" t="s">
        <v>601</v>
      </c>
      <c r="E72" s="25" t="s">
        <v>602</v>
      </c>
      <c r="F72" s="122" t="s">
        <v>605</v>
      </c>
      <c r="G72" s="122" t="s">
        <v>584</v>
      </c>
      <c r="H72" s="25"/>
    </row>
    <row r="73" customHeight="1" spans="1:8">
      <c r="A73" s="131"/>
      <c r="B73" s="122"/>
      <c r="C73" s="122"/>
      <c r="D73" s="25" t="s">
        <v>608</v>
      </c>
      <c r="E73" s="25"/>
      <c r="F73" s="122"/>
      <c r="G73" s="122"/>
      <c r="H73" s="25"/>
    </row>
    <row r="74" customHeight="1" spans="1:8">
      <c r="A74" s="131" t="s">
        <v>213</v>
      </c>
      <c r="B74" s="122" t="s">
        <v>607</v>
      </c>
      <c r="C74" s="122" t="s">
        <v>604</v>
      </c>
      <c r="D74" s="25" t="s">
        <v>608</v>
      </c>
      <c r="E74" s="25" t="s">
        <v>602</v>
      </c>
      <c r="F74" s="122" t="s">
        <v>609</v>
      </c>
      <c r="G74" s="122" t="s">
        <v>584</v>
      </c>
      <c r="H74" s="25" t="s">
        <v>610</v>
      </c>
    </row>
    <row r="75" customHeight="1" spans="1:8">
      <c r="A75" s="131" t="s">
        <v>218</v>
      </c>
      <c r="B75" s="122" t="s">
        <v>607</v>
      </c>
      <c r="C75" s="122" t="s">
        <v>604</v>
      </c>
      <c r="D75" s="25" t="s">
        <v>608</v>
      </c>
      <c r="E75" s="25" t="s">
        <v>602</v>
      </c>
      <c r="F75" s="122" t="s">
        <v>609</v>
      </c>
      <c r="G75" s="122" t="s">
        <v>584</v>
      </c>
      <c r="H75" s="25" t="s">
        <v>547</v>
      </c>
    </row>
    <row r="76" customHeight="1" spans="1:8">
      <c r="A76" s="25" t="s">
        <v>221</v>
      </c>
      <c r="B76" s="122" t="s">
        <v>607</v>
      </c>
      <c r="C76" s="122" t="s">
        <v>604</v>
      </c>
      <c r="D76" s="25" t="s">
        <v>608</v>
      </c>
      <c r="E76" s="25" t="s">
        <v>602</v>
      </c>
      <c r="F76" s="122" t="s">
        <v>609</v>
      </c>
      <c r="G76" s="122" t="s">
        <v>584</v>
      </c>
      <c r="H76" s="25"/>
    </row>
    <row r="77" customHeight="1" spans="1:8">
      <c r="A77" s="25"/>
      <c r="B77" s="25"/>
      <c r="C77" s="25"/>
      <c r="D77" s="25" t="s">
        <v>611</v>
      </c>
      <c r="E77" s="25" t="s">
        <v>612</v>
      </c>
      <c r="F77" s="25"/>
      <c r="G77" s="25" t="s">
        <v>613</v>
      </c>
      <c r="H77" s="25"/>
    </row>
    <row r="78" customHeight="1" spans="1:8">
      <c r="A78" s="25" t="s">
        <v>223</v>
      </c>
      <c r="B78" s="122" t="s">
        <v>607</v>
      </c>
      <c r="C78" s="122" t="s">
        <v>604</v>
      </c>
      <c r="D78" s="25" t="s">
        <v>611</v>
      </c>
      <c r="E78" s="25" t="s">
        <v>612</v>
      </c>
      <c r="F78" s="122" t="s">
        <v>609</v>
      </c>
      <c r="G78" s="122" t="s">
        <v>584</v>
      </c>
      <c r="H78" s="25"/>
    </row>
    <row r="79" s="1" customFormat="1" customHeight="1" spans="1:8">
      <c r="A79" s="30"/>
      <c r="B79" s="30"/>
      <c r="C79" s="30"/>
      <c r="D79" s="30"/>
      <c r="E79" s="30"/>
      <c r="F79" s="30"/>
      <c r="G79" s="30"/>
      <c r="H79" s="30"/>
    </row>
    <row r="80" customHeight="1" spans="1:8">
      <c r="A80" s="25" t="s">
        <v>226</v>
      </c>
      <c r="B80" s="122" t="s">
        <v>607</v>
      </c>
      <c r="C80" s="122" t="s">
        <v>604</v>
      </c>
      <c r="D80" s="25" t="s">
        <v>601</v>
      </c>
      <c r="E80" s="25" t="s">
        <v>602</v>
      </c>
      <c r="F80" s="122" t="s">
        <v>609</v>
      </c>
      <c r="G80" s="122" t="s">
        <v>613</v>
      </c>
      <c r="H80" s="25" t="s">
        <v>547</v>
      </c>
    </row>
    <row r="81" customHeight="1" spans="1:8">
      <c r="A81" s="25"/>
      <c r="B81" s="122"/>
      <c r="C81" s="122"/>
      <c r="D81" s="25" t="s">
        <v>611</v>
      </c>
      <c r="E81" s="25" t="s">
        <v>612</v>
      </c>
      <c r="F81" s="122"/>
      <c r="G81" s="122"/>
      <c r="H81" s="25"/>
    </row>
    <row r="82" customHeight="1" spans="1:8">
      <c r="A82" s="25" t="s">
        <v>228</v>
      </c>
      <c r="B82" s="122" t="s">
        <v>607</v>
      </c>
      <c r="C82" s="122" t="s">
        <v>604</v>
      </c>
      <c r="D82" s="25" t="s">
        <v>611</v>
      </c>
      <c r="E82" s="25" t="s">
        <v>612</v>
      </c>
      <c r="F82" s="122" t="s">
        <v>609</v>
      </c>
      <c r="G82" s="122" t="s">
        <v>613</v>
      </c>
      <c r="H82" s="25" t="s">
        <v>547</v>
      </c>
    </row>
    <row r="83" customHeight="1" spans="1:8">
      <c r="A83" s="25" t="s">
        <v>230</v>
      </c>
      <c r="B83" s="122" t="s">
        <v>607</v>
      </c>
      <c r="C83" s="122" t="s">
        <v>604</v>
      </c>
      <c r="D83" s="25" t="s">
        <v>611</v>
      </c>
      <c r="E83" s="25" t="s">
        <v>612</v>
      </c>
      <c r="F83" s="122" t="s">
        <v>609</v>
      </c>
      <c r="G83" s="122" t="s">
        <v>613</v>
      </c>
      <c r="H83" s="25" t="s">
        <v>547</v>
      </c>
    </row>
    <row r="84" customHeight="1" spans="1:8">
      <c r="A84" s="25" t="s">
        <v>233</v>
      </c>
      <c r="B84" s="122" t="s">
        <v>607</v>
      </c>
      <c r="C84" s="122" t="s">
        <v>604</v>
      </c>
      <c r="D84" s="25" t="s">
        <v>611</v>
      </c>
      <c r="E84" s="25" t="s">
        <v>612</v>
      </c>
      <c r="F84" s="122" t="s">
        <v>609</v>
      </c>
      <c r="G84" s="122" t="s">
        <v>613</v>
      </c>
      <c r="H84" s="25" t="s">
        <v>547</v>
      </c>
    </row>
    <row r="85" customHeight="1" spans="1:8">
      <c r="A85" s="25" t="s">
        <v>237</v>
      </c>
      <c r="B85" s="122" t="s">
        <v>607</v>
      </c>
      <c r="C85" s="122" t="s">
        <v>604</v>
      </c>
      <c r="D85" s="25" t="s">
        <v>611</v>
      </c>
      <c r="E85" s="25" t="s">
        <v>612</v>
      </c>
      <c r="F85" s="122" t="s">
        <v>609</v>
      </c>
      <c r="G85" s="122" t="s">
        <v>613</v>
      </c>
      <c r="H85" s="25" t="s">
        <v>614</v>
      </c>
    </row>
    <row r="86" customHeight="1" spans="1:8">
      <c r="A86" s="25" t="s">
        <v>239</v>
      </c>
      <c r="B86" s="122" t="s">
        <v>607</v>
      </c>
      <c r="C86" s="122" t="s">
        <v>604</v>
      </c>
      <c r="D86" s="25" t="s">
        <v>601</v>
      </c>
      <c r="E86" s="25" t="s">
        <v>602</v>
      </c>
      <c r="F86" s="122" t="s">
        <v>609</v>
      </c>
      <c r="G86" s="122" t="s">
        <v>613</v>
      </c>
      <c r="H86" s="25"/>
    </row>
    <row r="87" customHeight="1" spans="1:8">
      <c r="A87" s="25"/>
      <c r="B87" s="25"/>
      <c r="C87" s="25" t="s">
        <v>615</v>
      </c>
      <c r="D87" s="25" t="s">
        <v>608</v>
      </c>
      <c r="E87" s="25" t="s">
        <v>612</v>
      </c>
      <c r="F87" s="25"/>
      <c r="G87" s="25"/>
      <c r="H87" s="25"/>
    </row>
    <row r="88" customHeight="1" spans="1:8">
      <c r="A88" s="25"/>
      <c r="B88" s="25"/>
      <c r="C88" s="25"/>
      <c r="D88" s="25" t="s">
        <v>611</v>
      </c>
      <c r="E88" s="25"/>
      <c r="F88" s="25"/>
      <c r="G88" s="25"/>
      <c r="H88" s="25"/>
    </row>
    <row r="89" customHeight="1" spans="1:8">
      <c r="A89" s="25" t="s">
        <v>242</v>
      </c>
      <c r="B89" s="122" t="s">
        <v>607</v>
      </c>
      <c r="C89" s="122" t="s">
        <v>615</v>
      </c>
      <c r="D89" s="25" t="s">
        <v>611</v>
      </c>
      <c r="E89" s="25" t="s">
        <v>612</v>
      </c>
      <c r="F89" s="122" t="s">
        <v>609</v>
      </c>
      <c r="G89" s="122" t="s">
        <v>613</v>
      </c>
      <c r="H89" s="25"/>
    </row>
    <row r="90" customHeight="1" spans="1:8">
      <c r="A90" s="25" t="s">
        <v>244</v>
      </c>
      <c r="B90" s="122" t="s">
        <v>607</v>
      </c>
      <c r="C90" s="122" t="s">
        <v>615</v>
      </c>
      <c r="D90" s="25" t="s">
        <v>611</v>
      </c>
      <c r="E90" s="25" t="s">
        <v>612</v>
      </c>
      <c r="F90" s="122" t="s">
        <v>609</v>
      </c>
      <c r="G90" s="122" t="s">
        <v>613</v>
      </c>
      <c r="H90" s="25" t="s">
        <v>616</v>
      </c>
    </row>
    <row r="91" customHeight="1" spans="1:8">
      <c r="A91" s="25" t="s">
        <v>246</v>
      </c>
      <c r="B91" s="122" t="s">
        <v>607</v>
      </c>
      <c r="C91" s="122" t="s">
        <v>615</v>
      </c>
      <c r="D91" s="25" t="s">
        <v>617</v>
      </c>
      <c r="E91" s="25" t="s">
        <v>618</v>
      </c>
      <c r="F91" s="122" t="s">
        <v>609</v>
      </c>
      <c r="G91" s="122" t="s">
        <v>613</v>
      </c>
      <c r="H91" s="25" t="s">
        <v>547</v>
      </c>
    </row>
    <row r="92" customHeight="1" spans="1:8">
      <c r="A92" s="25" t="s">
        <v>248</v>
      </c>
      <c r="B92" s="122" t="s">
        <v>607</v>
      </c>
      <c r="C92" s="122" t="s">
        <v>615</v>
      </c>
      <c r="D92" s="25" t="s">
        <v>617</v>
      </c>
      <c r="E92" s="25" t="s">
        <v>618</v>
      </c>
      <c r="F92" s="122" t="s">
        <v>609</v>
      </c>
      <c r="G92" s="122" t="s">
        <v>613</v>
      </c>
      <c r="H92" s="25" t="s">
        <v>547</v>
      </c>
    </row>
    <row r="93" customHeight="1" spans="1:8">
      <c r="A93" s="25" t="s">
        <v>252</v>
      </c>
      <c r="B93" s="122" t="s">
        <v>607</v>
      </c>
      <c r="C93" s="122" t="s">
        <v>615</v>
      </c>
      <c r="D93" s="25" t="s">
        <v>617</v>
      </c>
      <c r="E93" s="25" t="s">
        <v>618</v>
      </c>
      <c r="F93" s="122" t="s">
        <v>609</v>
      </c>
      <c r="G93" s="122" t="s">
        <v>613</v>
      </c>
      <c r="H93" s="25" t="s">
        <v>547</v>
      </c>
    </row>
    <row r="94" customHeight="1" spans="1:8">
      <c r="A94" s="25" t="s">
        <v>257</v>
      </c>
      <c r="B94" s="122" t="s">
        <v>607</v>
      </c>
      <c r="C94" s="122" t="s">
        <v>615</v>
      </c>
      <c r="D94" s="25" t="s">
        <v>617</v>
      </c>
      <c r="E94" s="25" t="s">
        <v>618</v>
      </c>
      <c r="F94" s="122" t="s">
        <v>609</v>
      </c>
      <c r="G94" s="122" t="s">
        <v>613</v>
      </c>
      <c r="H94" s="25" t="s">
        <v>547</v>
      </c>
    </row>
    <row r="95" customHeight="1" spans="1:8">
      <c r="A95" s="25" t="s">
        <v>259</v>
      </c>
      <c r="B95" s="122" t="s">
        <v>607</v>
      </c>
      <c r="C95" s="122" t="s">
        <v>615</v>
      </c>
      <c r="D95" s="25" t="s">
        <v>617</v>
      </c>
      <c r="E95" s="25" t="s">
        <v>618</v>
      </c>
      <c r="F95" s="122" t="s">
        <v>609</v>
      </c>
      <c r="G95" s="122" t="s">
        <v>613</v>
      </c>
      <c r="H95" s="25" t="s">
        <v>547</v>
      </c>
    </row>
    <row r="96" customHeight="1" spans="1:8">
      <c r="A96" s="25" t="s">
        <v>261</v>
      </c>
      <c r="B96" s="122" t="s">
        <v>607</v>
      </c>
      <c r="C96" s="122" t="s">
        <v>615</v>
      </c>
      <c r="D96" s="25" t="s">
        <v>617</v>
      </c>
      <c r="E96" s="25" t="s">
        <v>618</v>
      </c>
      <c r="F96" s="122" t="s">
        <v>609</v>
      </c>
      <c r="G96" s="122" t="s">
        <v>613</v>
      </c>
      <c r="H96" s="25" t="s">
        <v>547</v>
      </c>
    </row>
    <row r="97" customHeight="1" spans="1:8">
      <c r="A97" s="25" t="s">
        <v>264</v>
      </c>
      <c r="B97" s="122" t="s">
        <v>607</v>
      </c>
      <c r="C97" s="122" t="s">
        <v>615</v>
      </c>
      <c r="D97" s="25" t="s">
        <v>617</v>
      </c>
      <c r="E97" s="25" t="s">
        <v>618</v>
      </c>
      <c r="F97" s="122" t="s">
        <v>609</v>
      </c>
      <c r="G97" s="122" t="s">
        <v>613</v>
      </c>
      <c r="H97" s="25" t="s">
        <v>547</v>
      </c>
    </row>
    <row r="98" customHeight="1" spans="1:8">
      <c r="A98" s="25" t="s">
        <v>266</v>
      </c>
      <c r="B98" s="122" t="s">
        <v>607</v>
      </c>
      <c r="C98" s="122" t="s">
        <v>615</v>
      </c>
      <c r="D98" s="25" t="s">
        <v>611</v>
      </c>
      <c r="E98" s="25" t="s">
        <v>612</v>
      </c>
      <c r="F98" s="122" t="s">
        <v>609</v>
      </c>
      <c r="G98" s="122" t="s">
        <v>613</v>
      </c>
      <c r="H98" s="25" t="s">
        <v>547</v>
      </c>
    </row>
    <row r="99" customHeight="1" spans="1:8">
      <c r="A99" s="25"/>
      <c r="B99" s="25"/>
      <c r="C99" s="25"/>
      <c r="D99" s="25" t="s">
        <v>617</v>
      </c>
      <c r="E99" s="25" t="s">
        <v>618</v>
      </c>
      <c r="F99" s="25"/>
      <c r="G99" s="25"/>
      <c r="H99" s="25"/>
    </row>
    <row r="100" customHeight="1" spans="1:8">
      <c r="A100" s="25" t="s">
        <v>268</v>
      </c>
      <c r="B100" s="122" t="s">
        <v>607</v>
      </c>
      <c r="C100" s="122" t="s">
        <v>615</v>
      </c>
      <c r="D100" s="25" t="s">
        <v>617</v>
      </c>
      <c r="E100" s="25" t="s">
        <v>618</v>
      </c>
      <c r="F100" s="122" t="s">
        <v>609</v>
      </c>
      <c r="G100" s="122" t="s">
        <v>613</v>
      </c>
      <c r="H100" s="25" t="s">
        <v>547</v>
      </c>
    </row>
    <row r="101" customHeight="1" spans="1:8">
      <c r="A101" s="25" t="s">
        <v>270</v>
      </c>
      <c r="B101" s="122" t="s">
        <v>607</v>
      </c>
      <c r="C101" s="122" t="s">
        <v>615</v>
      </c>
      <c r="D101" s="25" t="s">
        <v>617</v>
      </c>
      <c r="E101" s="25" t="s">
        <v>618</v>
      </c>
      <c r="F101" s="122" t="s">
        <v>609</v>
      </c>
      <c r="G101" s="122" t="s">
        <v>613</v>
      </c>
      <c r="H101" s="25" t="s">
        <v>547</v>
      </c>
    </row>
    <row r="102" customHeight="1" spans="1:8">
      <c r="A102" s="25" t="s">
        <v>272</v>
      </c>
      <c r="B102" s="122" t="s">
        <v>607</v>
      </c>
      <c r="C102" s="122" t="s">
        <v>615</v>
      </c>
      <c r="D102" s="25" t="s">
        <v>617</v>
      </c>
      <c r="E102" s="25" t="s">
        <v>618</v>
      </c>
      <c r="F102" s="122" t="s">
        <v>609</v>
      </c>
      <c r="G102" s="122" t="s">
        <v>613</v>
      </c>
      <c r="H102" s="25" t="s">
        <v>547</v>
      </c>
    </row>
    <row r="103" customHeight="1" spans="1:8">
      <c r="A103" s="25"/>
      <c r="B103" s="25"/>
      <c r="C103" s="25" t="s">
        <v>619</v>
      </c>
      <c r="D103" s="25"/>
      <c r="E103" s="25"/>
      <c r="F103" s="25"/>
      <c r="G103" s="25"/>
      <c r="H103" s="25"/>
    </row>
    <row r="104" customHeight="1" spans="1:8">
      <c r="A104" s="25" t="s">
        <v>275</v>
      </c>
      <c r="B104" s="122" t="s">
        <v>607</v>
      </c>
      <c r="C104" s="122" t="s">
        <v>619</v>
      </c>
      <c r="D104" s="25" t="s">
        <v>617</v>
      </c>
      <c r="E104" s="25" t="s">
        <v>618</v>
      </c>
      <c r="F104" s="122" t="s">
        <v>609</v>
      </c>
      <c r="G104" s="122" t="s">
        <v>613</v>
      </c>
      <c r="H104" s="25" t="s">
        <v>547</v>
      </c>
    </row>
    <row r="105" customHeight="1" spans="1:8">
      <c r="A105" s="25" t="s">
        <v>276</v>
      </c>
      <c r="B105" s="122" t="s">
        <v>607</v>
      </c>
      <c r="C105" s="122" t="s">
        <v>619</v>
      </c>
      <c r="D105" s="25" t="s">
        <v>617</v>
      </c>
      <c r="E105" s="25" t="s">
        <v>618</v>
      </c>
      <c r="F105" s="122" t="s">
        <v>609</v>
      </c>
      <c r="G105" s="122" t="s">
        <v>613</v>
      </c>
      <c r="H105" s="25" t="s">
        <v>547</v>
      </c>
    </row>
    <row r="106" customHeight="1" spans="1:8">
      <c r="A106" s="25" t="s">
        <v>278</v>
      </c>
      <c r="B106" s="122" t="s">
        <v>607</v>
      </c>
      <c r="C106" s="122" t="s">
        <v>619</v>
      </c>
      <c r="D106" s="25" t="s">
        <v>617</v>
      </c>
      <c r="E106" s="25" t="s">
        <v>618</v>
      </c>
      <c r="F106" s="122" t="s">
        <v>609</v>
      </c>
      <c r="G106" s="122" t="s">
        <v>613</v>
      </c>
      <c r="H106" s="25" t="s">
        <v>547</v>
      </c>
    </row>
    <row r="107" customHeight="1" spans="1:8">
      <c r="A107" s="29" t="s">
        <v>281</v>
      </c>
      <c r="B107" s="122" t="s">
        <v>607</v>
      </c>
      <c r="C107" s="122" t="s">
        <v>619</v>
      </c>
      <c r="D107" s="25" t="s">
        <v>617</v>
      </c>
      <c r="E107" s="25" t="s">
        <v>618</v>
      </c>
      <c r="F107" s="122" t="s">
        <v>609</v>
      </c>
      <c r="G107" s="122" t="s">
        <v>613</v>
      </c>
      <c r="H107" s="25" t="s">
        <v>547</v>
      </c>
    </row>
    <row r="108" customHeight="1" spans="1:8">
      <c r="A108" s="132"/>
      <c r="B108" s="122" t="s">
        <v>620</v>
      </c>
      <c r="C108" s="122"/>
      <c r="D108" s="25"/>
      <c r="E108" s="25"/>
      <c r="F108" s="122"/>
      <c r="G108" s="122"/>
      <c r="H108" s="25"/>
    </row>
    <row r="109" customHeight="1" spans="1:8">
      <c r="A109" s="133" t="s">
        <v>283</v>
      </c>
      <c r="B109" s="122" t="s">
        <v>607</v>
      </c>
      <c r="C109" s="122" t="s">
        <v>619</v>
      </c>
      <c r="D109" s="25" t="s">
        <v>617</v>
      </c>
      <c r="E109" s="25" t="s">
        <v>618</v>
      </c>
      <c r="F109" s="122" t="s">
        <v>609</v>
      </c>
      <c r="G109" s="122" t="s">
        <v>613</v>
      </c>
      <c r="H109" s="25" t="s">
        <v>547</v>
      </c>
    </row>
    <row r="110" customHeight="1" spans="1:8">
      <c r="A110" s="134"/>
      <c r="B110" s="122" t="s">
        <v>620</v>
      </c>
      <c r="C110" s="122"/>
      <c r="D110" s="25" t="s">
        <v>621</v>
      </c>
      <c r="E110" s="25"/>
      <c r="F110" s="122"/>
      <c r="G110" s="122"/>
      <c r="H110" s="25"/>
    </row>
    <row r="111" customHeight="1" spans="1:8">
      <c r="A111" s="133" t="s">
        <v>284</v>
      </c>
      <c r="B111" s="122" t="s">
        <v>620</v>
      </c>
      <c r="C111" s="122" t="s">
        <v>619</v>
      </c>
      <c r="D111" s="25" t="s">
        <v>617</v>
      </c>
      <c r="E111" s="25" t="s">
        <v>618</v>
      </c>
      <c r="F111" s="122" t="s">
        <v>609</v>
      </c>
      <c r="G111" s="122" t="s">
        <v>613</v>
      </c>
      <c r="H111" s="25" t="s">
        <v>547</v>
      </c>
    </row>
    <row r="112" customHeight="1" spans="1:8">
      <c r="A112" s="134"/>
      <c r="B112" s="122"/>
      <c r="C112" s="122"/>
      <c r="D112" s="25"/>
      <c r="E112" s="25" t="s">
        <v>622</v>
      </c>
      <c r="F112" s="122"/>
      <c r="G112" s="122"/>
      <c r="H112" s="25"/>
    </row>
    <row r="113" customHeight="1" spans="1:8">
      <c r="A113" s="25" t="s">
        <v>287</v>
      </c>
      <c r="B113" s="122" t="s">
        <v>623</v>
      </c>
      <c r="C113" s="122" t="s">
        <v>624</v>
      </c>
      <c r="D113" s="25" t="s">
        <v>621</v>
      </c>
      <c r="E113" s="25" t="s">
        <v>622</v>
      </c>
      <c r="F113" s="122" t="s">
        <v>609</v>
      </c>
      <c r="G113" s="122" t="s">
        <v>613</v>
      </c>
      <c r="H113" s="25" t="s">
        <v>547</v>
      </c>
    </row>
    <row r="114" customHeight="1" spans="1:8">
      <c r="A114" s="25" t="s">
        <v>291</v>
      </c>
      <c r="B114" s="122" t="s">
        <v>623</v>
      </c>
      <c r="C114" s="122" t="s">
        <v>624</v>
      </c>
      <c r="D114" s="25" t="s">
        <v>621</v>
      </c>
      <c r="E114" s="25" t="s">
        <v>622</v>
      </c>
      <c r="F114" s="122" t="s">
        <v>609</v>
      </c>
      <c r="G114" s="122" t="s">
        <v>613</v>
      </c>
      <c r="H114" s="25" t="s">
        <v>547</v>
      </c>
    </row>
    <row r="115" customHeight="1" spans="1:8">
      <c r="A115" s="25" t="s">
        <v>292</v>
      </c>
      <c r="B115" s="122" t="s">
        <v>623</v>
      </c>
      <c r="C115" s="122" t="s">
        <v>624</v>
      </c>
      <c r="D115" s="25" t="s">
        <v>621</v>
      </c>
      <c r="E115" s="25" t="s">
        <v>622</v>
      </c>
      <c r="F115" s="122" t="s">
        <v>609</v>
      </c>
      <c r="G115" s="122" t="s">
        <v>613</v>
      </c>
      <c r="H115" s="25" t="s">
        <v>547</v>
      </c>
    </row>
    <row r="116" customHeight="1" spans="1:8">
      <c r="A116" s="25" t="s">
        <v>293</v>
      </c>
      <c r="B116" s="122" t="s">
        <v>623</v>
      </c>
      <c r="C116" s="122" t="s">
        <v>624</v>
      </c>
      <c r="D116" s="25" t="s">
        <v>621</v>
      </c>
      <c r="E116" s="25" t="s">
        <v>622</v>
      </c>
      <c r="F116" s="122" t="s">
        <v>609</v>
      </c>
      <c r="G116" s="122" t="s">
        <v>613</v>
      </c>
      <c r="H116" s="25" t="s">
        <v>547</v>
      </c>
    </row>
    <row r="117" customHeight="1" spans="1:8">
      <c r="A117" s="29" t="s">
        <v>296</v>
      </c>
      <c r="B117" s="122" t="s">
        <v>623</v>
      </c>
      <c r="C117" s="122" t="s">
        <v>624</v>
      </c>
      <c r="D117" s="25" t="s">
        <v>625</v>
      </c>
      <c r="E117" s="25" t="s">
        <v>626</v>
      </c>
      <c r="F117" s="122" t="s">
        <v>609</v>
      </c>
      <c r="G117" s="122" t="s">
        <v>613</v>
      </c>
      <c r="H117" s="25" t="s">
        <v>547</v>
      </c>
    </row>
    <row r="118" customHeight="1" spans="1:8">
      <c r="A118" s="135"/>
      <c r="B118" s="127"/>
      <c r="C118" s="127"/>
      <c r="D118" s="4" t="s">
        <v>621</v>
      </c>
      <c r="E118" s="4" t="s">
        <v>622</v>
      </c>
      <c r="F118" s="127"/>
      <c r="G118" s="127"/>
      <c r="H118" s="4"/>
    </row>
    <row r="119" customHeight="1" spans="1:8">
      <c r="A119" s="29" t="s">
        <v>298</v>
      </c>
      <c r="B119" s="122" t="s">
        <v>623</v>
      </c>
      <c r="C119" s="122" t="s">
        <v>619</v>
      </c>
      <c r="D119" s="25" t="s">
        <v>617</v>
      </c>
      <c r="E119" s="25" t="s">
        <v>618</v>
      </c>
      <c r="F119" s="122" t="s">
        <v>609</v>
      </c>
      <c r="G119" s="122" t="s">
        <v>613</v>
      </c>
      <c r="H119" s="25" t="s">
        <v>547</v>
      </c>
    </row>
    <row r="120" customHeight="1" spans="1:8">
      <c r="A120" s="135"/>
      <c r="B120" s="122"/>
      <c r="C120" s="122" t="s">
        <v>627</v>
      </c>
      <c r="D120" s="25" t="s">
        <v>628</v>
      </c>
      <c r="E120" s="25" t="s">
        <v>629</v>
      </c>
      <c r="F120" s="122"/>
      <c r="G120" s="122"/>
      <c r="H120" s="25"/>
    </row>
    <row r="121" customHeight="1" spans="1:8">
      <c r="A121" s="25" t="s">
        <v>299</v>
      </c>
      <c r="B121" s="122" t="s">
        <v>623</v>
      </c>
      <c r="C121" s="122" t="s">
        <v>627</v>
      </c>
      <c r="D121" s="25" t="s">
        <v>628</v>
      </c>
      <c r="E121" s="25" t="s">
        <v>629</v>
      </c>
      <c r="F121" s="122" t="s">
        <v>609</v>
      </c>
      <c r="G121" s="122" t="s">
        <v>613</v>
      </c>
      <c r="H121" s="25" t="s">
        <v>547</v>
      </c>
    </row>
    <row r="122" customHeight="1" spans="1:8">
      <c r="A122" s="25" t="s">
        <v>300</v>
      </c>
      <c r="B122" s="122" t="s">
        <v>623</v>
      </c>
      <c r="C122" s="122" t="s">
        <v>627</v>
      </c>
      <c r="D122" s="25" t="s">
        <v>628</v>
      </c>
      <c r="E122" s="25" t="s">
        <v>629</v>
      </c>
      <c r="F122" s="122" t="s">
        <v>609</v>
      </c>
      <c r="G122" s="122" t="s">
        <v>613</v>
      </c>
      <c r="H122" s="25" t="s">
        <v>547</v>
      </c>
    </row>
    <row r="123" customHeight="1" spans="1:8">
      <c r="A123" s="29" t="s">
        <v>302</v>
      </c>
      <c r="B123" s="122" t="s">
        <v>623</v>
      </c>
      <c r="C123" s="122" t="s">
        <v>627</v>
      </c>
      <c r="D123" s="25" t="s">
        <v>628</v>
      </c>
      <c r="E123" s="25" t="s">
        <v>629</v>
      </c>
      <c r="F123" s="122" t="s">
        <v>609</v>
      </c>
      <c r="G123" s="122" t="s">
        <v>613</v>
      </c>
      <c r="H123" s="25" t="s">
        <v>547</v>
      </c>
    </row>
    <row r="124" customHeight="1" spans="1:8">
      <c r="A124" s="135"/>
      <c r="B124" s="122"/>
      <c r="C124" s="122"/>
      <c r="D124" s="25" t="s">
        <v>630</v>
      </c>
      <c r="E124" s="25"/>
      <c r="F124" s="122"/>
      <c r="G124" s="122"/>
      <c r="H124" s="25"/>
    </row>
    <row r="125" customHeight="1" spans="1:8">
      <c r="A125" s="29" t="s">
        <v>304</v>
      </c>
      <c r="B125" s="122" t="s">
        <v>623</v>
      </c>
      <c r="C125" s="122" t="s">
        <v>631</v>
      </c>
      <c r="D125" s="25" t="s">
        <v>630</v>
      </c>
      <c r="E125" s="25" t="s">
        <v>622</v>
      </c>
      <c r="F125" s="122" t="s">
        <v>609</v>
      </c>
      <c r="G125" s="122" t="s">
        <v>613</v>
      </c>
      <c r="H125" s="25" t="s">
        <v>547</v>
      </c>
    </row>
    <row r="126" customHeight="1" spans="1:5">
      <c r="A126" s="135"/>
      <c r="E126" s="3" t="s">
        <v>632</v>
      </c>
    </row>
    <row r="127" customHeight="1" spans="1:1">
      <c r="A127" s="25"/>
    </row>
    <row r="128" customHeight="1" spans="1:8">
      <c r="A128" s="25" t="s">
        <v>305</v>
      </c>
      <c r="B128" s="122" t="s">
        <v>623</v>
      </c>
      <c r="C128" s="122" t="s">
        <v>631</v>
      </c>
      <c r="D128" s="25" t="s">
        <v>630</v>
      </c>
      <c r="E128" s="25" t="s">
        <v>632</v>
      </c>
      <c r="F128" s="122" t="s">
        <v>609</v>
      </c>
      <c r="G128" s="122" t="s">
        <v>613</v>
      </c>
      <c r="H128" s="25" t="s">
        <v>547</v>
      </c>
    </row>
    <row r="129" customHeight="1" spans="1:8">
      <c r="A129" s="25" t="s">
        <v>307</v>
      </c>
      <c r="B129" s="122" t="s">
        <v>623</v>
      </c>
      <c r="C129" s="122" t="s">
        <v>631</v>
      </c>
      <c r="D129" s="25" t="s">
        <v>630</v>
      </c>
      <c r="E129" s="25" t="s">
        <v>632</v>
      </c>
      <c r="F129" s="122" t="s">
        <v>609</v>
      </c>
      <c r="G129" s="122" t="s">
        <v>613</v>
      </c>
      <c r="H129" s="25" t="s">
        <v>547</v>
      </c>
    </row>
    <row r="130" customHeight="1" spans="1:8">
      <c r="A130" s="25" t="s">
        <v>311</v>
      </c>
      <c r="B130" s="122" t="s">
        <v>623</v>
      </c>
      <c r="C130" s="122" t="s">
        <v>631</v>
      </c>
      <c r="D130" s="25" t="s">
        <v>630</v>
      </c>
      <c r="E130" s="25" t="s">
        <v>632</v>
      </c>
      <c r="F130" s="122" t="s">
        <v>609</v>
      </c>
      <c r="G130" s="122" t="s">
        <v>613</v>
      </c>
      <c r="H130" s="25" t="s">
        <v>547</v>
      </c>
    </row>
    <row r="131" customHeight="1" spans="1:8">
      <c r="A131" s="29" t="s">
        <v>312</v>
      </c>
      <c r="B131" s="122" t="s">
        <v>623</v>
      </c>
      <c r="C131" s="122" t="s">
        <v>631</v>
      </c>
      <c r="D131" s="25" t="s">
        <v>633</v>
      </c>
      <c r="E131" s="25" t="s">
        <v>629</v>
      </c>
      <c r="F131" s="122" t="s">
        <v>609</v>
      </c>
      <c r="G131" s="122" t="s">
        <v>613</v>
      </c>
      <c r="H131" s="25" t="s">
        <v>547</v>
      </c>
    </row>
    <row r="132" customHeight="1" spans="1:8">
      <c r="A132" s="135"/>
      <c r="B132" s="122"/>
      <c r="C132" s="122"/>
      <c r="D132" s="25" t="s">
        <v>634</v>
      </c>
      <c r="E132" s="25" t="s">
        <v>635</v>
      </c>
      <c r="F132" s="122"/>
      <c r="G132" s="122"/>
      <c r="H132" s="25"/>
    </row>
    <row r="133" customHeight="1" spans="1:8">
      <c r="A133" s="25" t="s">
        <v>314</v>
      </c>
      <c r="B133" s="122" t="s">
        <v>623</v>
      </c>
      <c r="C133" s="122" t="s">
        <v>631</v>
      </c>
      <c r="D133" s="25" t="s">
        <v>630</v>
      </c>
      <c r="E133" s="25" t="s">
        <v>632</v>
      </c>
      <c r="F133" s="122" t="s">
        <v>609</v>
      </c>
      <c r="G133" s="122" t="s">
        <v>613</v>
      </c>
      <c r="H133" s="25" t="s">
        <v>547</v>
      </c>
    </row>
    <row r="134" customHeight="1" spans="1:8">
      <c r="A134" s="25" t="s">
        <v>315</v>
      </c>
      <c r="B134" s="122" t="s">
        <v>623</v>
      </c>
      <c r="C134" s="122" t="s">
        <v>631</v>
      </c>
      <c r="D134" s="25" t="s">
        <v>630</v>
      </c>
      <c r="E134" s="25" t="s">
        <v>632</v>
      </c>
      <c r="F134" s="122" t="s">
        <v>609</v>
      </c>
      <c r="G134" s="122" t="s">
        <v>613</v>
      </c>
      <c r="H134" s="25" t="s">
        <v>547</v>
      </c>
    </row>
    <row r="135" customHeight="1" spans="1:8">
      <c r="A135" s="25" t="s">
        <v>316</v>
      </c>
      <c r="B135" s="122" t="s">
        <v>623</v>
      </c>
      <c r="C135" s="122" t="s">
        <v>631</v>
      </c>
      <c r="D135" s="25" t="s">
        <v>630</v>
      </c>
      <c r="E135" s="25" t="s">
        <v>632</v>
      </c>
      <c r="F135" s="122" t="s">
        <v>609</v>
      </c>
      <c r="G135" s="122" t="s">
        <v>613</v>
      </c>
      <c r="H135" s="25" t="s">
        <v>547</v>
      </c>
    </row>
    <row r="136" customHeight="1" spans="1:8">
      <c r="A136" s="25" t="s">
        <v>318</v>
      </c>
      <c r="B136" s="122" t="s">
        <v>623</v>
      </c>
      <c r="C136" s="122" t="s">
        <v>631</v>
      </c>
      <c r="D136" s="25" t="s">
        <v>630</v>
      </c>
      <c r="E136" s="25" t="s">
        <v>632</v>
      </c>
      <c r="F136" s="122" t="s">
        <v>609</v>
      </c>
      <c r="G136" s="122" t="s">
        <v>613</v>
      </c>
      <c r="H136" s="25" t="s">
        <v>547</v>
      </c>
    </row>
    <row r="137" customHeight="1" spans="1:8">
      <c r="A137" s="25" t="s">
        <v>319</v>
      </c>
      <c r="B137" s="122" t="s">
        <v>623</v>
      </c>
      <c r="C137" s="122" t="s">
        <v>631</v>
      </c>
      <c r="D137" s="25" t="s">
        <v>630</v>
      </c>
      <c r="E137" s="25" t="s">
        <v>632</v>
      </c>
      <c r="F137" s="122" t="s">
        <v>609</v>
      </c>
      <c r="G137" s="122" t="s">
        <v>613</v>
      </c>
      <c r="H137" s="25" t="s">
        <v>547</v>
      </c>
    </row>
    <row r="138" customHeight="1" spans="1:8">
      <c r="A138" s="25" t="s">
        <v>321</v>
      </c>
      <c r="B138" s="122" t="s">
        <v>623</v>
      </c>
      <c r="C138" s="122" t="s">
        <v>631</v>
      </c>
      <c r="D138" s="25" t="s">
        <v>630</v>
      </c>
      <c r="E138" s="25" t="s">
        <v>632</v>
      </c>
      <c r="F138" s="122" t="s">
        <v>609</v>
      </c>
      <c r="G138" s="122" t="s">
        <v>613</v>
      </c>
      <c r="H138" s="25" t="s">
        <v>547</v>
      </c>
    </row>
    <row r="139" customHeight="1" spans="1:8">
      <c r="A139" s="25" t="s">
        <v>322</v>
      </c>
      <c r="B139" s="122" t="s">
        <v>623</v>
      </c>
      <c r="C139" s="122" t="s">
        <v>631</v>
      </c>
      <c r="D139" s="25" t="s">
        <v>630</v>
      </c>
      <c r="E139" s="25" t="s">
        <v>632</v>
      </c>
      <c r="F139" s="122" t="s">
        <v>609</v>
      </c>
      <c r="G139" s="122" t="s">
        <v>613</v>
      </c>
      <c r="H139" s="25" t="s">
        <v>547</v>
      </c>
    </row>
    <row r="141" customHeight="1" spans="1:8">
      <c r="A141" s="136" t="s">
        <v>323</v>
      </c>
      <c r="B141" s="122" t="s">
        <v>623</v>
      </c>
      <c r="C141" s="122" t="s">
        <v>627</v>
      </c>
      <c r="D141" s="25" t="s">
        <v>630</v>
      </c>
      <c r="E141" s="25" t="s">
        <v>632</v>
      </c>
      <c r="F141" s="122" t="s">
        <v>636</v>
      </c>
      <c r="G141" s="122" t="s">
        <v>613</v>
      </c>
      <c r="H141" s="25" t="s">
        <v>547</v>
      </c>
    </row>
    <row r="142" customHeight="1" spans="1:8">
      <c r="A142" s="137"/>
      <c r="B142" s="122"/>
      <c r="C142" s="122" t="s">
        <v>637</v>
      </c>
      <c r="D142" s="25"/>
      <c r="E142" s="25"/>
      <c r="F142" s="122"/>
      <c r="G142" s="122"/>
      <c r="H142" s="25"/>
    </row>
    <row r="143" customHeight="1" spans="1:8">
      <c r="A143" s="25" t="s">
        <v>324</v>
      </c>
      <c r="B143" s="122" t="s">
        <v>623</v>
      </c>
      <c r="C143" s="122" t="s">
        <v>637</v>
      </c>
      <c r="D143" s="25" t="s">
        <v>630</v>
      </c>
      <c r="E143" s="25" t="s">
        <v>632</v>
      </c>
      <c r="F143" s="122" t="s">
        <v>636</v>
      </c>
      <c r="G143" s="122" t="s">
        <v>613</v>
      </c>
      <c r="H143" s="25" t="s">
        <v>547</v>
      </c>
    </row>
    <row r="144" customHeight="1" spans="1:8">
      <c r="A144" s="25" t="s">
        <v>325</v>
      </c>
      <c r="B144" s="122" t="s">
        <v>623</v>
      </c>
      <c r="C144" s="122" t="s">
        <v>637</v>
      </c>
      <c r="D144" s="25" t="s">
        <v>630</v>
      </c>
      <c r="E144" s="25" t="s">
        <v>632</v>
      </c>
      <c r="F144" s="122" t="s">
        <v>636</v>
      </c>
      <c r="G144" s="122" t="s">
        <v>613</v>
      </c>
      <c r="H144" s="25" t="s">
        <v>547</v>
      </c>
    </row>
    <row r="145" customHeight="1" spans="1:8">
      <c r="A145" s="112" t="s">
        <v>326</v>
      </c>
      <c r="B145" s="122" t="s">
        <v>623</v>
      </c>
      <c r="C145" s="122" t="s">
        <v>637</v>
      </c>
      <c r="D145" s="25" t="s">
        <v>630</v>
      </c>
      <c r="E145" s="25" t="s">
        <v>632</v>
      </c>
      <c r="F145" s="122" t="s">
        <v>636</v>
      </c>
      <c r="G145" s="122" t="s">
        <v>613</v>
      </c>
      <c r="H145" s="25" t="s">
        <v>547</v>
      </c>
    </row>
    <row r="146" customHeight="1" spans="1:8">
      <c r="A146" s="25" t="s">
        <v>314</v>
      </c>
      <c r="B146" s="122" t="s">
        <v>623</v>
      </c>
      <c r="C146" s="122" t="s">
        <v>637</v>
      </c>
      <c r="D146" s="25" t="s">
        <v>630</v>
      </c>
      <c r="E146" s="25" t="s">
        <v>632</v>
      </c>
      <c r="F146" s="122" t="s">
        <v>636</v>
      </c>
      <c r="G146" s="122" t="s">
        <v>613</v>
      </c>
      <c r="H146" s="25" t="s">
        <v>547</v>
      </c>
    </row>
    <row r="147" customHeight="1" spans="1:8">
      <c r="A147" s="112" t="s">
        <v>328</v>
      </c>
      <c r="B147" s="122" t="s">
        <v>638</v>
      </c>
      <c r="C147" s="122" t="s">
        <v>637</v>
      </c>
      <c r="D147" s="25" t="s">
        <v>630</v>
      </c>
      <c r="E147" s="25" t="s">
        <v>632</v>
      </c>
      <c r="F147" s="122" t="s">
        <v>639</v>
      </c>
      <c r="G147" s="122" t="s">
        <v>613</v>
      </c>
      <c r="H147" s="25" t="s">
        <v>547</v>
      </c>
    </row>
    <row r="148" customHeight="1" spans="1:8">
      <c r="A148" s="112" t="s">
        <v>329</v>
      </c>
      <c r="B148" s="122" t="s">
        <v>638</v>
      </c>
      <c r="C148" s="122" t="s">
        <v>637</v>
      </c>
      <c r="D148" s="25" t="s">
        <v>630</v>
      </c>
      <c r="E148" s="25" t="s">
        <v>632</v>
      </c>
      <c r="F148" s="122" t="s">
        <v>639</v>
      </c>
      <c r="G148" s="122" t="s">
        <v>613</v>
      </c>
      <c r="H148" s="25" t="s">
        <v>547</v>
      </c>
    </row>
    <row r="149" customHeight="1" spans="1:8">
      <c r="A149" s="136" t="s">
        <v>330</v>
      </c>
      <c r="B149" s="122" t="s">
        <v>638</v>
      </c>
      <c r="C149" s="122" t="s">
        <v>637</v>
      </c>
      <c r="D149" s="25" t="s">
        <v>630</v>
      </c>
      <c r="E149" s="25" t="s">
        <v>632</v>
      </c>
      <c r="F149" s="122" t="s">
        <v>639</v>
      </c>
      <c r="G149" s="122" t="s">
        <v>613</v>
      </c>
      <c r="H149" s="25" t="s">
        <v>547</v>
      </c>
    </row>
    <row r="150" customHeight="1" spans="1:8">
      <c r="A150" s="137"/>
      <c r="B150" s="127"/>
      <c r="C150" s="127" t="s">
        <v>640</v>
      </c>
      <c r="D150" s="4"/>
      <c r="E150" s="4"/>
      <c r="F150" s="127"/>
      <c r="G150" s="127"/>
      <c r="H150" s="4"/>
    </row>
    <row r="151" customHeight="1" spans="1:8">
      <c r="A151" s="112" t="s">
        <v>332</v>
      </c>
      <c r="B151" s="122" t="s">
        <v>638</v>
      </c>
      <c r="C151" s="122" t="s">
        <v>640</v>
      </c>
      <c r="D151" s="25" t="s">
        <v>630</v>
      </c>
      <c r="E151" s="25" t="s">
        <v>632</v>
      </c>
      <c r="F151" s="122" t="s">
        <v>639</v>
      </c>
      <c r="G151" s="122" t="s">
        <v>613</v>
      </c>
      <c r="H151" s="25" t="s">
        <v>547</v>
      </c>
    </row>
    <row r="152" customHeight="1" spans="1:8">
      <c r="A152" s="112" t="s">
        <v>333</v>
      </c>
      <c r="B152" s="122" t="s">
        <v>638</v>
      </c>
      <c r="C152" s="122" t="s">
        <v>640</v>
      </c>
      <c r="D152" s="25" t="s">
        <v>630</v>
      </c>
      <c r="E152" s="25" t="s">
        <v>632</v>
      </c>
      <c r="F152" s="122" t="s">
        <v>639</v>
      </c>
      <c r="G152" s="122" t="s">
        <v>613</v>
      </c>
      <c r="H152" s="25" t="s">
        <v>547</v>
      </c>
    </row>
    <row r="153" customHeight="1" spans="1:8">
      <c r="A153" s="112" t="s">
        <v>334</v>
      </c>
      <c r="B153" s="122" t="s">
        <v>638</v>
      </c>
      <c r="C153" s="122" t="s">
        <v>640</v>
      </c>
      <c r="D153" s="25" t="s">
        <v>630</v>
      </c>
      <c r="E153" s="25" t="s">
        <v>632</v>
      </c>
      <c r="F153" s="122" t="s">
        <v>639</v>
      </c>
      <c r="G153" s="122" t="s">
        <v>613</v>
      </c>
      <c r="H153" s="25" t="s">
        <v>547</v>
      </c>
    </row>
    <row r="154" customHeight="1" spans="1:8">
      <c r="A154" s="112" t="s">
        <v>336</v>
      </c>
      <c r="B154" s="122" t="s">
        <v>638</v>
      </c>
      <c r="C154" s="122" t="s">
        <v>640</v>
      </c>
      <c r="D154" s="25" t="s">
        <v>630</v>
      </c>
      <c r="E154" s="25" t="s">
        <v>632</v>
      </c>
      <c r="F154" s="122" t="s">
        <v>639</v>
      </c>
      <c r="G154" s="122" t="s">
        <v>613</v>
      </c>
      <c r="H154" s="25" t="s">
        <v>547</v>
      </c>
    </row>
    <row r="155" customHeight="1" spans="1:8">
      <c r="A155" s="112"/>
      <c r="B155" s="25"/>
      <c r="C155" s="25"/>
      <c r="D155" s="25" t="s">
        <v>641</v>
      </c>
      <c r="E155" s="25"/>
      <c r="F155" s="25"/>
      <c r="G155" s="25"/>
      <c r="H155" s="25"/>
    </row>
    <row r="156" s="113" customFormat="1" customHeight="1" spans="1:8">
      <c r="A156" s="138" t="s">
        <v>337</v>
      </c>
      <c r="B156" s="122" t="s">
        <v>638</v>
      </c>
      <c r="C156" s="122" t="s">
        <v>640</v>
      </c>
      <c r="D156" s="25" t="s">
        <v>630</v>
      </c>
      <c r="E156" s="25" t="s">
        <v>632</v>
      </c>
      <c r="F156" s="122" t="s">
        <v>639</v>
      </c>
      <c r="G156" s="122" t="s">
        <v>613</v>
      </c>
      <c r="H156" s="25" t="s">
        <v>547</v>
      </c>
    </row>
    <row r="157" s="113" customFormat="1" customHeight="1" spans="1:8">
      <c r="A157" s="139"/>
      <c r="B157" s="122"/>
      <c r="C157" s="122"/>
      <c r="D157" s="25" t="s">
        <v>641</v>
      </c>
      <c r="E157" s="25"/>
      <c r="F157" s="122"/>
      <c r="G157" s="122"/>
      <c r="H157" s="25"/>
    </row>
    <row r="158" customHeight="1" spans="1:8">
      <c r="A158" s="112" t="s">
        <v>338</v>
      </c>
      <c r="B158" s="122" t="s">
        <v>638</v>
      </c>
      <c r="C158" s="122" t="s">
        <v>640</v>
      </c>
      <c r="D158" s="25" t="s">
        <v>630</v>
      </c>
      <c r="E158" s="25" t="s">
        <v>632</v>
      </c>
      <c r="F158" s="122" t="s">
        <v>639</v>
      </c>
      <c r="G158" s="122" t="s">
        <v>613</v>
      </c>
      <c r="H158" s="25" t="s">
        <v>547</v>
      </c>
    </row>
    <row r="159" customHeight="1" spans="1:8">
      <c r="A159" s="112"/>
      <c r="B159" s="25"/>
      <c r="C159" s="25"/>
      <c r="D159" s="25" t="s">
        <v>641</v>
      </c>
      <c r="E159" s="25" t="s">
        <v>642</v>
      </c>
      <c r="F159" s="25"/>
      <c r="G159" s="25"/>
      <c r="H159" s="25"/>
    </row>
    <row r="160" customHeight="1" spans="1:8">
      <c r="A160" s="112" t="s">
        <v>339</v>
      </c>
      <c r="B160" s="122" t="s">
        <v>638</v>
      </c>
      <c r="C160" s="122" t="s">
        <v>640</v>
      </c>
      <c r="D160" s="25" t="s">
        <v>630</v>
      </c>
      <c r="E160" s="25" t="s">
        <v>632</v>
      </c>
      <c r="F160" s="122" t="s">
        <v>639</v>
      </c>
      <c r="G160" s="122" t="s">
        <v>613</v>
      </c>
      <c r="H160" s="25" t="s">
        <v>547</v>
      </c>
    </row>
    <row r="161" customHeight="1" spans="1:8">
      <c r="A161" s="112"/>
      <c r="B161" s="25"/>
      <c r="C161" s="25"/>
      <c r="D161" s="25" t="s">
        <v>641</v>
      </c>
      <c r="E161" s="25" t="s">
        <v>642</v>
      </c>
      <c r="F161" s="25"/>
      <c r="G161" s="25"/>
      <c r="H161" s="25"/>
    </row>
    <row r="162" customHeight="1" spans="1:8">
      <c r="A162" s="112" t="s">
        <v>341</v>
      </c>
      <c r="B162" s="122" t="s">
        <v>638</v>
      </c>
      <c r="C162" s="122" t="s">
        <v>640</v>
      </c>
      <c r="D162" s="25" t="s">
        <v>630</v>
      </c>
      <c r="E162" s="25" t="s">
        <v>632</v>
      </c>
      <c r="F162" s="122" t="s">
        <v>639</v>
      </c>
      <c r="G162" s="122" t="s">
        <v>613</v>
      </c>
      <c r="H162" s="25" t="s">
        <v>547</v>
      </c>
    </row>
    <row r="163" customHeight="1" spans="1:8">
      <c r="A163" s="112"/>
      <c r="B163" s="106"/>
      <c r="C163" s="106"/>
      <c r="D163" s="25" t="s">
        <v>641</v>
      </c>
      <c r="E163" s="25" t="s">
        <v>642</v>
      </c>
      <c r="F163" s="106"/>
      <c r="G163" s="106"/>
      <c r="H163" s="106"/>
    </row>
    <row r="164" customHeight="1" spans="1:8">
      <c r="A164" s="136" t="s">
        <v>343</v>
      </c>
      <c r="B164" s="122" t="s">
        <v>638</v>
      </c>
      <c r="C164" s="122" t="s">
        <v>640</v>
      </c>
      <c r="D164" s="25" t="s">
        <v>641</v>
      </c>
      <c r="E164" s="25" t="s">
        <v>642</v>
      </c>
      <c r="F164" s="122" t="s">
        <v>639</v>
      </c>
      <c r="G164" s="122" t="s">
        <v>613</v>
      </c>
      <c r="H164" s="25" t="s">
        <v>547</v>
      </c>
    </row>
    <row r="165" customHeight="1" spans="1:8">
      <c r="A165" s="137"/>
      <c r="B165" s="106" t="s">
        <v>643</v>
      </c>
      <c r="C165" s="106"/>
      <c r="D165" s="106"/>
      <c r="E165" s="106"/>
      <c r="F165" s="106"/>
      <c r="G165" s="106"/>
      <c r="H165" s="106"/>
    </row>
    <row r="166" customHeight="1" spans="1:8">
      <c r="A166" s="136" t="s">
        <v>345</v>
      </c>
      <c r="B166" s="122" t="s">
        <v>638</v>
      </c>
      <c r="C166" s="122" t="s">
        <v>640</v>
      </c>
      <c r="D166" s="25" t="s">
        <v>641</v>
      </c>
      <c r="E166" s="25" t="s">
        <v>642</v>
      </c>
      <c r="F166" s="122" t="s">
        <v>639</v>
      </c>
      <c r="G166" s="122" t="s">
        <v>613</v>
      </c>
      <c r="H166" s="25" t="s">
        <v>547</v>
      </c>
    </row>
    <row r="167" s="1" customFormat="1" customHeight="1"/>
    <row r="168" s="3" customFormat="1" customHeight="1" spans="1:8">
      <c r="A168" s="25" t="s">
        <v>347</v>
      </c>
      <c r="B168" s="122" t="s">
        <v>644</v>
      </c>
      <c r="C168" s="122" t="s">
        <v>640</v>
      </c>
      <c r="D168" s="25" t="s">
        <v>641</v>
      </c>
      <c r="E168" s="25" t="s">
        <v>642</v>
      </c>
      <c r="F168" s="122" t="s">
        <v>639</v>
      </c>
      <c r="G168" s="122" t="s">
        <v>613</v>
      </c>
      <c r="H168" s="25" t="s">
        <v>547</v>
      </c>
    </row>
    <row r="169" s="3" customFormat="1" customHeight="1" spans="1:8">
      <c r="A169" s="25" t="s">
        <v>351</v>
      </c>
      <c r="B169" s="122" t="s">
        <v>644</v>
      </c>
      <c r="C169" s="122" t="s">
        <v>640</v>
      </c>
      <c r="D169" s="25" t="s">
        <v>645</v>
      </c>
      <c r="E169" s="25" t="s">
        <v>642</v>
      </c>
      <c r="F169" s="122" t="s">
        <v>639</v>
      </c>
      <c r="G169" s="122" t="s">
        <v>613</v>
      </c>
      <c r="H169" s="25" t="s">
        <v>547</v>
      </c>
    </row>
    <row r="170" s="3" customFormat="1" customHeight="1" spans="1:8">
      <c r="A170" s="25" t="s">
        <v>352</v>
      </c>
      <c r="B170" s="122" t="s">
        <v>644</v>
      </c>
      <c r="C170" s="122" t="s">
        <v>640</v>
      </c>
      <c r="D170" s="25" t="s">
        <v>645</v>
      </c>
      <c r="E170" s="25" t="s">
        <v>642</v>
      </c>
      <c r="F170" s="122" t="s">
        <v>639</v>
      </c>
      <c r="G170" s="122" t="s">
        <v>613</v>
      </c>
      <c r="H170" s="25" t="s">
        <v>547</v>
      </c>
    </row>
    <row r="171" s="3" customFormat="1" customHeight="1" spans="1:8">
      <c r="A171" s="25" t="s">
        <v>354</v>
      </c>
      <c r="B171" s="122" t="s">
        <v>644</v>
      </c>
      <c r="C171" s="122" t="s">
        <v>640</v>
      </c>
      <c r="D171" s="25" t="s">
        <v>645</v>
      </c>
      <c r="E171" s="25" t="s">
        <v>642</v>
      </c>
      <c r="F171" s="122" t="s">
        <v>639</v>
      </c>
      <c r="G171" s="122" t="s">
        <v>613</v>
      </c>
      <c r="H171" s="25" t="s">
        <v>547</v>
      </c>
    </row>
    <row r="172" s="3" customFormat="1" customHeight="1" spans="1:8">
      <c r="A172" s="25" t="s">
        <v>357</v>
      </c>
      <c r="B172" s="122" t="s">
        <v>644</v>
      </c>
      <c r="C172" s="122" t="s">
        <v>640</v>
      </c>
      <c r="D172" s="25" t="s">
        <v>645</v>
      </c>
      <c r="E172" s="25" t="s">
        <v>642</v>
      </c>
      <c r="F172" s="122" t="s">
        <v>639</v>
      </c>
      <c r="G172" s="122" t="s">
        <v>613</v>
      </c>
      <c r="H172" s="25" t="s">
        <v>547</v>
      </c>
    </row>
    <row r="173" s="3" customFormat="1" customHeight="1" spans="1:8">
      <c r="A173" s="29" t="s">
        <v>361</v>
      </c>
      <c r="B173" s="122" t="s">
        <v>644</v>
      </c>
      <c r="C173" s="122" t="s">
        <v>640</v>
      </c>
      <c r="D173" s="25" t="s">
        <v>645</v>
      </c>
      <c r="E173" s="25" t="s">
        <v>642</v>
      </c>
      <c r="F173" s="122" t="s">
        <v>639</v>
      </c>
      <c r="G173" s="122" t="s">
        <v>613</v>
      </c>
      <c r="H173" s="25" t="s">
        <v>547</v>
      </c>
    </row>
    <row r="174" s="3" customFormat="1" ht="12" spans="1:8">
      <c r="A174" s="135"/>
      <c r="B174" s="122"/>
      <c r="C174" s="122" t="s">
        <v>646</v>
      </c>
      <c r="D174" s="25"/>
      <c r="E174" s="25"/>
      <c r="F174" s="122"/>
      <c r="G174" s="122"/>
      <c r="H174" s="25"/>
    </row>
    <row r="175" s="3" customFormat="1" customHeight="1" spans="1:8">
      <c r="A175" s="25" t="s">
        <v>367</v>
      </c>
      <c r="B175" s="122" t="s">
        <v>644</v>
      </c>
      <c r="C175" s="122" t="s">
        <v>646</v>
      </c>
      <c r="D175" s="25" t="s">
        <v>645</v>
      </c>
      <c r="E175" s="25" t="s">
        <v>642</v>
      </c>
      <c r="F175" s="122" t="s">
        <v>639</v>
      </c>
      <c r="G175" s="122" t="s">
        <v>613</v>
      </c>
      <c r="H175" s="25" t="s">
        <v>547</v>
      </c>
    </row>
    <row r="176" s="3" customFormat="1" customHeight="1" spans="1:8">
      <c r="A176" s="29" t="s">
        <v>369</v>
      </c>
      <c r="B176" s="122" t="s">
        <v>644</v>
      </c>
      <c r="C176" s="122" t="s">
        <v>646</v>
      </c>
      <c r="D176" s="25" t="s">
        <v>645</v>
      </c>
      <c r="E176" s="25" t="s">
        <v>642</v>
      </c>
      <c r="F176" s="122" t="s">
        <v>639</v>
      </c>
      <c r="G176" s="122" t="s">
        <v>613</v>
      </c>
      <c r="H176" s="25" t="s">
        <v>547</v>
      </c>
    </row>
    <row r="177" s="3" customFormat="1" customHeight="1" spans="1:8">
      <c r="A177" s="135"/>
      <c r="B177" s="122"/>
      <c r="C177" s="122"/>
      <c r="D177" s="25"/>
      <c r="E177" s="25"/>
      <c r="F177" s="122" t="s">
        <v>647</v>
      </c>
      <c r="G177" s="122"/>
      <c r="H177" s="25"/>
    </row>
    <row r="178" s="3" customFormat="1" customHeight="1" spans="1:8">
      <c r="A178" s="25" t="s">
        <v>518</v>
      </c>
      <c r="B178" s="122" t="s">
        <v>644</v>
      </c>
      <c r="C178" s="122" t="s">
        <v>646</v>
      </c>
      <c r="D178" s="25" t="s">
        <v>645</v>
      </c>
      <c r="E178" s="25" t="s">
        <v>642</v>
      </c>
      <c r="F178" s="122" t="s">
        <v>647</v>
      </c>
      <c r="G178" s="122" t="s">
        <v>613</v>
      </c>
      <c r="H178" s="25" t="s">
        <v>547</v>
      </c>
    </row>
    <row r="179" s="3" customFormat="1" customHeight="1" spans="1:8">
      <c r="A179" s="25" t="s">
        <v>375</v>
      </c>
      <c r="B179" s="140" t="s">
        <v>644</v>
      </c>
      <c r="C179" s="122" t="s">
        <v>646</v>
      </c>
      <c r="D179" s="25" t="s">
        <v>645</v>
      </c>
      <c r="E179" s="25" t="s">
        <v>642</v>
      </c>
      <c r="F179" s="122" t="s">
        <v>647</v>
      </c>
      <c r="G179" s="122" t="s">
        <v>613</v>
      </c>
      <c r="H179" s="25" t="s">
        <v>547</v>
      </c>
    </row>
    <row r="180" customHeight="1" spans="1:2">
      <c r="A180" s="25"/>
      <c r="B180" s="3" t="s">
        <v>648</v>
      </c>
    </row>
  </sheetData>
  <mergeCells count="41">
    <mergeCell ref="A1:H1"/>
    <mergeCell ref="A6:A7"/>
    <mergeCell ref="A8:A9"/>
    <mergeCell ref="A16:A17"/>
    <mergeCell ref="A20:A21"/>
    <mergeCell ref="A25:A26"/>
    <mergeCell ref="A28:A29"/>
    <mergeCell ref="A30:A31"/>
    <mergeCell ref="A33:A34"/>
    <mergeCell ref="A45:A46"/>
    <mergeCell ref="A47:A48"/>
    <mergeCell ref="A49:A50"/>
    <mergeCell ref="A52:A53"/>
    <mergeCell ref="A55:A56"/>
    <mergeCell ref="A60:A62"/>
    <mergeCell ref="A66:A67"/>
    <mergeCell ref="A70:A71"/>
    <mergeCell ref="A72:A73"/>
    <mergeCell ref="A76:A77"/>
    <mergeCell ref="A80:A81"/>
    <mergeCell ref="A86:A88"/>
    <mergeCell ref="A98:A99"/>
    <mergeCell ref="A102:A103"/>
    <mergeCell ref="A107:A108"/>
    <mergeCell ref="A109:A110"/>
    <mergeCell ref="A111:A112"/>
    <mergeCell ref="A117:A118"/>
    <mergeCell ref="A119:A120"/>
    <mergeCell ref="A123:A124"/>
    <mergeCell ref="A125:A126"/>
    <mergeCell ref="A131:A132"/>
    <mergeCell ref="A141:A142"/>
    <mergeCell ref="A149:A150"/>
    <mergeCell ref="A154:A155"/>
    <mergeCell ref="A158:A159"/>
    <mergeCell ref="A160:A161"/>
    <mergeCell ref="A162:A163"/>
    <mergeCell ref="A164:A165"/>
    <mergeCell ref="A173:A174"/>
    <mergeCell ref="A176:A177"/>
    <mergeCell ref="A179:A180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8"/>
  <sheetViews>
    <sheetView tabSelected="1" zoomScale="85" zoomScaleNormal="85" topLeftCell="A46" workbookViewId="0">
      <pane xSplit="1" ySplit="6" topLeftCell="B135" activePane="bottomRight" state="frozen"/>
      <selection/>
      <selection pane="topRight"/>
      <selection pane="bottomLeft"/>
      <selection pane="bottomRight" activeCell="F142" sqref="F142"/>
    </sheetView>
  </sheetViews>
  <sheetFormatPr defaultColWidth="9.10185185185185" defaultRowHeight="15" customHeight="1"/>
  <cols>
    <col min="1" max="1" width="12.3333333333333" style="3" customWidth="1"/>
    <col min="2" max="2" width="10.4351851851852" style="3"/>
    <col min="3" max="3" width="9.10185185185185" style="3"/>
    <col min="4" max="4" width="12" style="3" customWidth="1"/>
    <col min="5" max="5" width="11.1018518518519" style="4" customWidth="1"/>
    <col min="6" max="8" width="9.10185185185185" style="4"/>
    <col min="9" max="16384" width="9.10185185185185" style="3"/>
  </cols>
  <sheetData>
    <row r="1" customHeight="1" spans="1:8">
      <c r="A1" s="5" t="s">
        <v>376</v>
      </c>
      <c r="B1" s="5"/>
      <c r="C1" s="5"/>
      <c r="D1" s="5"/>
      <c r="E1" s="5"/>
      <c r="F1" s="5"/>
      <c r="G1" s="5"/>
      <c r="H1" s="5"/>
    </row>
    <row r="3" customHeight="1" spans="1:8">
      <c r="A3" s="6" t="s">
        <v>120</v>
      </c>
      <c r="B3" s="7" t="s">
        <v>121</v>
      </c>
      <c r="C3" s="83"/>
      <c r="D3" s="84"/>
      <c r="E3" s="84"/>
      <c r="F3" s="84"/>
      <c r="G3" s="84"/>
      <c r="H3" s="84"/>
    </row>
    <row r="4" customHeight="1" spans="1:8">
      <c r="A4" s="6" t="s">
        <v>122</v>
      </c>
      <c r="B4" s="7" t="s">
        <v>377</v>
      </c>
      <c r="C4" s="83"/>
      <c r="D4" s="84"/>
      <c r="E4" s="84"/>
      <c r="F4" s="84"/>
      <c r="G4" s="84"/>
      <c r="H4" s="84"/>
    </row>
    <row r="5" customHeight="1" spans="1:8">
      <c r="A5" s="85" t="s">
        <v>649</v>
      </c>
      <c r="B5" s="86"/>
      <c r="C5" s="86"/>
      <c r="D5" s="86"/>
      <c r="E5" s="86"/>
      <c r="F5" s="86"/>
      <c r="G5" s="86"/>
      <c r="H5" s="87"/>
    </row>
    <row r="6" ht="39.9" customHeight="1" spans="1:8">
      <c r="A6" s="88" t="s">
        <v>0</v>
      </c>
      <c r="B6" s="89" t="s">
        <v>650</v>
      </c>
      <c r="C6" s="90" t="s">
        <v>651</v>
      </c>
      <c r="D6" s="91" t="s">
        <v>652</v>
      </c>
      <c r="E6" s="92" t="s">
        <v>653</v>
      </c>
      <c r="F6" s="91" t="s">
        <v>654</v>
      </c>
      <c r="G6" s="91" t="s">
        <v>655</v>
      </c>
      <c r="H6" s="91" t="s">
        <v>656</v>
      </c>
    </row>
    <row r="7" customHeight="1" spans="1:8">
      <c r="A7" s="88"/>
      <c r="B7" s="89"/>
      <c r="C7" s="90"/>
      <c r="D7" s="93" t="s">
        <v>657</v>
      </c>
      <c r="E7" s="94" t="s">
        <v>658</v>
      </c>
      <c r="F7" s="93" t="s">
        <v>658</v>
      </c>
      <c r="G7" s="93" t="s">
        <v>658</v>
      </c>
      <c r="H7" s="93" t="s">
        <v>658</v>
      </c>
    </row>
    <row r="8" customHeight="1" spans="1:8">
      <c r="A8" s="95"/>
      <c r="B8" s="96"/>
      <c r="C8" s="97"/>
      <c r="D8" s="98">
        <v>25</v>
      </c>
      <c r="E8" s="99"/>
      <c r="F8" s="100"/>
      <c r="G8" s="101"/>
      <c r="H8" s="102"/>
    </row>
    <row r="9" customHeight="1" spans="1:9">
      <c r="A9" s="24" t="s">
        <v>397</v>
      </c>
      <c r="B9" s="103">
        <v>45659</v>
      </c>
      <c r="C9" s="104">
        <v>47119</v>
      </c>
      <c r="D9" s="61">
        <v>25</v>
      </c>
      <c r="E9" s="61">
        <v>100.13</v>
      </c>
      <c r="F9" s="61">
        <v>99.91</v>
      </c>
      <c r="G9" s="61">
        <v>99.62</v>
      </c>
      <c r="H9" s="105">
        <v>99.79</v>
      </c>
      <c r="I9"/>
    </row>
    <row r="10" customHeight="1" spans="1:9">
      <c r="A10" s="24" t="s">
        <v>406</v>
      </c>
      <c r="B10" s="103">
        <v>45659</v>
      </c>
      <c r="C10" s="104">
        <v>47119</v>
      </c>
      <c r="D10" s="61">
        <v>25</v>
      </c>
      <c r="E10" s="61">
        <v>100.18</v>
      </c>
      <c r="F10" s="61">
        <v>99.95</v>
      </c>
      <c r="G10" s="61">
        <v>99.74</v>
      </c>
      <c r="H10" s="105">
        <v>99.59</v>
      </c>
      <c r="I10"/>
    </row>
    <row r="11" customHeight="1" spans="1:9">
      <c r="A11" s="24" t="s">
        <v>407</v>
      </c>
      <c r="B11" s="103">
        <v>45659</v>
      </c>
      <c r="C11" s="104">
        <v>47119</v>
      </c>
      <c r="D11" s="61">
        <v>25</v>
      </c>
      <c r="E11" s="61">
        <v>100.17</v>
      </c>
      <c r="F11" s="61">
        <v>99.92</v>
      </c>
      <c r="G11" s="61">
        <v>99.69</v>
      </c>
      <c r="H11" s="105">
        <v>100.05</v>
      </c>
      <c r="I11"/>
    </row>
    <row r="12" customHeight="1" spans="1:9">
      <c r="A12" s="24" t="s">
        <v>408</v>
      </c>
      <c r="B12" s="103">
        <v>45660</v>
      </c>
      <c r="C12" s="104">
        <v>47119</v>
      </c>
      <c r="D12" s="61">
        <v>25</v>
      </c>
      <c r="E12" s="61">
        <v>100.17</v>
      </c>
      <c r="F12" s="61">
        <v>99.95</v>
      </c>
      <c r="G12" s="61">
        <v>99.7</v>
      </c>
      <c r="H12" s="61">
        <v>99.94</v>
      </c>
      <c r="I12"/>
    </row>
    <row r="13" customHeight="1" spans="1:8">
      <c r="A13" s="24" t="s">
        <v>409</v>
      </c>
      <c r="B13" s="103">
        <v>45660</v>
      </c>
      <c r="C13" s="104">
        <v>47119</v>
      </c>
      <c r="D13" s="61">
        <v>25</v>
      </c>
      <c r="E13" s="25" t="s">
        <v>659</v>
      </c>
      <c r="F13" s="25" t="s">
        <v>660</v>
      </c>
      <c r="G13" s="25" t="s">
        <v>661</v>
      </c>
      <c r="H13" s="25" t="s">
        <v>662</v>
      </c>
    </row>
    <row r="14" customHeight="1" spans="1:8">
      <c r="A14" s="24" t="s">
        <v>11</v>
      </c>
      <c r="B14" s="103">
        <v>45660</v>
      </c>
      <c r="C14" s="104">
        <v>47119</v>
      </c>
      <c r="D14" s="61">
        <v>25</v>
      </c>
      <c r="E14" s="25" t="s">
        <v>659</v>
      </c>
      <c r="F14" s="25" t="s">
        <v>663</v>
      </c>
      <c r="G14" s="25" t="s">
        <v>664</v>
      </c>
      <c r="H14" s="25" t="s">
        <v>662</v>
      </c>
    </row>
    <row r="15" customHeight="1" spans="1:8">
      <c r="A15" s="24" t="s">
        <v>24</v>
      </c>
      <c r="B15" s="103">
        <v>45661</v>
      </c>
      <c r="C15" s="104">
        <v>47119</v>
      </c>
      <c r="D15" s="61">
        <v>25</v>
      </c>
      <c r="E15" s="25" t="s">
        <v>665</v>
      </c>
      <c r="F15" s="25" t="s">
        <v>666</v>
      </c>
      <c r="G15" s="25" t="s">
        <v>667</v>
      </c>
      <c r="H15" s="25" t="s">
        <v>668</v>
      </c>
    </row>
    <row r="16" customHeight="1" spans="1:9">
      <c r="A16" s="24" t="s">
        <v>34</v>
      </c>
      <c r="B16" s="103">
        <v>45661</v>
      </c>
      <c r="C16" s="104">
        <v>47119</v>
      </c>
      <c r="D16" s="61">
        <v>25</v>
      </c>
      <c r="E16" s="61" t="s">
        <v>665</v>
      </c>
      <c r="F16" s="61" t="s">
        <v>669</v>
      </c>
      <c r="G16" s="61" t="s">
        <v>670</v>
      </c>
      <c r="H16" s="61" t="s">
        <v>671</v>
      </c>
      <c r="I16"/>
    </row>
    <row r="17" customHeight="1" spans="1:9">
      <c r="A17" s="24" t="s">
        <v>43</v>
      </c>
      <c r="B17" s="103">
        <v>45666</v>
      </c>
      <c r="C17" s="104">
        <v>47119</v>
      </c>
      <c r="D17" s="61">
        <v>25</v>
      </c>
      <c r="E17" s="25" t="s">
        <v>672</v>
      </c>
      <c r="F17" s="25" t="s">
        <v>663</v>
      </c>
      <c r="G17" s="25" t="s">
        <v>671</v>
      </c>
      <c r="H17" s="25" t="s">
        <v>673</v>
      </c>
      <c r="I17" s="3" t="s">
        <v>674</v>
      </c>
    </row>
    <row r="18" customHeight="1" spans="1:9">
      <c r="A18" s="24" t="s">
        <v>52</v>
      </c>
      <c r="B18" s="103">
        <v>45666</v>
      </c>
      <c r="C18" s="104">
        <v>47119</v>
      </c>
      <c r="D18" s="61">
        <v>25</v>
      </c>
      <c r="E18" s="25" t="s">
        <v>675</v>
      </c>
      <c r="F18" s="25" t="s">
        <v>668</v>
      </c>
      <c r="G18" s="25" t="s">
        <v>676</v>
      </c>
      <c r="H18" s="25" t="s">
        <v>677</v>
      </c>
      <c r="I18" s="3" t="s">
        <v>678</v>
      </c>
    </row>
    <row r="19" customHeight="1" spans="1:8">
      <c r="A19" s="24"/>
      <c r="B19" s="103"/>
      <c r="C19" s="104"/>
      <c r="D19" s="61"/>
      <c r="E19" s="25"/>
      <c r="F19" s="25"/>
      <c r="G19" s="25" t="s">
        <v>661</v>
      </c>
      <c r="H19" s="25"/>
    </row>
    <row r="20" customHeight="1" spans="1:9">
      <c r="A20" s="24" t="s">
        <v>61</v>
      </c>
      <c r="B20" s="103">
        <v>45666</v>
      </c>
      <c r="C20" s="104">
        <v>47119</v>
      </c>
      <c r="D20" s="61">
        <v>25</v>
      </c>
      <c r="E20" s="61" t="s">
        <v>659</v>
      </c>
      <c r="F20" s="61" t="s">
        <v>669</v>
      </c>
      <c r="G20" s="61" t="s">
        <v>679</v>
      </c>
      <c r="H20" s="61" t="s">
        <v>680</v>
      </c>
      <c r="I20" s="3" t="s">
        <v>681</v>
      </c>
    </row>
    <row r="21" customHeight="1" spans="1:8">
      <c r="A21" s="24"/>
      <c r="B21" s="106"/>
      <c r="C21" s="106"/>
      <c r="D21" s="106"/>
      <c r="E21" s="25"/>
      <c r="F21" s="25"/>
      <c r="G21" s="25" t="s">
        <v>682</v>
      </c>
      <c r="H21" s="25"/>
    </row>
    <row r="22" customFormat="1" customHeight="1" spans="1:9">
      <c r="A22" s="107" t="s">
        <v>65</v>
      </c>
      <c r="B22" s="103">
        <v>45667</v>
      </c>
      <c r="C22" s="104">
        <v>47119</v>
      </c>
      <c r="D22" s="61">
        <v>25</v>
      </c>
      <c r="E22" s="61" t="s">
        <v>665</v>
      </c>
      <c r="F22" s="61" t="s">
        <v>683</v>
      </c>
      <c r="G22" s="61" t="s">
        <v>684</v>
      </c>
      <c r="H22" s="61" t="s">
        <v>685</v>
      </c>
      <c r="I22" s="3" t="s">
        <v>686</v>
      </c>
    </row>
    <row r="23" customFormat="1" customHeight="1" spans="1:9">
      <c r="A23" s="108"/>
      <c r="B23" s="103"/>
      <c r="C23" s="104"/>
      <c r="D23" s="61"/>
      <c r="E23" s="61"/>
      <c r="F23" s="109"/>
      <c r="G23" s="61" t="s">
        <v>687</v>
      </c>
      <c r="H23" s="61"/>
      <c r="I23" s="3"/>
    </row>
    <row r="24" customFormat="1" customHeight="1" spans="1:9">
      <c r="A24" s="108"/>
      <c r="B24" s="103"/>
      <c r="C24" s="104"/>
      <c r="D24" s="61"/>
      <c r="E24" s="61"/>
      <c r="F24" s="109"/>
      <c r="G24" s="61" t="s">
        <v>688</v>
      </c>
      <c r="H24" s="61"/>
      <c r="I24" s="3"/>
    </row>
    <row r="25" customFormat="1" customHeight="1" spans="1:9">
      <c r="A25" s="110"/>
      <c r="B25" s="103"/>
      <c r="C25" s="104"/>
      <c r="D25" s="61"/>
      <c r="E25" s="61"/>
      <c r="F25" s="109"/>
      <c r="G25" s="61" t="s">
        <v>689</v>
      </c>
      <c r="H25" s="61"/>
      <c r="I25" s="3"/>
    </row>
    <row r="26" customFormat="1" customHeight="1" spans="1:9">
      <c r="A26" s="107" t="s">
        <v>76</v>
      </c>
      <c r="B26" s="103">
        <v>45667</v>
      </c>
      <c r="C26" s="104">
        <v>47119</v>
      </c>
      <c r="D26" s="61">
        <v>25</v>
      </c>
      <c r="E26" s="61" t="s">
        <v>690</v>
      </c>
      <c r="F26" s="61" t="s">
        <v>691</v>
      </c>
      <c r="G26" s="61" t="s">
        <v>692</v>
      </c>
      <c r="H26" s="61" t="s">
        <v>693</v>
      </c>
      <c r="I26" s="3" t="s">
        <v>694</v>
      </c>
    </row>
    <row r="27" customFormat="1" customHeight="1" spans="1:9">
      <c r="A27" s="108"/>
      <c r="B27" s="103"/>
      <c r="C27" s="104"/>
      <c r="D27" s="61"/>
      <c r="E27" s="61"/>
      <c r="F27" s="109"/>
      <c r="G27" s="61" t="s">
        <v>695</v>
      </c>
      <c r="H27" s="61"/>
      <c r="I27" s="3"/>
    </row>
    <row r="28" customFormat="1" customHeight="1" spans="1:9">
      <c r="A28" s="108"/>
      <c r="B28" s="103"/>
      <c r="C28" s="104"/>
      <c r="D28" s="61"/>
      <c r="E28" s="61"/>
      <c r="F28" s="109"/>
      <c r="G28" s="61" t="s">
        <v>696</v>
      </c>
      <c r="H28" s="61"/>
      <c r="I28" s="3"/>
    </row>
    <row r="29" customFormat="1" customHeight="1" spans="1:9">
      <c r="A29" s="108"/>
      <c r="B29" s="103"/>
      <c r="C29" s="104"/>
      <c r="D29" s="61"/>
      <c r="E29" s="61"/>
      <c r="F29" s="109"/>
      <c r="G29" s="61" t="s">
        <v>697</v>
      </c>
      <c r="H29" s="61"/>
      <c r="I29" s="3"/>
    </row>
    <row r="30" customFormat="1" customHeight="1" spans="1:9">
      <c r="A30" s="110"/>
      <c r="B30" s="103"/>
      <c r="C30" s="104"/>
      <c r="D30" s="61"/>
      <c r="E30" s="61"/>
      <c r="F30" s="109"/>
      <c r="G30" s="61" t="s">
        <v>698</v>
      </c>
      <c r="H30" s="61"/>
      <c r="I30" s="3"/>
    </row>
    <row r="31" customFormat="1" customHeight="1" spans="1:9">
      <c r="A31" s="107" t="s">
        <v>83</v>
      </c>
      <c r="B31" s="103">
        <v>45667</v>
      </c>
      <c r="C31" s="104">
        <v>47119</v>
      </c>
      <c r="D31" s="61">
        <v>25</v>
      </c>
      <c r="E31" s="61" t="s">
        <v>690</v>
      </c>
      <c r="F31" s="61" t="s">
        <v>663</v>
      </c>
      <c r="G31" s="61" t="s">
        <v>699</v>
      </c>
      <c r="H31" s="61" t="s">
        <v>700</v>
      </c>
      <c r="I31" s="3" t="s">
        <v>701</v>
      </c>
    </row>
    <row r="32" customFormat="1" customHeight="1" spans="1:9">
      <c r="A32" s="108"/>
      <c r="B32" s="103"/>
      <c r="C32" s="104"/>
      <c r="D32" s="61"/>
      <c r="E32" s="61"/>
      <c r="F32" s="61"/>
      <c r="G32" s="61" t="s">
        <v>702</v>
      </c>
      <c r="H32" s="61"/>
      <c r="I32" s="3"/>
    </row>
    <row r="33" customFormat="1" customHeight="1" spans="1:9">
      <c r="A33" s="108"/>
      <c r="B33" s="103"/>
      <c r="C33" s="104"/>
      <c r="D33" s="61"/>
      <c r="E33" s="61"/>
      <c r="F33" s="61"/>
      <c r="G33" s="61" t="s">
        <v>703</v>
      </c>
      <c r="H33" s="61"/>
      <c r="I33" s="3"/>
    </row>
    <row r="34" customFormat="1" customHeight="1" spans="1:9">
      <c r="A34" s="108"/>
      <c r="B34" s="103"/>
      <c r="C34" s="104"/>
      <c r="D34" s="61"/>
      <c r="E34" s="61"/>
      <c r="F34" s="61"/>
      <c r="G34" s="61" t="s">
        <v>704</v>
      </c>
      <c r="H34" s="61"/>
      <c r="I34" s="3"/>
    </row>
    <row r="35" customFormat="1" customHeight="1" spans="1:9">
      <c r="A35" s="108"/>
      <c r="B35" s="103"/>
      <c r="C35" s="104"/>
      <c r="D35" s="61"/>
      <c r="E35" s="61"/>
      <c r="F35" s="61"/>
      <c r="G35" s="61" t="s">
        <v>705</v>
      </c>
      <c r="H35" s="61"/>
      <c r="I35" s="3"/>
    </row>
    <row r="36" customFormat="1" customHeight="1" spans="1:9">
      <c r="A36" s="107" t="s">
        <v>92</v>
      </c>
      <c r="B36" s="103">
        <v>45668</v>
      </c>
      <c r="C36" s="104">
        <v>47119</v>
      </c>
      <c r="D36" s="61">
        <v>25</v>
      </c>
      <c r="E36" s="61" t="s">
        <v>665</v>
      </c>
      <c r="F36" s="61" t="s">
        <v>706</v>
      </c>
      <c r="G36" s="61" t="s">
        <v>707</v>
      </c>
      <c r="H36" s="61" t="s">
        <v>708</v>
      </c>
      <c r="I36" s="3" t="s">
        <v>709</v>
      </c>
    </row>
    <row r="37" customFormat="1" customHeight="1" spans="1:9">
      <c r="A37" s="108"/>
      <c r="B37" s="103"/>
      <c r="C37" s="104"/>
      <c r="D37" s="61"/>
      <c r="E37" s="61"/>
      <c r="F37" s="61"/>
      <c r="G37" s="61" t="s">
        <v>710</v>
      </c>
      <c r="H37" s="61"/>
      <c r="I37" s="3"/>
    </row>
    <row r="38" customFormat="1" customHeight="1" spans="1:9">
      <c r="A38" s="108"/>
      <c r="B38" s="103"/>
      <c r="C38" s="104"/>
      <c r="D38" s="61"/>
      <c r="E38" s="61"/>
      <c r="F38" s="61"/>
      <c r="G38" s="61" t="s">
        <v>711</v>
      </c>
      <c r="H38" s="61"/>
      <c r="I38" s="3"/>
    </row>
    <row r="39" customFormat="1" customHeight="1" spans="1:9">
      <c r="A39" s="107" t="s">
        <v>97</v>
      </c>
      <c r="B39" s="103">
        <v>45668</v>
      </c>
      <c r="C39" s="104">
        <v>47119</v>
      </c>
      <c r="D39" s="61">
        <v>25</v>
      </c>
      <c r="E39" s="61" t="s">
        <v>712</v>
      </c>
      <c r="F39" s="61" t="s">
        <v>713</v>
      </c>
      <c r="G39" s="61" t="s">
        <v>714</v>
      </c>
      <c r="H39" s="61" t="s">
        <v>715</v>
      </c>
      <c r="I39" s="3"/>
    </row>
    <row r="40" s="1" customFormat="1" customHeight="1" spans="1:8">
      <c r="A40" s="111"/>
      <c r="B40" s="111"/>
      <c r="C40" s="111"/>
      <c r="D40" s="111"/>
      <c r="E40" s="30"/>
      <c r="F40" s="30"/>
      <c r="G40" s="30"/>
      <c r="H40" s="30"/>
    </row>
    <row r="41" customHeight="1" spans="1:8">
      <c r="A41" s="24" t="s">
        <v>104</v>
      </c>
      <c r="B41" s="103">
        <v>45701</v>
      </c>
      <c r="C41" s="104">
        <v>46784</v>
      </c>
      <c r="D41" s="61">
        <v>25</v>
      </c>
      <c r="E41" s="25" t="s">
        <v>716</v>
      </c>
      <c r="F41" s="25" t="s">
        <v>717</v>
      </c>
      <c r="G41" s="25" t="s">
        <v>664</v>
      </c>
      <c r="H41" s="25">
        <v>100</v>
      </c>
    </row>
    <row r="42" customHeight="1" spans="1:8">
      <c r="A42" s="24" t="s">
        <v>110</v>
      </c>
      <c r="B42" s="103">
        <v>45706</v>
      </c>
      <c r="C42" s="104">
        <v>46784</v>
      </c>
      <c r="D42" s="61">
        <v>25</v>
      </c>
      <c r="E42" s="25" t="s">
        <v>718</v>
      </c>
      <c r="F42" s="25" t="s">
        <v>691</v>
      </c>
      <c r="G42" s="25" t="s">
        <v>719</v>
      </c>
      <c r="H42" s="25" t="s">
        <v>720</v>
      </c>
    </row>
    <row r="43" s="1" customFormat="1" customHeight="1" spans="1:8">
      <c r="A43" s="111"/>
      <c r="B43" s="111"/>
      <c r="C43" s="111"/>
      <c r="D43" s="111"/>
      <c r="E43" s="30"/>
      <c r="F43" s="30"/>
      <c r="G43" s="30"/>
      <c r="H43" s="30"/>
    </row>
    <row r="44" customHeight="1" spans="1:8">
      <c r="A44" s="24" t="s">
        <v>721</v>
      </c>
      <c r="B44" s="103">
        <v>45744</v>
      </c>
      <c r="C44" s="104">
        <v>47178</v>
      </c>
      <c r="D44" s="61">
        <v>25</v>
      </c>
      <c r="E44" s="25">
        <v>100.23</v>
      </c>
      <c r="F44" s="25">
        <v>99.9</v>
      </c>
      <c r="G44" s="25">
        <v>99.52</v>
      </c>
      <c r="H44" s="25">
        <v>100.1</v>
      </c>
    </row>
    <row r="45" s="1" customFormat="1" customHeight="1" spans="5:8">
      <c r="E45" s="28"/>
      <c r="F45" s="28"/>
      <c r="G45" s="28"/>
      <c r="H45" s="28"/>
    </row>
    <row r="46" customHeight="1" spans="1:8">
      <c r="A46" s="6" t="s">
        <v>120</v>
      </c>
      <c r="B46" s="7" t="s">
        <v>121</v>
      </c>
      <c r="C46" s="83"/>
      <c r="D46" s="84"/>
      <c r="E46" s="84"/>
      <c r="F46" s="84"/>
      <c r="G46" s="84"/>
      <c r="H46" s="84"/>
    </row>
    <row r="47" customHeight="1" spans="1:8">
      <c r="A47" s="6" t="s">
        <v>122</v>
      </c>
      <c r="B47" s="7" t="s">
        <v>123</v>
      </c>
      <c r="C47" s="83"/>
      <c r="D47" s="84"/>
      <c r="E47" s="84"/>
      <c r="F47" s="84"/>
      <c r="G47" s="84"/>
      <c r="H47" s="84"/>
    </row>
    <row r="48" customHeight="1" spans="1:8">
      <c r="A48" s="85" t="s">
        <v>649</v>
      </c>
      <c r="B48" s="86"/>
      <c r="C48" s="86"/>
      <c r="D48" s="86"/>
      <c r="E48" s="86"/>
      <c r="F48" s="86"/>
      <c r="G48" s="86"/>
      <c r="H48" s="87"/>
    </row>
    <row r="49" ht="39.9" customHeight="1" spans="1:8">
      <c r="A49" s="88" t="s">
        <v>0</v>
      </c>
      <c r="B49" s="89" t="s">
        <v>650</v>
      </c>
      <c r="C49" s="90" t="s">
        <v>651</v>
      </c>
      <c r="D49" s="91" t="s">
        <v>652</v>
      </c>
      <c r="E49" s="92" t="s">
        <v>653</v>
      </c>
      <c r="F49" s="91" t="s">
        <v>654</v>
      </c>
      <c r="G49" s="91" t="s">
        <v>655</v>
      </c>
      <c r="H49" s="91" t="s">
        <v>656</v>
      </c>
    </row>
    <row r="50" customHeight="1" spans="1:8">
      <c r="A50" s="88"/>
      <c r="B50" s="89"/>
      <c r="C50" s="90"/>
      <c r="D50" s="93" t="s">
        <v>657</v>
      </c>
      <c r="E50" s="94" t="s">
        <v>658</v>
      </c>
      <c r="F50" s="93" t="s">
        <v>658</v>
      </c>
      <c r="G50" s="93" t="s">
        <v>658</v>
      </c>
      <c r="H50" s="93" t="s">
        <v>658</v>
      </c>
    </row>
    <row r="51" customHeight="1" spans="1:8">
      <c r="A51" s="95"/>
      <c r="B51" s="96"/>
      <c r="C51" s="97"/>
      <c r="D51" s="98">
        <v>25</v>
      </c>
      <c r="E51" s="99"/>
      <c r="F51" s="100"/>
      <c r="G51" s="101"/>
      <c r="H51" s="102"/>
    </row>
    <row r="52" customHeight="1" spans="1:8">
      <c r="A52" s="24" t="s">
        <v>124</v>
      </c>
      <c r="B52" s="103">
        <v>45755</v>
      </c>
      <c r="C52" s="104">
        <v>47209</v>
      </c>
      <c r="D52" s="61">
        <v>25</v>
      </c>
      <c r="E52" s="25" t="s">
        <v>672</v>
      </c>
      <c r="F52" s="25" t="s">
        <v>717</v>
      </c>
      <c r="G52" s="25" t="s">
        <v>722</v>
      </c>
      <c r="H52" s="25" t="s">
        <v>723</v>
      </c>
    </row>
    <row r="53" customHeight="1" spans="1:8">
      <c r="A53" s="24" t="s">
        <v>127</v>
      </c>
      <c r="B53" s="103">
        <v>45755</v>
      </c>
      <c r="C53" s="104">
        <v>47209</v>
      </c>
      <c r="D53" s="61">
        <v>25</v>
      </c>
      <c r="E53" s="25">
        <v>100.15</v>
      </c>
      <c r="F53" s="25">
        <v>99.91</v>
      </c>
      <c r="G53" s="25">
        <v>99.7</v>
      </c>
      <c r="H53" s="25">
        <v>99.69</v>
      </c>
    </row>
    <row r="54" customHeight="1" spans="1:8">
      <c r="A54" s="24" t="s">
        <v>131</v>
      </c>
      <c r="B54" s="103">
        <v>45755</v>
      </c>
      <c r="C54" s="104">
        <v>47209</v>
      </c>
      <c r="D54" s="61">
        <v>25</v>
      </c>
      <c r="E54" s="25">
        <v>100.2</v>
      </c>
      <c r="F54" s="25">
        <v>99.9</v>
      </c>
      <c r="G54" s="25">
        <v>99.52</v>
      </c>
      <c r="H54" s="25">
        <v>100.15</v>
      </c>
    </row>
    <row r="55" customHeight="1" spans="1:8">
      <c r="A55" s="24" t="s">
        <v>138</v>
      </c>
      <c r="B55" s="103">
        <v>45755</v>
      </c>
      <c r="C55" s="104">
        <v>47209</v>
      </c>
      <c r="D55" s="61">
        <v>25</v>
      </c>
      <c r="E55" s="25">
        <v>100.17</v>
      </c>
      <c r="F55" s="25">
        <v>99.9</v>
      </c>
      <c r="G55" s="25">
        <v>99.51</v>
      </c>
      <c r="H55" s="25">
        <v>100.15</v>
      </c>
    </row>
    <row r="56" customHeight="1" spans="1:8">
      <c r="A56" s="24" t="s">
        <v>140</v>
      </c>
      <c r="B56" s="103">
        <v>45757</v>
      </c>
      <c r="C56" s="104">
        <v>47209</v>
      </c>
      <c r="D56" s="61">
        <v>25</v>
      </c>
      <c r="E56" s="25" t="s">
        <v>724</v>
      </c>
      <c r="F56" s="25" t="s">
        <v>660</v>
      </c>
      <c r="G56" s="25" t="s">
        <v>725</v>
      </c>
      <c r="H56" s="25">
        <v>100</v>
      </c>
    </row>
    <row r="57" customHeight="1" spans="1:8">
      <c r="A57" s="24" t="s">
        <v>144</v>
      </c>
      <c r="B57" s="103">
        <v>45757</v>
      </c>
      <c r="C57" s="104">
        <v>47209</v>
      </c>
      <c r="D57" s="61">
        <v>25</v>
      </c>
      <c r="E57" s="25" t="s">
        <v>726</v>
      </c>
      <c r="F57" s="25" t="s">
        <v>727</v>
      </c>
      <c r="G57" s="25" t="s">
        <v>728</v>
      </c>
      <c r="H57" s="25" t="s">
        <v>729</v>
      </c>
    </row>
    <row r="58" customHeight="1" spans="1:8">
      <c r="A58" s="24" t="s">
        <v>150</v>
      </c>
      <c r="B58" s="103">
        <v>45757</v>
      </c>
      <c r="C58" s="104">
        <v>47209</v>
      </c>
      <c r="D58" s="61">
        <v>25</v>
      </c>
      <c r="E58" s="25" t="s">
        <v>659</v>
      </c>
      <c r="F58" s="25" t="s">
        <v>683</v>
      </c>
      <c r="G58" s="25" t="s">
        <v>682</v>
      </c>
      <c r="H58" s="25" t="s">
        <v>720</v>
      </c>
    </row>
    <row r="59" customHeight="1" spans="1:8">
      <c r="A59" s="24" t="s">
        <v>152</v>
      </c>
      <c r="B59" s="103">
        <v>45758</v>
      </c>
      <c r="C59" s="104">
        <v>47209</v>
      </c>
      <c r="D59" s="61">
        <v>25</v>
      </c>
      <c r="E59" s="25" t="s">
        <v>730</v>
      </c>
      <c r="F59" s="25" t="s">
        <v>663</v>
      </c>
      <c r="G59" s="25" t="s">
        <v>731</v>
      </c>
      <c r="H59" s="25" t="s">
        <v>668</v>
      </c>
    </row>
    <row r="60" customHeight="1" spans="1:8">
      <c r="A60" s="24" t="s">
        <v>155</v>
      </c>
      <c r="B60" s="103">
        <v>45758</v>
      </c>
      <c r="C60" s="104">
        <v>47209</v>
      </c>
      <c r="D60" s="61">
        <v>25</v>
      </c>
      <c r="E60" s="25" t="s">
        <v>732</v>
      </c>
      <c r="F60" s="25" t="s">
        <v>663</v>
      </c>
      <c r="G60" s="25" t="s">
        <v>733</v>
      </c>
      <c r="H60" s="25">
        <v>100</v>
      </c>
    </row>
    <row r="61" customHeight="1" spans="1:8">
      <c r="A61" s="24" t="s">
        <v>159</v>
      </c>
      <c r="B61" s="103">
        <v>45758</v>
      </c>
      <c r="C61" s="104">
        <v>47209</v>
      </c>
      <c r="D61" s="61">
        <v>25</v>
      </c>
      <c r="E61" s="25" t="s">
        <v>730</v>
      </c>
      <c r="F61" s="25" t="s">
        <v>727</v>
      </c>
      <c r="G61" s="25" t="s">
        <v>734</v>
      </c>
      <c r="H61" s="25" t="s">
        <v>729</v>
      </c>
    </row>
    <row r="62" customHeight="1" spans="1:8">
      <c r="A62" s="24" t="s">
        <v>165</v>
      </c>
      <c r="B62" s="103">
        <v>45761</v>
      </c>
      <c r="C62" s="104">
        <v>47209</v>
      </c>
      <c r="D62" s="61">
        <v>25</v>
      </c>
      <c r="E62" s="25" t="s">
        <v>665</v>
      </c>
      <c r="F62" s="25" t="s">
        <v>735</v>
      </c>
      <c r="G62" s="25" t="s">
        <v>722</v>
      </c>
      <c r="H62" s="25">
        <v>100</v>
      </c>
    </row>
    <row r="63" customHeight="1" spans="1:8">
      <c r="A63" s="24" t="s">
        <v>169</v>
      </c>
      <c r="B63" s="103">
        <v>45761</v>
      </c>
      <c r="C63" s="104">
        <v>47209</v>
      </c>
      <c r="D63" s="61">
        <v>25</v>
      </c>
      <c r="E63" s="25" t="s">
        <v>665</v>
      </c>
      <c r="F63" s="25" t="s">
        <v>669</v>
      </c>
      <c r="G63" s="25" t="s">
        <v>736</v>
      </c>
      <c r="H63" s="25" t="s">
        <v>720</v>
      </c>
    </row>
    <row r="64" customHeight="1" spans="1:8">
      <c r="A64" s="24" t="s">
        <v>171</v>
      </c>
      <c r="B64" s="103">
        <v>45761</v>
      </c>
      <c r="C64" s="104">
        <v>47209</v>
      </c>
      <c r="D64" s="61">
        <v>25</v>
      </c>
      <c r="E64" s="25">
        <v>100.2</v>
      </c>
      <c r="F64" s="25">
        <v>99.91</v>
      </c>
      <c r="G64" s="25">
        <v>99.63</v>
      </c>
      <c r="H64" s="25">
        <v>100.1</v>
      </c>
    </row>
    <row r="65" customHeight="1" spans="1:8">
      <c r="A65" s="24" t="s">
        <v>177</v>
      </c>
      <c r="B65" s="103">
        <v>45761</v>
      </c>
      <c r="C65" s="104">
        <v>47209</v>
      </c>
      <c r="D65" s="61">
        <v>25</v>
      </c>
      <c r="E65" s="25">
        <v>100.2</v>
      </c>
      <c r="F65" s="25">
        <v>99.95</v>
      </c>
      <c r="G65" s="25">
        <v>99.75</v>
      </c>
      <c r="H65" s="25">
        <v>100.15</v>
      </c>
    </row>
    <row r="66" customHeight="1" spans="1:8">
      <c r="A66" s="24" t="s">
        <v>181</v>
      </c>
      <c r="B66" s="103">
        <v>45761</v>
      </c>
      <c r="C66" s="104">
        <v>47209</v>
      </c>
      <c r="D66" s="61">
        <v>25</v>
      </c>
      <c r="E66" s="25">
        <v>100.21</v>
      </c>
      <c r="F66" s="25">
        <v>99.9</v>
      </c>
      <c r="G66" s="25">
        <v>99.57</v>
      </c>
      <c r="H66" s="25">
        <v>100</v>
      </c>
    </row>
    <row r="67" customHeight="1" spans="1:8">
      <c r="A67" s="24" t="s">
        <v>182</v>
      </c>
      <c r="B67" s="103">
        <v>45761</v>
      </c>
      <c r="C67" s="104">
        <v>47209</v>
      </c>
      <c r="D67" s="61">
        <v>25</v>
      </c>
      <c r="E67" s="25">
        <v>100.19</v>
      </c>
      <c r="F67" s="25">
        <v>99.92</v>
      </c>
      <c r="G67" s="25">
        <v>99.68</v>
      </c>
      <c r="H67" s="25">
        <v>100.1</v>
      </c>
    </row>
    <row r="68" customHeight="1" spans="1:8">
      <c r="A68" s="24" t="s">
        <v>185</v>
      </c>
      <c r="B68" s="103">
        <v>45766</v>
      </c>
      <c r="C68" s="104">
        <v>47209</v>
      </c>
      <c r="D68" s="61">
        <v>25</v>
      </c>
      <c r="E68" s="25">
        <v>100.15</v>
      </c>
      <c r="F68" s="25">
        <v>99.9</v>
      </c>
      <c r="G68" s="25">
        <v>99.53</v>
      </c>
      <c r="H68" s="25">
        <v>100.05</v>
      </c>
    </row>
    <row r="69" customHeight="1" spans="1:8">
      <c r="A69" s="24" t="s">
        <v>189</v>
      </c>
      <c r="B69" s="103">
        <v>45766</v>
      </c>
      <c r="C69" s="104">
        <v>47209</v>
      </c>
      <c r="D69" s="61">
        <v>25</v>
      </c>
      <c r="E69" s="25">
        <v>100.22</v>
      </c>
      <c r="F69" s="25">
        <v>99.92</v>
      </c>
      <c r="G69" s="25">
        <v>99.7</v>
      </c>
      <c r="H69" s="25">
        <v>100</v>
      </c>
    </row>
    <row r="70" customHeight="1" spans="1:8">
      <c r="A70" s="24" t="s">
        <v>192</v>
      </c>
      <c r="B70" s="103">
        <v>45768</v>
      </c>
      <c r="C70" s="104">
        <v>47209</v>
      </c>
      <c r="D70" s="61">
        <v>25</v>
      </c>
      <c r="E70" s="25">
        <v>100.18</v>
      </c>
      <c r="F70" s="25">
        <v>99.92</v>
      </c>
      <c r="G70" s="25">
        <v>99.58</v>
      </c>
      <c r="H70" s="25">
        <v>100.1</v>
      </c>
    </row>
    <row r="71" customHeight="1" spans="1:8">
      <c r="A71" s="24" t="s">
        <v>196</v>
      </c>
      <c r="B71" s="103">
        <v>45768</v>
      </c>
      <c r="C71" s="104">
        <v>47209</v>
      </c>
      <c r="D71" s="61">
        <v>25</v>
      </c>
      <c r="E71" s="25">
        <v>100.21</v>
      </c>
      <c r="F71" s="25">
        <v>99.9</v>
      </c>
      <c r="G71" s="25">
        <v>99.51</v>
      </c>
      <c r="H71" s="25">
        <v>100</v>
      </c>
    </row>
    <row r="72" customHeight="1" spans="1:8">
      <c r="A72" s="24" t="s">
        <v>197</v>
      </c>
      <c r="B72" s="103">
        <v>45768</v>
      </c>
      <c r="C72" s="104">
        <v>47209</v>
      </c>
      <c r="D72" s="61">
        <v>25</v>
      </c>
      <c r="E72" s="25">
        <v>100.22</v>
      </c>
      <c r="F72" s="25">
        <v>99.91</v>
      </c>
      <c r="G72" s="25">
        <v>99.62</v>
      </c>
      <c r="H72" s="25">
        <v>100</v>
      </c>
    </row>
    <row r="73" customHeight="1" spans="1:8">
      <c r="A73" s="24" t="s">
        <v>200</v>
      </c>
      <c r="B73" s="103">
        <v>45772</v>
      </c>
      <c r="C73" s="104">
        <v>47209</v>
      </c>
      <c r="D73" s="61">
        <v>25</v>
      </c>
      <c r="E73" s="25">
        <v>100.14</v>
      </c>
      <c r="F73" s="25">
        <v>99.88</v>
      </c>
      <c r="G73" s="25">
        <v>99.52</v>
      </c>
      <c r="H73" s="25">
        <v>99.79</v>
      </c>
    </row>
    <row r="74" customHeight="1" spans="1:8">
      <c r="A74" s="24" t="s">
        <v>203</v>
      </c>
      <c r="B74" s="103">
        <v>45772</v>
      </c>
      <c r="C74" s="104">
        <v>47209</v>
      </c>
      <c r="D74" s="61">
        <v>25</v>
      </c>
      <c r="E74" s="25">
        <v>100.24</v>
      </c>
      <c r="F74" s="25">
        <v>99.9</v>
      </c>
      <c r="G74" s="25">
        <v>99.63</v>
      </c>
      <c r="H74" s="25">
        <v>100</v>
      </c>
    </row>
    <row r="75" customHeight="1" spans="1:8">
      <c r="A75" s="24" t="s">
        <v>206</v>
      </c>
      <c r="B75" s="103">
        <v>45772</v>
      </c>
      <c r="C75" s="104">
        <v>47209</v>
      </c>
      <c r="D75" s="61">
        <v>25</v>
      </c>
      <c r="E75" s="25">
        <v>100.29</v>
      </c>
      <c r="F75" s="25">
        <v>99.85</v>
      </c>
      <c r="G75" s="25">
        <v>99.54</v>
      </c>
      <c r="H75" s="25">
        <v>100.1</v>
      </c>
    </row>
    <row r="76" customHeight="1" spans="1:8">
      <c r="A76" s="24" t="s">
        <v>210</v>
      </c>
      <c r="B76" s="103">
        <v>45776</v>
      </c>
      <c r="C76" s="104">
        <v>47209</v>
      </c>
      <c r="D76" s="61">
        <v>25</v>
      </c>
      <c r="E76" s="25">
        <v>100.2</v>
      </c>
      <c r="F76" s="25">
        <v>99.89</v>
      </c>
      <c r="G76" s="25">
        <v>99.6</v>
      </c>
      <c r="H76" s="25">
        <v>100.05</v>
      </c>
    </row>
    <row r="77" customHeight="1" spans="1:8">
      <c r="A77" s="24" t="s">
        <v>213</v>
      </c>
      <c r="B77" s="103">
        <v>45776</v>
      </c>
      <c r="C77" s="104">
        <v>47209</v>
      </c>
      <c r="D77" s="61">
        <v>25</v>
      </c>
      <c r="E77" s="25">
        <v>100.22</v>
      </c>
      <c r="F77" s="25">
        <v>99.91</v>
      </c>
      <c r="G77" s="25">
        <v>99.62</v>
      </c>
      <c r="H77" s="25">
        <v>99.89</v>
      </c>
    </row>
    <row r="78" customHeight="1" spans="1:8">
      <c r="A78" s="24" t="s">
        <v>218</v>
      </c>
      <c r="B78" s="103">
        <v>45776</v>
      </c>
      <c r="C78" s="104">
        <v>47209</v>
      </c>
      <c r="D78" s="61">
        <v>25</v>
      </c>
      <c r="E78" s="25">
        <v>100.19</v>
      </c>
      <c r="F78" s="25">
        <v>99.92</v>
      </c>
      <c r="G78" s="25">
        <v>99.64</v>
      </c>
      <c r="H78" s="25">
        <v>100.15</v>
      </c>
    </row>
    <row r="79" customHeight="1" spans="1:8">
      <c r="A79" s="24" t="s">
        <v>221</v>
      </c>
      <c r="B79" s="103">
        <v>45777</v>
      </c>
      <c r="C79" s="104">
        <v>47209</v>
      </c>
      <c r="D79" s="61">
        <v>25</v>
      </c>
      <c r="E79" s="25">
        <v>100.22</v>
      </c>
      <c r="F79" s="25">
        <v>99.91</v>
      </c>
      <c r="G79" s="25">
        <v>99.55</v>
      </c>
      <c r="H79" s="25">
        <v>99.84</v>
      </c>
    </row>
    <row r="80" customHeight="1" spans="1:8">
      <c r="A80" s="24" t="s">
        <v>223</v>
      </c>
      <c r="B80" s="103">
        <v>45777</v>
      </c>
      <c r="C80" s="104">
        <v>47209</v>
      </c>
      <c r="D80" s="61">
        <v>25</v>
      </c>
      <c r="E80" s="25">
        <v>100.18</v>
      </c>
      <c r="F80" s="25">
        <v>99.92</v>
      </c>
      <c r="G80" s="25">
        <v>99.61</v>
      </c>
      <c r="H80" s="25">
        <v>100.1</v>
      </c>
    </row>
    <row r="81" s="1" customFormat="1" customHeight="1" spans="1:8">
      <c r="A81" s="30"/>
      <c r="B81" s="30"/>
      <c r="C81" s="30"/>
      <c r="D81" s="30"/>
      <c r="E81" s="30"/>
      <c r="F81" s="30"/>
      <c r="G81" s="30"/>
      <c r="H81" s="30"/>
    </row>
    <row r="82" customHeight="1" spans="1:8">
      <c r="A82" s="24" t="s">
        <v>226</v>
      </c>
      <c r="B82" s="103">
        <v>45779</v>
      </c>
      <c r="C82" s="104">
        <v>47239</v>
      </c>
      <c r="D82" s="61">
        <v>25</v>
      </c>
      <c r="E82" s="25">
        <v>100.2</v>
      </c>
      <c r="F82" s="25">
        <v>99.93</v>
      </c>
      <c r="G82" s="25">
        <v>99.66</v>
      </c>
      <c r="H82" s="25">
        <v>100.2</v>
      </c>
    </row>
    <row r="83" customHeight="1" spans="1:8">
      <c r="A83" s="24" t="s">
        <v>228</v>
      </c>
      <c r="B83" s="103">
        <v>45779</v>
      </c>
      <c r="C83" s="104">
        <v>47239</v>
      </c>
      <c r="D83" s="61">
        <v>25</v>
      </c>
      <c r="E83" s="25">
        <v>100.19</v>
      </c>
      <c r="F83" s="25">
        <v>99.88</v>
      </c>
      <c r="G83" s="25">
        <v>99.58</v>
      </c>
      <c r="H83" s="25">
        <v>100</v>
      </c>
    </row>
    <row r="84" customHeight="1" spans="1:8">
      <c r="A84" s="24" t="s">
        <v>230</v>
      </c>
      <c r="B84" s="103">
        <v>45779</v>
      </c>
      <c r="C84" s="104">
        <v>47239</v>
      </c>
      <c r="D84" s="61">
        <v>25</v>
      </c>
      <c r="E84" s="25">
        <v>100.25</v>
      </c>
      <c r="F84" s="25">
        <v>99.94</v>
      </c>
      <c r="G84" s="25">
        <v>99.63</v>
      </c>
      <c r="H84" s="25">
        <v>99.84</v>
      </c>
    </row>
    <row r="85" customHeight="1" spans="1:8">
      <c r="A85" s="24" t="s">
        <v>233</v>
      </c>
      <c r="B85" s="103">
        <v>45779</v>
      </c>
      <c r="C85" s="104">
        <v>47239</v>
      </c>
      <c r="D85" s="61">
        <v>25</v>
      </c>
      <c r="E85" s="25">
        <v>100.24</v>
      </c>
      <c r="F85" s="25">
        <v>99.93</v>
      </c>
      <c r="G85" s="25">
        <v>99.7</v>
      </c>
      <c r="H85" s="25">
        <v>100.15</v>
      </c>
    </row>
    <row r="86" customHeight="1" spans="1:8">
      <c r="A86" s="24" t="s">
        <v>237</v>
      </c>
      <c r="B86" s="103">
        <v>45779</v>
      </c>
      <c r="C86" s="104">
        <v>47239</v>
      </c>
      <c r="D86" s="61">
        <v>25</v>
      </c>
      <c r="E86" s="25">
        <v>100.19</v>
      </c>
      <c r="F86" s="25">
        <v>99.91</v>
      </c>
      <c r="G86" s="25">
        <v>99.62</v>
      </c>
      <c r="H86" s="25">
        <v>100</v>
      </c>
    </row>
    <row r="87" customHeight="1" spans="1:8">
      <c r="A87" s="24" t="s">
        <v>239</v>
      </c>
      <c r="B87" s="103">
        <v>45786</v>
      </c>
      <c r="C87" s="104">
        <v>47239</v>
      </c>
      <c r="D87" s="61">
        <v>25</v>
      </c>
      <c r="E87" s="25">
        <v>100.29</v>
      </c>
      <c r="F87" s="25">
        <v>99.9</v>
      </c>
      <c r="G87" s="25">
        <v>99.56</v>
      </c>
      <c r="H87" s="25">
        <v>100.1</v>
      </c>
    </row>
    <row r="88" customHeight="1" spans="1:8">
      <c r="A88" s="24" t="s">
        <v>242</v>
      </c>
      <c r="B88" s="103">
        <v>45786</v>
      </c>
      <c r="C88" s="104">
        <v>47239</v>
      </c>
      <c r="D88" s="61">
        <v>25</v>
      </c>
      <c r="E88" s="25">
        <v>100.24</v>
      </c>
      <c r="F88" s="25">
        <v>99.92</v>
      </c>
      <c r="G88" s="25">
        <v>99.64</v>
      </c>
      <c r="H88" s="25">
        <v>100.1</v>
      </c>
    </row>
    <row r="89" customHeight="1" spans="1:8">
      <c r="A89" s="24" t="s">
        <v>244</v>
      </c>
      <c r="B89" s="103">
        <v>45786</v>
      </c>
      <c r="C89" s="104">
        <v>47239</v>
      </c>
      <c r="D89" s="61">
        <v>25</v>
      </c>
      <c r="E89" s="25">
        <v>100.23</v>
      </c>
      <c r="F89" s="25">
        <v>99.88</v>
      </c>
      <c r="G89" s="25">
        <v>99.47</v>
      </c>
      <c r="H89" s="25">
        <v>100.05</v>
      </c>
    </row>
    <row r="90" customHeight="1" spans="1:8">
      <c r="A90" s="24" t="s">
        <v>246</v>
      </c>
      <c r="B90" s="103">
        <v>45786</v>
      </c>
      <c r="C90" s="104">
        <v>47239</v>
      </c>
      <c r="D90" s="61">
        <v>25</v>
      </c>
      <c r="E90" s="25">
        <v>100.23</v>
      </c>
      <c r="F90" s="25">
        <v>99.9</v>
      </c>
      <c r="G90" s="25">
        <v>99.55</v>
      </c>
      <c r="H90" s="25">
        <v>99.74</v>
      </c>
    </row>
    <row r="91" customHeight="1" spans="1:8">
      <c r="A91" s="24" t="s">
        <v>248</v>
      </c>
      <c r="B91" s="103">
        <v>45787</v>
      </c>
      <c r="C91" s="104">
        <v>47239</v>
      </c>
      <c r="D91" s="61">
        <v>25</v>
      </c>
      <c r="E91" s="25">
        <v>100.26</v>
      </c>
      <c r="F91" s="25">
        <v>99.9</v>
      </c>
      <c r="G91" s="25">
        <v>99.51</v>
      </c>
      <c r="H91" s="25">
        <v>100.25</v>
      </c>
    </row>
    <row r="92" customHeight="1" spans="1:8">
      <c r="A92" s="24" t="s">
        <v>252</v>
      </c>
      <c r="B92" s="103">
        <v>45787</v>
      </c>
      <c r="C92" s="104">
        <v>47239</v>
      </c>
      <c r="D92" s="61">
        <v>25</v>
      </c>
      <c r="E92" s="25">
        <v>100.27</v>
      </c>
      <c r="F92" s="25">
        <v>99.91</v>
      </c>
      <c r="G92" s="25">
        <v>99.57</v>
      </c>
      <c r="H92" s="25">
        <v>100</v>
      </c>
    </row>
    <row r="93" customHeight="1" spans="1:8">
      <c r="A93" s="24" t="s">
        <v>257</v>
      </c>
      <c r="B93" s="103">
        <v>45787</v>
      </c>
      <c r="C93" s="104">
        <v>47239</v>
      </c>
      <c r="D93" s="61">
        <v>25</v>
      </c>
      <c r="E93" s="25">
        <v>100.25</v>
      </c>
      <c r="F93" s="25">
        <v>99.9</v>
      </c>
      <c r="G93" s="25">
        <v>99.52</v>
      </c>
      <c r="H93" s="25">
        <v>100.15</v>
      </c>
    </row>
    <row r="94" customHeight="1" spans="1:8">
      <c r="A94" s="24" t="s">
        <v>259</v>
      </c>
      <c r="B94" s="103">
        <v>45790</v>
      </c>
      <c r="C94" s="104">
        <v>47239</v>
      </c>
      <c r="D94" s="61">
        <v>25</v>
      </c>
      <c r="E94" s="25">
        <v>100.25</v>
      </c>
      <c r="F94" s="25">
        <v>99.91</v>
      </c>
      <c r="G94" s="25">
        <v>99.59</v>
      </c>
      <c r="H94" s="25">
        <v>100.15</v>
      </c>
    </row>
    <row r="95" customHeight="1" spans="1:8">
      <c r="A95" s="24" t="s">
        <v>261</v>
      </c>
      <c r="B95" s="103">
        <v>45790</v>
      </c>
      <c r="C95" s="104">
        <v>47239</v>
      </c>
      <c r="D95" s="61">
        <v>25</v>
      </c>
      <c r="E95" s="25">
        <v>100.2</v>
      </c>
      <c r="F95" s="25">
        <v>99.9</v>
      </c>
      <c r="G95" s="25">
        <v>99.62</v>
      </c>
      <c r="H95" s="25">
        <v>100.1</v>
      </c>
    </row>
    <row r="96" customHeight="1" spans="1:8">
      <c r="A96" s="24" t="s">
        <v>264</v>
      </c>
      <c r="B96" s="103">
        <v>45790</v>
      </c>
      <c r="C96" s="104">
        <v>47239</v>
      </c>
      <c r="D96" s="61">
        <v>25</v>
      </c>
      <c r="E96" s="25">
        <v>100.3</v>
      </c>
      <c r="F96" s="25">
        <v>99.91</v>
      </c>
      <c r="G96" s="25">
        <v>99.62</v>
      </c>
      <c r="H96" s="25">
        <v>100.2</v>
      </c>
    </row>
    <row r="97" customHeight="1" spans="1:8">
      <c r="A97" s="24" t="s">
        <v>266</v>
      </c>
      <c r="B97" s="103">
        <v>45794</v>
      </c>
      <c r="C97" s="104">
        <v>47239</v>
      </c>
      <c r="D97" s="61">
        <v>25</v>
      </c>
      <c r="E97" s="25">
        <v>100.27</v>
      </c>
      <c r="F97" s="25">
        <v>99.91</v>
      </c>
      <c r="G97" s="25">
        <v>99.55</v>
      </c>
      <c r="H97" s="25">
        <v>100</v>
      </c>
    </row>
    <row r="98" customHeight="1" spans="1:8">
      <c r="A98" s="24" t="s">
        <v>268</v>
      </c>
      <c r="B98" s="103">
        <v>45794</v>
      </c>
      <c r="C98" s="104">
        <v>47239</v>
      </c>
      <c r="D98" s="61">
        <v>25</v>
      </c>
      <c r="E98" s="25">
        <v>100.27</v>
      </c>
      <c r="F98" s="25">
        <v>99.93</v>
      </c>
      <c r="G98" s="25">
        <v>99.66</v>
      </c>
      <c r="H98" s="25">
        <v>100.05</v>
      </c>
    </row>
    <row r="99" customHeight="1" spans="1:8">
      <c r="A99" s="24" t="s">
        <v>270</v>
      </c>
      <c r="B99" s="103">
        <v>45794</v>
      </c>
      <c r="C99" s="104">
        <v>47239</v>
      </c>
      <c r="D99" s="61">
        <v>25</v>
      </c>
      <c r="E99" s="25">
        <v>100.22</v>
      </c>
      <c r="F99" s="25">
        <v>99.93</v>
      </c>
      <c r="G99" s="25">
        <v>99.61</v>
      </c>
      <c r="H99" s="25">
        <v>99.94</v>
      </c>
    </row>
    <row r="100" customHeight="1" spans="1:8">
      <c r="A100" s="24" t="s">
        <v>272</v>
      </c>
      <c r="B100" s="103">
        <v>45796</v>
      </c>
      <c r="C100" s="104">
        <v>47239</v>
      </c>
      <c r="D100" s="61">
        <v>25</v>
      </c>
      <c r="E100" s="25">
        <v>100.26</v>
      </c>
      <c r="F100" s="25">
        <v>99.95</v>
      </c>
      <c r="G100" s="25">
        <v>99.7</v>
      </c>
      <c r="H100" s="25">
        <v>100</v>
      </c>
    </row>
    <row r="101" customHeight="1" spans="1:8">
      <c r="A101" s="24" t="s">
        <v>275</v>
      </c>
      <c r="B101" s="103">
        <v>45796</v>
      </c>
      <c r="C101" s="104">
        <v>47239</v>
      </c>
      <c r="D101" s="61">
        <v>25</v>
      </c>
      <c r="E101" s="25">
        <v>100.22</v>
      </c>
      <c r="F101" s="25">
        <v>99.93</v>
      </c>
      <c r="G101" s="25">
        <v>99.58</v>
      </c>
      <c r="H101" s="25">
        <v>100.1</v>
      </c>
    </row>
    <row r="102" customHeight="1" spans="1:8">
      <c r="A102" s="24" t="s">
        <v>276</v>
      </c>
      <c r="B102" s="103">
        <v>45800</v>
      </c>
      <c r="C102" s="104">
        <v>47239</v>
      </c>
      <c r="D102" s="61">
        <v>25</v>
      </c>
      <c r="E102" s="25">
        <v>100.22</v>
      </c>
      <c r="F102" s="25">
        <v>99.92</v>
      </c>
      <c r="G102" s="25">
        <v>99.51</v>
      </c>
      <c r="H102" s="25">
        <v>100.1</v>
      </c>
    </row>
    <row r="103" customHeight="1" spans="1:8">
      <c r="A103" s="24" t="s">
        <v>278</v>
      </c>
      <c r="B103" s="103">
        <v>45800</v>
      </c>
      <c r="C103" s="104">
        <v>47239</v>
      </c>
      <c r="D103" s="61">
        <v>25</v>
      </c>
      <c r="E103" s="25">
        <v>100.22</v>
      </c>
      <c r="F103" s="25">
        <v>99.91</v>
      </c>
      <c r="G103" s="25">
        <v>99.3</v>
      </c>
      <c r="H103" s="25">
        <v>99.74</v>
      </c>
    </row>
    <row r="104" customHeight="1" spans="1:8">
      <c r="A104" s="25" t="s">
        <v>281</v>
      </c>
      <c r="B104" s="103">
        <v>45800</v>
      </c>
      <c r="C104" s="104">
        <v>47239</v>
      </c>
      <c r="D104" s="61">
        <v>25</v>
      </c>
      <c r="E104" s="25">
        <v>100.157</v>
      </c>
      <c r="F104" s="25">
        <v>99.88</v>
      </c>
      <c r="G104" s="25">
        <v>99.5</v>
      </c>
      <c r="H104" s="25">
        <v>100.05</v>
      </c>
    </row>
    <row r="105" customHeight="1" spans="1:8">
      <c r="A105" s="25" t="s">
        <v>283</v>
      </c>
      <c r="B105" s="103">
        <v>45801</v>
      </c>
      <c r="C105" s="104">
        <v>47239</v>
      </c>
      <c r="D105" s="61">
        <v>25</v>
      </c>
      <c r="E105" s="25">
        <v>100.18</v>
      </c>
      <c r="F105" s="25">
        <v>99.89</v>
      </c>
      <c r="G105" s="25">
        <v>99.49</v>
      </c>
      <c r="H105" s="25">
        <v>100</v>
      </c>
    </row>
    <row r="106" customHeight="1" spans="1:8">
      <c r="A106" s="25" t="s">
        <v>284</v>
      </c>
      <c r="B106" s="103">
        <v>45801</v>
      </c>
      <c r="C106" s="104">
        <v>47239</v>
      </c>
      <c r="D106" s="61">
        <v>25</v>
      </c>
      <c r="E106" s="25">
        <v>100.21</v>
      </c>
      <c r="F106" s="25">
        <v>99.93</v>
      </c>
      <c r="G106" s="25">
        <v>99.6</v>
      </c>
      <c r="H106" s="25">
        <v>100</v>
      </c>
    </row>
    <row r="107" customHeight="1" spans="1:8">
      <c r="A107" s="25" t="s">
        <v>287</v>
      </c>
      <c r="B107" s="103">
        <v>45801</v>
      </c>
      <c r="C107" s="104">
        <v>47239</v>
      </c>
      <c r="D107" s="61">
        <v>25</v>
      </c>
      <c r="E107" s="25">
        <v>100.19</v>
      </c>
      <c r="F107" s="25">
        <v>99.92</v>
      </c>
      <c r="G107" s="25">
        <v>99.55</v>
      </c>
      <c r="H107" s="25">
        <v>99.59</v>
      </c>
    </row>
    <row r="108" customHeight="1" spans="1:8">
      <c r="A108" s="25" t="s">
        <v>291</v>
      </c>
      <c r="B108" s="103">
        <v>45803</v>
      </c>
      <c r="C108" s="104">
        <v>47239</v>
      </c>
      <c r="D108" s="61">
        <v>25</v>
      </c>
      <c r="E108" s="25">
        <v>100.14</v>
      </c>
      <c r="F108" s="25">
        <v>99.9</v>
      </c>
      <c r="G108" s="25">
        <v>99.55</v>
      </c>
      <c r="H108" s="25">
        <v>99.74</v>
      </c>
    </row>
    <row r="109" customHeight="1" spans="1:8">
      <c r="A109" s="25" t="s">
        <v>292</v>
      </c>
      <c r="B109" s="103">
        <v>45803</v>
      </c>
      <c r="C109" s="104">
        <v>47239</v>
      </c>
      <c r="D109" s="61">
        <v>25</v>
      </c>
      <c r="E109" s="25">
        <v>100.14</v>
      </c>
      <c r="F109" s="25">
        <v>99.91</v>
      </c>
      <c r="G109" s="25">
        <v>99.62</v>
      </c>
      <c r="H109" s="25">
        <v>99.94</v>
      </c>
    </row>
    <row r="110" customHeight="1" spans="1:8">
      <c r="A110" s="25" t="s">
        <v>293</v>
      </c>
      <c r="B110" s="103">
        <v>45803</v>
      </c>
      <c r="C110" s="104">
        <v>47239</v>
      </c>
      <c r="D110" s="61">
        <v>25</v>
      </c>
      <c r="E110" s="25">
        <v>100.27</v>
      </c>
      <c r="F110" s="25">
        <v>99.9</v>
      </c>
      <c r="G110" s="25">
        <v>99.45</v>
      </c>
      <c r="H110" s="25">
        <v>99.64</v>
      </c>
    </row>
    <row r="111" customHeight="1" spans="1:8">
      <c r="A111" s="25" t="s">
        <v>296</v>
      </c>
      <c r="B111" s="103">
        <v>45804</v>
      </c>
      <c r="C111" s="104">
        <v>47239</v>
      </c>
      <c r="D111" s="61">
        <v>25</v>
      </c>
      <c r="E111" s="25">
        <v>100.18</v>
      </c>
      <c r="F111" s="25">
        <v>99.9</v>
      </c>
      <c r="G111" s="25">
        <v>99.48</v>
      </c>
      <c r="H111" s="25">
        <v>100.05</v>
      </c>
    </row>
    <row r="112" customHeight="1" spans="1:8">
      <c r="A112" s="25" t="s">
        <v>298</v>
      </c>
      <c r="B112" s="103">
        <v>45807</v>
      </c>
      <c r="C112" s="104">
        <v>47239</v>
      </c>
      <c r="D112" s="61">
        <v>25</v>
      </c>
      <c r="E112" s="25">
        <v>100.18</v>
      </c>
      <c r="F112" s="25">
        <v>99.9</v>
      </c>
      <c r="G112" s="25">
        <v>99.76</v>
      </c>
      <c r="H112" s="25">
        <v>100.1</v>
      </c>
    </row>
    <row r="113" customHeight="1" spans="1:8">
      <c r="A113" s="25" t="s">
        <v>299</v>
      </c>
      <c r="B113" s="103">
        <v>45807</v>
      </c>
      <c r="C113" s="104">
        <v>47239</v>
      </c>
      <c r="D113" s="61">
        <v>25</v>
      </c>
      <c r="E113" s="25">
        <v>100.19</v>
      </c>
      <c r="F113" s="25">
        <v>99.89</v>
      </c>
      <c r="G113" s="25">
        <v>99.66</v>
      </c>
      <c r="H113" s="25">
        <v>99.74</v>
      </c>
    </row>
    <row r="114" customHeight="1" spans="1:8">
      <c r="A114" s="24" t="s">
        <v>300</v>
      </c>
      <c r="B114" s="103">
        <v>45808</v>
      </c>
      <c r="C114" s="104">
        <v>47239</v>
      </c>
      <c r="D114" s="61">
        <v>25</v>
      </c>
      <c r="E114" s="25">
        <v>100.24</v>
      </c>
      <c r="F114" s="25">
        <v>99.92</v>
      </c>
      <c r="G114" s="25">
        <v>99.6</v>
      </c>
      <c r="H114" s="25">
        <v>100.1</v>
      </c>
    </row>
    <row r="115" customHeight="1" spans="1:8">
      <c r="A115" s="24" t="s">
        <v>302</v>
      </c>
      <c r="B115" s="103">
        <v>45808</v>
      </c>
      <c r="C115" s="104">
        <v>47239</v>
      </c>
      <c r="D115" s="61">
        <v>25</v>
      </c>
      <c r="E115" s="25">
        <v>100.2</v>
      </c>
      <c r="F115" s="25">
        <v>99.88</v>
      </c>
      <c r="G115" s="25">
        <v>99.75</v>
      </c>
      <c r="H115" s="25">
        <v>100.1</v>
      </c>
    </row>
    <row r="116" customHeight="1" spans="1:8">
      <c r="A116" s="25" t="s">
        <v>304</v>
      </c>
      <c r="B116" s="103">
        <v>45808</v>
      </c>
      <c r="C116" s="104">
        <v>47239</v>
      </c>
      <c r="D116" s="61">
        <v>25</v>
      </c>
      <c r="E116" s="25">
        <v>100.19</v>
      </c>
      <c r="F116" s="25">
        <v>99.87</v>
      </c>
      <c r="G116" s="25">
        <v>99.51</v>
      </c>
      <c r="H116" s="25">
        <v>100</v>
      </c>
    </row>
    <row r="117" s="1" customFormat="1" customHeight="1" spans="1:8">
      <c r="A117" s="30"/>
      <c r="B117" s="111"/>
      <c r="C117" s="111"/>
      <c r="D117" s="111"/>
      <c r="E117" s="30"/>
      <c r="F117" s="30"/>
      <c r="G117" s="30"/>
      <c r="H117" s="30"/>
    </row>
    <row r="118" customHeight="1" spans="1:8">
      <c r="A118" s="25" t="s">
        <v>305</v>
      </c>
      <c r="B118" s="103">
        <v>45810</v>
      </c>
      <c r="C118" s="104">
        <v>47239</v>
      </c>
      <c r="D118" s="61">
        <v>25</v>
      </c>
      <c r="E118" s="25">
        <v>100.2</v>
      </c>
      <c r="F118" s="25">
        <v>99.92</v>
      </c>
      <c r="G118" s="25">
        <v>99.69</v>
      </c>
      <c r="H118" s="25">
        <v>100.25</v>
      </c>
    </row>
    <row r="119" customHeight="1" spans="1:8">
      <c r="A119" s="25" t="s">
        <v>307</v>
      </c>
      <c r="B119" s="103">
        <v>45810</v>
      </c>
      <c r="C119" s="104">
        <v>47239</v>
      </c>
      <c r="D119" s="61">
        <v>25</v>
      </c>
      <c r="E119" s="25">
        <v>100.2</v>
      </c>
      <c r="F119" s="25">
        <v>99.92</v>
      </c>
      <c r="G119" s="25">
        <v>99.66</v>
      </c>
      <c r="H119" s="25">
        <v>100.25</v>
      </c>
    </row>
    <row r="120" customHeight="1" spans="1:8">
      <c r="A120" s="25" t="s">
        <v>311</v>
      </c>
      <c r="B120" s="103">
        <v>45810</v>
      </c>
      <c r="C120" s="104">
        <v>47239</v>
      </c>
      <c r="D120" s="61">
        <v>25</v>
      </c>
      <c r="E120" s="25">
        <v>100.21</v>
      </c>
      <c r="F120" s="25">
        <v>99.91</v>
      </c>
      <c r="G120" s="25">
        <v>99.44</v>
      </c>
      <c r="H120" s="25">
        <v>100.15</v>
      </c>
    </row>
    <row r="121" customHeight="1" spans="1:8">
      <c r="A121" s="25" t="s">
        <v>312</v>
      </c>
      <c r="B121" s="103">
        <v>45813</v>
      </c>
      <c r="C121" s="104">
        <v>47270</v>
      </c>
      <c r="D121" s="61">
        <v>25</v>
      </c>
      <c r="E121" s="25">
        <v>100.22</v>
      </c>
      <c r="F121" s="25">
        <v>99.9</v>
      </c>
      <c r="G121" s="25">
        <v>99.59</v>
      </c>
      <c r="H121" s="25">
        <v>100.05</v>
      </c>
    </row>
    <row r="122" customHeight="1" spans="1:8">
      <c r="A122" s="25" t="s">
        <v>314</v>
      </c>
      <c r="B122" s="103">
        <v>45813</v>
      </c>
      <c r="C122" s="104">
        <v>47270</v>
      </c>
      <c r="D122" s="61">
        <v>25</v>
      </c>
      <c r="E122" s="25">
        <v>100.2</v>
      </c>
      <c r="F122" s="25">
        <v>99.92</v>
      </c>
      <c r="G122" s="25">
        <v>99.7</v>
      </c>
      <c r="H122" s="25">
        <v>100.2</v>
      </c>
    </row>
    <row r="123" customHeight="1" spans="1:8">
      <c r="A123" s="25" t="s">
        <v>315</v>
      </c>
      <c r="B123" s="103">
        <v>45813</v>
      </c>
      <c r="C123" s="104">
        <v>47270</v>
      </c>
      <c r="D123" s="61">
        <v>25</v>
      </c>
      <c r="E123" s="25">
        <v>100.25</v>
      </c>
      <c r="F123" s="25">
        <v>99.9</v>
      </c>
      <c r="G123" s="25">
        <v>99.66</v>
      </c>
      <c r="H123" s="25">
        <v>100.1</v>
      </c>
    </row>
    <row r="124" customHeight="1" spans="1:8">
      <c r="A124" s="25" t="s">
        <v>316</v>
      </c>
      <c r="B124" s="103">
        <v>45815</v>
      </c>
      <c r="C124" s="104">
        <v>47270</v>
      </c>
      <c r="D124" s="61">
        <v>25</v>
      </c>
      <c r="E124" s="25">
        <v>100.17</v>
      </c>
      <c r="F124" s="25">
        <v>99.9</v>
      </c>
      <c r="G124" s="25">
        <v>99.61</v>
      </c>
      <c r="H124" s="25">
        <v>100.1</v>
      </c>
    </row>
    <row r="125" customHeight="1" spans="1:8">
      <c r="A125" s="25" t="s">
        <v>318</v>
      </c>
      <c r="B125" s="103">
        <v>45815</v>
      </c>
      <c r="C125" s="104">
        <v>47270</v>
      </c>
      <c r="D125" s="61">
        <v>25</v>
      </c>
      <c r="E125" s="25">
        <v>100.23</v>
      </c>
      <c r="F125" s="25">
        <v>99.9</v>
      </c>
      <c r="G125" s="25">
        <v>99.66</v>
      </c>
      <c r="H125" s="25">
        <v>100.05</v>
      </c>
    </row>
    <row r="126" customHeight="1" spans="1:8">
      <c r="A126" s="25" t="s">
        <v>319</v>
      </c>
      <c r="B126" s="103">
        <v>45817</v>
      </c>
      <c r="C126" s="104">
        <v>47270</v>
      </c>
      <c r="D126" s="61">
        <v>25</v>
      </c>
      <c r="E126" s="25">
        <v>100.22</v>
      </c>
      <c r="F126" s="25">
        <v>99.91</v>
      </c>
      <c r="G126" s="25">
        <v>99.6</v>
      </c>
      <c r="H126" s="25">
        <v>100.25</v>
      </c>
    </row>
    <row r="127" customHeight="1" spans="1:8">
      <c r="A127" s="25" t="s">
        <v>321</v>
      </c>
      <c r="B127" s="103">
        <v>45817</v>
      </c>
      <c r="C127" s="104">
        <v>47270</v>
      </c>
      <c r="D127" s="61">
        <v>25</v>
      </c>
      <c r="E127" s="25">
        <v>100.22</v>
      </c>
      <c r="F127" s="25">
        <v>99.91</v>
      </c>
      <c r="G127" s="25">
        <v>99.59</v>
      </c>
      <c r="H127" s="25">
        <v>100.2</v>
      </c>
    </row>
    <row r="128" customHeight="1" spans="1:8">
      <c r="A128" s="25" t="s">
        <v>322</v>
      </c>
      <c r="B128" s="103">
        <v>45817</v>
      </c>
      <c r="C128" s="104">
        <v>47270</v>
      </c>
      <c r="D128" s="61">
        <v>25</v>
      </c>
      <c r="E128" s="25">
        <v>100.21</v>
      </c>
      <c r="F128" s="25">
        <v>99.93</v>
      </c>
      <c r="G128" s="25">
        <v>99.62</v>
      </c>
      <c r="H128" s="25">
        <v>100.25</v>
      </c>
    </row>
    <row r="129" s="1" customFormat="1" customHeight="1" spans="1:8">
      <c r="A129" s="111"/>
      <c r="B129" s="111"/>
      <c r="C129" s="111"/>
      <c r="D129" s="111"/>
      <c r="E129" s="30"/>
      <c r="F129" s="30"/>
      <c r="G129" s="30"/>
      <c r="H129" s="30"/>
    </row>
    <row r="130" customHeight="1" spans="1:8">
      <c r="A130" s="112" t="s">
        <v>323</v>
      </c>
      <c r="B130" s="103">
        <v>45840</v>
      </c>
      <c r="C130" s="104">
        <v>47300</v>
      </c>
      <c r="D130" s="61">
        <v>25</v>
      </c>
      <c r="E130" s="25">
        <v>100.26</v>
      </c>
      <c r="F130" s="25">
        <v>99.92</v>
      </c>
      <c r="G130" s="25">
        <v>99.78</v>
      </c>
      <c r="H130" s="25">
        <v>100.1</v>
      </c>
    </row>
    <row r="131" customHeight="1" spans="1:8">
      <c r="A131" s="112" t="s">
        <v>324</v>
      </c>
      <c r="B131" s="103">
        <v>45840</v>
      </c>
      <c r="C131" s="104">
        <v>47300</v>
      </c>
      <c r="D131" s="61">
        <v>25</v>
      </c>
      <c r="E131" s="25">
        <v>100.22</v>
      </c>
      <c r="F131" s="25">
        <v>99.92</v>
      </c>
      <c r="G131" s="25">
        <v>99.64</v>
      </c>
      <c r="H131" s="25">
        <v>100.2</v>
      </c>
    </row>
    <row r="132" customHeight="1" spans="1:8">
      <c r="A132" s="112" t="s">
        <v>325</v>
      </c>
      <c r="B132" s="103">
        <v>45840</v>
      </c>
      <c r="C132" s="104">
        <v>47300</v>
      </c>
      <c r="D132" s="61">
        <v>25</v>
      </c>
      <c r="E132" s="25">
        <v>100.19</v>
      </c>
      <c r="F132" s="25">
        <v>99.91</v>
      </c>
      <c r="G132" s="25">
        <v>99.63</v>
      </c>
      <c r="H132" s="25">
        <v>99.84</v>
      </c>
    </row>
    <row r="133" customHeight="1" spans="1:8">
      <c r="A133" s="112" t="s">
        <v>326</v>
      </c>
      <c r="B133" s="103">
        <v>45840</v>
      </c>
      <c r="C133" s="104">
        <v>47300</v>
      </c>
      <c r="D133" s="61">
        <v>25</v>
      </c>
      <c r="E133" s="25">
        <v>100.14</v>
      </c>
      <c r="F133" s="25">
        <v>99.92</v>
      </c>
      <c r="G133" s="25">
        <v>99.73</v>
      </c>
      <c r="H133" s="25">
        <v>100.15</v>
      </c>
    </row>
    <row r="134" customHeight="1" spans="1:8">
      <c r="A134" s="112" t="s">
        <v>327</v>
      </c>
      <c r="B134" s="103">
        <v>45840</v>
      </c>
      <c r="C134" s="104">
        <v>47300</v>
      </c>
      <c r="D134" s="61">
        <v>25</v>
      </c>
      <c r="E134" s="25">
        <v>100.22</v>
      </c>
      <c r="F134" s="25">
        <v>99.9</v>
      </c>
      <c r="G134" s="25">
        <v>99.75</v>
      </c>
      <c r="H134" s="25">
        <v>100</v>
      </c>
    </row>
    <row r="135" customHeight="1" spans="1:8">
      <c r="A135" s="112" t="s">
        <v>328</v>
      </c>
      <c r="B135" s="103">
        <v>45850</v>
      </c>
      <c r="C135" s="104">
        <v>47300</v>
      </c>
      <c r="D135" s="61">
        <v>25</v>
      </c>
      <c r="E135" s="25">
        <v>100.19</v>
      </c>
      <c r="F135" s="25">
        <v>99.93</v>
      </c>
      <c r="G135" s="25">
        <v>99.7</v>
      </c>
      <c r="H135" s="25">
        <v>99.94</v>
      </c>
    </row>
    <row r="136" customHeight="1" spans="1:8">
      <c r="A136" s="112" t="s">
        <v>329</v>
      </c>
      <c r="B136" s="103">
        <v>45850</v>
      </c>
      <c r="C136" s="104">
        <v>47300</v>
      </c>
      <c r="D136" s="61">
        <v>25</v>
      </c>
      <c r="E136" s="25">
        <v>100.27</v>
      </c>
      <c r="F136" s="25">
        <v>99.92</v>
      </c>
      <c r="G136" s="25">
        <v>99.65</v>
      </c>
      <c r="H136" s="25">
        <v>100.2</v>
      </c>
    </row>
    <row r="137" customHeight="1" spans="1:8">
      <c r="A137" s="112" t="s">
        <v>330</v>
      </c>
      <c r="B137" s="103">
        <v>45850</v>
      </c>
      <c r="C137" s="104">
        <v>47300</v>
      </c>
      <c r="D137" s="61">
        <v>25</v>
      </c>
      <c r="E137" s="25">
        <v>100.2</v>
      </c>
      <c r="F137" s="25">
        <v>99.92</v>
      </c>
      <c r="G137" s="25">
        <v>99.66</v>
      </c>
      <c r="H137" s="25">
        <v>100.1</v>
      </c>
    </row>
    <row r="138" customHeight="1" spans="1:8">
      <c r="A138" s="112" t="s">
        <v>332</v>
      </c>
      <c r="B138" s="103">
        <v>45852</v>
      </c>
      <c r="C138" s="104">
        <v>47300</v>
      </c>
      <c r="D138" s="61">
        <v>25</v>
      </c>
      <c r="E138" s="25">
        <v>100.24</v>
      </c>
      <c r="F138" s="25">
        <v>99.92</v>
      </c>
      <c r="G138" s="25">
        <v>99.63</v>
      </c>
      <c r="H138" s="25">
        <v>99.79</v>
      </c>
    </row>
    <row r="139" customHeight="1" spans="1:8">
      <c r="A139" s="112" t="s">
        <v>333</v>
      </c>
      <c r="B139" s="103">
        <v>45852</v>
      </c>
      <c r="C139" s="104">
        <v>47300</v>
      </c>
      <c r="D139" s="61">
        <v>25</v>
      </c>
      <c r="E139" s="25">
        <v>100.2</v>
      </c>
      <c r="F139" s="25">
        <v>99.93</v>
      </c>
      <c r="G139" s="25">
        <v>99.68</v>
      </c>
      <c r="H139" s="25">
        <v>100.15</v>
      </c>
    </row>
    <row r="140" customHeight="1" spans="1:8">
      <c r="A140" s="112" t="s">
        <v>334</v>
      </c>
      <c r="B140" s="103">
        <v>45852</v>
      </c>
      <c r="C140" s="104">
        <v>47300</v>
      </c>
      <c r="D140" s="61">
        <v>25</v>
      </c>
      <c r="E140" s="25">
        <v>100.19</v>
      </c>
      <c r="F140" s="25">
        <v>99.93</v>
      </c>
      <c r="G140" s="25">
        <v>99.7</v>
      </c>
      <c r="H140" s="25">
        <v>100</v>
      </c>
    </row>
    <row r="141" customHeight="1" spans="1:8">
      <c r="A141" s="112" t="s">
        <v>336</v>
      </c>
      <c r="B141" s="103">
        <v>45854</v>
      </c>
      <c r="C141" s="104">
        <v>47300</v>
      </c>
      <c r="D141" s="61">
        <v>25</v>
      </c>
      <c r="E141" s="25">
        <v>100.18</v>
      </c>
      <c r="F141" s="25">
        <v>99.92</v>
      </c>
      <c r="G141" s="25">
        <v>99.66</v>
      </c>
      <c r="H141" s="25">
        <v>100.1</v>
      </c>
    </row>
    <row r="142" customHeight="1" spans="1:8">
      <c r="A142" s="112" t="s">
        <v>337</v>
      </c>
      <c r="B142" s="103">
        <v>45854</v>
      </c>
      <c r="C142" s="104">
        <v>47300</v>
      </c>
      <c r="D142" s="61">
        <v>25</v>
      </c>
      <c r="E142" s="25">
        <v>100.22</v>
      </c>
      <c r="F142" s="25">
        <v>99.94</v>
      </c>
      <c r="G142" s="25">
        <v>99.7</v>
      </c>
      <c r="H142" s="25">
        <v>100.1</v>
      </c>
    </row>
    <row r="143" customHeight="1" spans="1:8">
      <c r="A143" s="112" t="s">
        <v>338</v>
      </c>
      <c r="B143" s="103">
        <v>45855</v>
      </c>
      <c r="C143" s="104">
        <v>47300</v>
      </c>
      <c r="D143" s="61">
        <v>25</v>
      </c>
      <c r="E143" s="25">
        <v>100.18</v>
      </c>
      <c r="F143" s="25">
        <v>99.9</v>
      </c>
      <c r="G143" s="25">
        <v>99.61</v>
      </c>
      <c r="H143" s="25">
        <v>100.25</v>
      </c>
    </row>
    <row r="144" customHeight="1" spans="1:8">
      <c r="A144" s="112" t="s">
        <v>339</v>
      </c>
      <c r="B144" s="103">
        <v>45856</v>
      </c>
      <c r="C144" s="104">
        <v>47300</v>
      </c>
      <c r="D144" s="61">
        <v>25</v>
      </c>
      <c r="E144" s="25">
        <v>100.17</v>
      </c>
      <c r="F144" s="25">
        <v>99.93</v>
      </c>
      <c r="G144" s="25">
        <v>99.67</v>
      </c>
      <c r="H144" s="25">
        <v>100.3</v>
      </c>
    </row>
    <row r="145" customHeight="1" spans="1:8">
      <c r="A145" s="112" t="s">
        <v>341</v>
      </c>
      <c r="B145" s="103">
        <v>45861</v>
      </c>
      <c r="C145" s="104">
        <v>47300</v>
      </c>
      <c r="D145" s="61">
        <v>25</v>
      </c>
      <c r="E145" s="25">
        <v>100.16</v>
      </c>
      <c r="F145" s="25">
        <v>99.92</v>
      </c>
      <c r="G145" s="25">
        <v>99.58</v>
      </c>
      <c r="H145" s="25">
        <v>100.2</v>
      </c>
    </row>
    <row r="146" customHeight="1" spans="1:8">
      <c r="A146" s="112" t="s">
        <v>343</v>
      </c>
      <c r="B146" s="103">
        <v>45861</v>
      </c>
      <c r="C146" s="104">
        <v>47300</v>
      </c>
      <c r="D146" s="61">
        <v>25</v>
      </c>
      <c r="E146" s="25">
        <v>100.17</v>
      </c>
      <c r="F146" s="25">
        <v>99.93</v>
      </c>
      <c r="G146" s="25">
        <v>99.61</v>
      </c>
      <c r="H146" s="25">
        <v>100.1</v>
      </c>
    </row>
    <row r="147" customHeight="1" spans="1:8">
      <c r="A147" s="112" t="s">
        <v>345</v>
      </c>
      <c r="B147" s="103">
        <v>45861</v>
      </c>
      <c r="C147" s="104">
        <v>47300</v>
      </c>
      <c r="D147" s="61">
        <v>25</v>
      </c>
      <c r="E147" s="25">
        <v>100.17</v>
      </c>
      <c r="F147" s="25">
        <v>99.92</v>
      </c>
      <c r="G147" s="25">
        <v>99.57</v>
      </c>
      <c r="H147" s="25">
        <v>100.25</v>
      </c>
    </row>
    <row r="148" s="1" customFormat="1" customHeight="1"/>
    <row r="149" s="3" customFormat="1" customHeight="1" spans="1:8">
      <c r="A149" s="24" t="s">
        <v>347</v>
      </c>
      <c r="B149" s="103">
        <v>45870</v>
      </c>
      <c r="C149" s="104">
        <v>47331</v>
      </c>
      <c r="D149" s="61">
        <v>25</v>
      </c>
      <c r="E149" s="25">
        <v>100.1</v>
      </c>
      <c r="F149" s="25">
        <v>99.92</v>
      </c>
      <c r="G149" s="25">
        <v>99.58</v>
      </c>
      <c r="H149" s="25">
        <v>100.1</v>
      </c>
    </row>
    <row r="150" s="3" customFormat="1" customHeight="1" spans="1:8">
      <c r="A150" s="24" t="s">
        <v>351</v>
      </c>
      <c r="B150" s="103">
        <v>45870</v>
      </c>
      <c r="C150" s="104">
        <v>47331</v>
      </c>
      <c r="D150" s="61">
        <v>25</v>
      </c>
      <c r="E150" s="25">
        <v>100.16</v>
      </c>
      <c r="F150" s="25">
        <v>99.94</v>
      </c>
      <c r="G150" s="25">
        <v>99.62</v>
      </c>
      <c r="H150" s="25">
        <v>100.15</v>
      </c>
    </row>
    <row r="151" s="3" customFormat="1" customHeight="1" spans="1:8">
      <c r="A151" s="24" t="s">
        <v>352</v>
      </c>
      <c r="B151" s="103">
        <v>45870</v>
      </c>
      <c r="C151" s="104">
        <v>47331</v>
      </c>
      <c r="D151" s="61">
        <v>25</v>
      </c>
      <c r="E151" s="25">
        <v>100.19</v>
      </c>
      <c r="F151" s="25">
        <v>99.92</v>
      </c>
      <c r="G151" s="25">
        <v>99.6</v>
      </c>
      <c r="H151" s="25">
        <v>100.1</v>
      </c>
    </row>
    <row r="152" s="3" customFormat="1" customHeight="1" spans="1:8">
      <c r="A152" s="24" t="s">
        <v>354</v>
      </c>
      <c r="B152" s="103">
        <v>45874</v>
      </c>
      <c r="C152" s="104">
        <v>47331</v>
      </c>
      <c r="D152" s="61">
        <v>25</v>
      </c>
      <c r="E152" s="25">
        <v>100.12</v>
      </c>
      <c r="F152" s="25">
        <v>99.94</v>
      </c>
      <c r="G152" s="25">
        <v>99.67</v>
      </c>
      <c r="H152" s="25">
        <v>100.1</v>
      </c>
    </row>
    <row r="153" s="3" customFormat="1" customHeight="1" spans="1:8">
      <c r="A153" s="24" t="s">
        <v>357</v>
      </c>
      <c r="B153" s="103">
        <v>45875</v>
      </c>
      <c r="C153" s="104">
        <v>47331</v>
      </c>
      <c r="D153" s="61">
        <v>25</v>
      </c>
      <c r="E153" s="25">
        <v>100.2</v>
      </c>
      <c r="F153" s="25">
        <v>99.95</v>
      </c>
      <c r="G153" s="25">
        <v>99.63</v>
      </c>
      <c r="H153" s="25">
        <v>100.05</v>
      </c>
    </row>
    <row r="154" s="3" customFormat="1" customHeight="1" spans="1:8">
      <c r="A154" s="24" t="s">
        <v>361</v>
      </c>
      <c r="B154" s="103">
        <v>45878</v>
      </c>
      <c r="C154" s="104">
        <v>47331</v>
      </c>
      <c r="D154" s="61">
        <v>25</v>
      </c>
      <c r="E154" s="25">
        <v>100.26</v>
      </c>
      <c r="F154" s="25">
        <v>99.88</v>
      </c>
      <c r="G154" s="25">
        <v>99.55</v>
      </c>
      <c r="H154" s="25">
        <v>100</v>
      </c>
    </row>
    <row r="155" s="3" customFormat="1" customHeight="1" spans="1:8">
      <c r="A155" s="24" t="s">
        <v>367</v>
      </c>
      <c r="B155" s="103">
        <v>45878</v>
      </c>
      <c r="C155" s="104">
        <v>46966</v>
      </c>
      <c r="D155" s="61">
        <v>25</v>
      </c>
      <c r="E155" s="25">
        <v>100.29</v>
      </c>
      <c r="F155" s="25">
        <v>99.92</v>
      </c>
      <c r="G155" s="25">
        <v>99.65</v>
      </c>
      <c r="H155" s="25">
        <v>99.94</v>
      </c>
    </row>
    <row r="156" s="3" customFormat="1" customHeight="1" spans="1:8">
      <c r="A156" s="24" t="s">
        <v>369</v>
      </c>
      <c r="B156" s="103">
        <v>45881</v>
      </c>
      <c r="C156" s="104">
        <v>46966</v>
      </c>
      <c r="D156" s="61">
        <v>25</v>
      </c>
      <c r="E156" s="25">
        <v>100.22</v>
      </c>
      <c r="F156" s="25">
        <v>99.9</v>
      </c>
      <c r="G156" s="25">
        <v>99.6</v>
      </c>
      <c r="H156" s="25">
        <v>100.05</v>
      </c>
    </row>
    <row r="157" s="3" customFormat="1" customHeight="1" spans="1:8">
      <c r="A157" s="24" t="s">
        <v>518</v>
      </c>
      <c r="B157" s="103">
        <v>45881</v>
      </c>
      <c r="C157" s="104">
        <v>46966</v>
      </c>
      <c r="D157" s="61">
        <v>25</v>
      </c>
      <c r="E157" s="25">
        <v>100.27</v>
      </c>
      <c r="F157" s="25">
        <v>99.91</v>
      </c>
      <c r="G157" s="25">
        <v>99.58</v>
      </c>
      <c r="H157" s="25">
        <v>99.89</v>
      </c>
    </row>
    <row r="158" s="3" customFormat="1" customHeight="1" spans="1:8">
      <c r="A158" s="24" t="s">
        <v>375</v>
      </c>
      <c r="B158" s="103">
        <v>45881</v>
      </c>
      <c r="C158" s="104">
        <v>46966</v>
      </c>
      <c r="D158" s="61">
        <v>25</v>
      </c>
      <c r="E158" s="25">
        <v>100.32</v>
      </c>
      <c r="F158" s="25">
        <v>99.93</v>
      </c>
      <c r="G158" s="25">
        <v>99.61</v>
      </c>
      <c r="H158" s="25">
        <v>100.05</v>
      </c>
    </row>
  </sheetData>
  <mergeCells count="15">
    <mergeCell ref="A1:H1"/>
    <mergeCell ref="A5:H5"/>
    <mergeCell ref="A48:H48"/>
    <mergeCell ref="A6:A8"/>
    <mergeCell ref="A18:A19"/>
    <mergeCell ref="A20:A21"/>
    <mergeCell ref="A22:A25"/>
    <mergeCell ref="A26:A30"/>
    <mergeCell ref="A31:A35"/>
    <mergeCell ref="A36:A38"/>
    <mergeCell ref="A49:A51"/>
    <mergeCell ref="B6:B8"/>
    <mergeCell ref="B49:B51"/>
    <mergeCell ref="C6:C8"/>
    <mergeCell ref="C49:C51"/>
  </mergeCells>
  <pageMargins left="0.75" right="0.75" top="1" bottom="1" header="0.511805555555556" footer="0.511805555555556"/>
  <pageSetup paperSize="5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zoomScale="85" zoomScaleNormal="85" topLeftCell="A15" workbookViewId="0">
      <pane xSplit="1" ySplit="8" topLeftCell="O131" activePane="bottomRight" state="frozen"/>
      <selection/>
      <selection pane="topRight"/>
      <selection pane="bottomLeft"/>
      <selection pane="bottomRight" activeCell="P156" sqref="P156:X156"/>
    </sheetView>
  </sheetViews>
  <sheetFormatPr defaultColWidth="9.10185185185185" defaultRowHeight="15" customHeight="1"/>
  <cols>
    <col min="1" max="1" width="17" customWidth="1"/>
    <col min="15" max="15" width="15.3333333333333" customWidth="1"/>
    <col min="22" max="23" width="17.5555555555556" customWidth="1"/>
    <col min="24" max="24" width="14.1018518518519" customWidth="1"/>
    <col min="25" max="25" width="13.3333333333333" customWidth="1"/>
    <col min="26" max="26" width="14.5555555555556" customWidth="1"/>
  </cols>
  <sheetData>
    <row r="1" customHeight="1" spans="1:26">
      <c r="A1" s="33" t="s">
        <v>737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customHeight="1" spans="1:2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ht="35.1" customHeight="1" spans="1:26">
      <c r="A3" s="35" t="s">
        <v>738</v>
      </c>
      <c r="B3" s="36" t="s">
        <v>656</v>
      </c>
      <c r="C3" s="36" t="s">
        <v>739</v>
      </c>
      <c r="D3" s="36"/>
      <c r="E3" s="36"/>
      <c r="F3" s="37" t="s">
        <v>740</v>
      </c>
      <c r="G3" s="37"/>
      <c r="H3" s="37"/>
      <c r="I3" s="37" t="s">
        <v>741</v>
      </c>
      <c r="J3" s="37"/>
      <c r="K3" s="37"/>
      <c r="L3" s="36" t="s">
        <v>742</v>
      </c>
      <c r="M3" s="36"/>
      <c r="N3" s="36"/>
      <c r="O3" s="36" t="s">
        <v>743</v>
      </c>
      <c r="P3" s="37" t="s">
        <v>744</v>
      </c>
      <c r="Q3" s="37"/>
      <c r="R3" s="37"/>
      <c r="S3" s="36" t="s">
        <v>745</v>
      </c>
      <c r="T3" s="36"/>
      <c r="U3" s="36"/>
      <c r="V3" s="69" t="s">
        <v>746</v>
      </c>
      <c r="W3" s="69"/>
      <c r="X3" s="69"/>
      <c r="Y3" s="72" t="s">
        <v>747</v>
      </c>
      <c r="Z3" s="72"/>
    </row>
    <row r="4" customHeight="1" spans="1:26">
      <c r="A4" s="38"/>
      <c r="B4" s="35" t="s">
        <v>748</v>
      </c>
      <c r="C4" s="39" t="s">
        <v>749</v>
      </c>
      <c r="D4" s="40"/>
      <c r="E4" s="41"/>
      <c r="F4" s="39" t="s">
        <v>750</v>
      </c>
      <c r="G4" s="40"/>
      <c r="H4" s="41"/>
      <c r="I4" s="39" t="s">
        <v>751</v>
      </c>
      <c r="J4" s="40"/>
      <c r="K4" s="41"/>
      <c r="L4" s="39" t="s">
        <v>752</v>
      </c>
      <c r="M4" s="40"/>
      <c r="N4" s="41"/>
      <c r="O4" s="65" t="s">
        <v>753</v>
      </c>
      <c r="P4" s="39" t="s">
        <v>754</v>
      </c>
      <c r="Q4" s="40"/>
      <c r="R4" s="41"/>
      <c r="S4" s="39" t="s">
        <v>755</v>
      </c>
      <c r="T4" s="40"/>
      <c r="U4" s="41"/>
      <c r="V4" s="70" t="s">
        <v>756</v>
      </c>
      <c r="W4" s="70" t="s">
        <v>757</v>
      </c>
      <c r="X4" s="70" t="s">
        <v>758</v>
      </c>
      <c r="Y4" s="73" t="s">
        <v>759</v>
      </c>
      <c r="Z4" s="73" t="s">
        <v>760</v>
      </c>
    </row>
    <row r="5" customHeight="1" spans="1:26">
      <c r="A5" s="42"/>
      <c r="B5" s="42"/>
      <c r="C5" s="43"/>
      <c r="D5" s="44"/>
      <c r="E5" s="45"/>
      <c r="F5" s="43"/>
      <c r="G5" s="44"/>
      <c r="H5" s="45"/>
      <c r="I5" s="43"/>
      <c r="J5" s="44"/>
      <c r="K5" s="45"/>
      <c r="L5" s="43"/>
      <c r="M5" s="44"/>
      <c r="N5" s="45"/>
      <c r="O5" s="66"/>
      <c r="P5" s="43"/>
      <c r="Q5" s="44"/>
      <c r="R5" s="45"/>
      <c r="S5" s="43"/>
      <c r="T5" s="44"/>
      <c r="U5" s="45"/>
      <c r="V5" s="69" t="s">
        <v>761</v>
      </c>
      <c r="W5" s="69" t="s">
        <v>762</v>
      </c>
      <c r="X5" s="69" t="s">
        <v>763</v>
      </c>
      <c r="Y5" s="73"/>
      <c r="Z5" s="73"/>
    </row>
    <row r="6" customHeight="1" spans="1:26">
      <c r="A6" s="46" t="s">
        <v>764</v>
      </c>
      <c r="B6" s="47">
        <f>MIN(B23:B999488)</f>
        <v>1827</v>
      </c>
      <c r="C6" s="48">
        <f>MIN(C22:C99489,D22:D99489)</f>
        <v>680</v>
      </c>
      <c r="D6" s="48"/>
      <c r="E6" s="48"/>
      <c r="F6" s="48">
        <f>MIN(F22:F99489,G22:G99489)</f>
        <v>10.25</v>
      </c>
      <c r="G6" s="48"/>
      <c r="H6" s="48"/>
      <c r="I6" s="48">
        <f>MIN(I22:I99489,J22:J99489)</f>
        <v>0</v>
      </c>
      <c r="J6" s="48"/>
      <c r="K6" s="48"/>
      <c r="L6" s="48">
        <f>MIN(L22:L99489,M22:M99489)</f>
        <v>0.05</v>
      </c>
      <c r="M6" s="48"/>
      <c r="N6" s="48"/>
      <c r="O6" s="47">
        <f>MIN(O23:O999488)</f>
        <v>0.3</v>
      </c>
      <c r="P6" s="48">
        <f>MIN(P22:P99489,Q22:Q99489)</f>
        <v>90.78</v>
      </c>
      <c r="Q6" s="48"/>
      <c r="R6" s="48"/>
      <c r="S6" s="48">
        <f>MIN(S22:S99489,T22:T99489)</f>
        <v>95.52</v>
      </c>
      <c r="T6" s="48"/>
      <c r="U6" s="48"/>
      <c r="V6" s="47">
        <f>MIN(V23:V999488)</f>
        <v>0</v>
      </c>
      <c r="W6" s="47">
        <f>MIN(W23:W999488)</f>
        <v>0</v>
      </c>
      <c r="X6" s="47">
        <f>MIN(X23:X999488)</f>
        <v>0</v>
      </c>
      <c r="Y6" s="47">
        <f>MIN(Y23:Y999488)</f>
        <v>0.39</v>
      </c>
      <c r="Z6" s="47">
        <f>MIN(Z23:Z999488)</f>
        <v>0.39</v>
      </c>
    </row>
    <row r="7" customHeight="1" spans="1:26">
      <c r="A7" s="46" t="s">
        <v>765</v>
      </c>
      <c r="B7" s="47">
        <f>MAX(B23:B999488)</f>
        <v>1996</v>
      </c>
      <c r="C7" s="48">
        <f>MAX(C22:C99488,D22:D99488)</f>
        <v>720</v>
      </c>
      <c r="D7" s="48"/>
      <c r="E7" s="48"/>
      <c r="F7" s="48">
        <f>MAX(F22:F99488,G22:G99488)</f>
        <v>15.15</v>
      </c>
      <c r="G7" s="48"/>
      <c r="H7" s="48"/>
      <c r="I7" s="48">
        <f>MAX(I22:I99488,J22:J99488)</f>
        <v>0.3</v>
      </c>
      <c r="J7" s="48"/>
      <c r="K7" s="48"/>
      <c r="L7" s="48">
        <f>MAX(L22:L99488,M22:M99488)</f>
        <v>5</v>
      </c>
      <c r="M7" s="48"/>
      <c r="N7" s="48"/>
      <c r="O7" s="47">
        <f>MAX(O23:O999488)</f>
        <v>7.1</v>
      </c>
      <c r="P7" s="48">
        <f>MAX(P22:P99488,Q22:Q99488)</f>
        <v>110.39</v>
      </c>
      <c r="Q7" s="48"/>
      <c r="R7" s="48"/>
      <c r="S7" s="48">
        <f>MAX(S22:S99488,T22:T99488)</f>
        <v>107.75</v>
      </c>
      <c r="T7" s="48"/>
      <c r="U7" s="48"/>
      <c r="V7" s="47">
        <f>MAX(V23:V999488)</f>
        <v>0</v>
      </c>
      <c r="W7" s="47">
        <f>MAX(W23:W999488)</f>
        <v>0</v>
      </c>
      <c r="X7" s="47">
        <f>MAX(X23:X999488)</f>
        <v>0</v>
      </c>
      <c r="Y7" s="47">
        <f>MAX(Y23:Y999488)</f>
        <v>0.89</v>
      </c>
      <c r="Z7" s="47">
        <f>MAX(Z23:Z999488)</f>
        <v>0.89</v>
      </c>
    </row>
    <row r="8" customHeight="1" spans="1:26">
      <c r="A8" s="46" t="s">
        <v>766</v>
      </c>
      <c r="B8" s="47">
        <f>AVERAGE(B23:B999488)</f>
        <v>1983.31404958678</v>
      </c>
      <c r="C8" s="48">
        <f>AVERAGE(C22:C99488,E22:E99488)</f>
        <v>695.994709759937</v>
      </c>
      <c r="D8" s="48"/>
      <c r="E8" s="48"/>
      <c r="F8" s="48">
        <f>AVERAGE(F22:F99488,H22:H99488)</f>
        <v>12.7546556473829</v>
      </c>
      <c r="G8" s="48"/>
      <c r="H8" s="48"/>
      <c r="I8" s="48">
        <f>AVERAGE(I22:I99488,K22:K99488)</f>
        <v>0.176528925619835</v>
      </c>
      <c r="J8" s="48"/>
      <c r="K8" s="48"/>
      <c r="L8" s="48">
        <f>AVERAGE(L22:L99488,N22:N99488)</f>
        <v>0.364416896235078</v>
      </c>
      <c r="M8" s="48"/>
      <c r="N8" s="48"/>
      <c r="O8" s="47">
        <f>AVERAGE(O23:O999488)</f>
        <v>2.2396694214876</v>
      </c>
      <c r="P8" s="48">
        <f>AVERAGE(P22:P99488,R22:R99488)</f>
        <v>99.4949421487603</v>
      </c>
      <c r="Q8" s="48"/>
      <c r="R8" s="48"/>
      <c r="S8" s="48">
        <f>AVERAGE(S22:S99488,U22:U99488)</f>
        <v>102.416776859504</v>
      </c>
      <c r="T8" s="48"/>
      <c r="U8" s="48"/>
      <c r="V8" s="47" t="e">
        <f>AVERAGE(V23:V999488)</f>
        <v>#DIV/0!</v>
      </c>
      <c r="W8" s="47" t="e">
        <f>AVERAGE(W23:W999488)</f>
        <v>#DIV/0!</v>
      </c>
      <c r="X8" s="47" t="e">
        <f>AVERAGE(X23:X999488)</f>
        <v>#DIV/0!</v>
      </c>
      <c r="Y8" s="47">
        <f>AVERAGE(Y23:Y999488)</f>
        <v>0.62390243902439</v>
      </c>
      <c r="Z8" s="47">
        <f>AVERAGE(Z23:Z999488)</f>
        <v>0.623910569105691</v>
      </c>
    </row>
    <row r="9" customHeight="1" spans="1:26">
      <c r="A9" s="46" t="s">
        <v>767</v>
      </c>
      <c r="B9" s="47">
        <f>_xlfn.STDEV.S(B23:B999488)</f>
        <v>28.6589232927114</v>
      </c>
      <c r="C9" s="48">
        <f>_xlfn.STDEV.S(C22:C99488,E22:E99488)</f>
        <v>6.82521361245942</v>
      </c>
      <c r="D9" s="48"/>
      <c r="E9" s="48"/>
      <c r="F9" s="48">
        <f>_xlfn.STDEV.S(F22:F99488,H22:H99488)</f>
        <v>0.939475489984674</v>
      </c>
      <c r="G9" s="48"/>
      <c r="H9" s="48"/>
      <c r="I9" s="48">
        <f>_xlfn.STDEV.S(I22:I99488,K22:K99488)</f>
        <v>0.0755912873835437</v>
      </c>
      <c r="J9" s="48"/>
      <c r="K9" s="48"/>
      <c r="L9" s="48">
        <f>_xlfn.STDEV.S(L22:L99488,N22:N99488)</f>
        <v>0.142408531352427</v>
      </c>
      <c r="M9" s="48"/>
      <c r="N9" s="48"/>
      <c r="O9" s="47">
        <f>_xlfn.STDEV.S(O23:O999488)</f>
        <v>1.64724412979391</v>
      </c>
      <c r="P9" s="48">
        <f>_xlfn.STDEV.S(P22:P99488,R22:R99488)</f>
        <v>2.17588633013628</v>
      </c>
      <c r="Q9" s="48"/>
      <c r="R9" s="48"/>
      <c r="S9" s="48">
        <f>_xlfn.STDEV.S(S22:S99488,U22:U99488)</f>
        <v>2.00534564228276</v>
      </c>
      <c r="T9" s="48"/>
      <c r="U9" s="48"/>
      <c r="V9" s="47" t="e">
        <f>_xlfn.STDEV.S(V23:V999488)</f>
        <v>#DIV/0!</v>
      </c>
      <c r="W9" s="47" t="e">
        <f>_xlfn.STDEV.S(W23:W999488)</f>
        <v>#DIV/0!</v>
      </c>
      <c r="X9" s="47" t="e">
        <f>_xlfn.STDEV.S(X23:X999488)</f>
        <v>#DIV/0!</v>
      </c>
      <c r="Y9" s="47">
        <f>_xlfn.STDEV.S(Y23:Y999488)</f>
        <v>0.125036874209311</v>
      </c>
      <c r="Z9" s="47">
        <f>_xlfn.STDEV.S(Z23:Z999488)</f>
        <v>0.125024194912856</v>
      </c>
    </row>
    <row r="10" customHeight="1" spans="1:26">
      <c r="A10" s="49" t="s">
        <v>768</v>
      </c>
      <c r="B10" s="50">
        <f t="shared" ref="B10:C10" si="0">B8-(3*B9)</f>
        <v>1897.33727970864</v>
      </c>
      <c r="C10" s="51">
        <f t="shared" si="0"/>
        <v>675.519068922559</v>
      </c>
      <c r="D10" s="51"/>
      <c r="E10" s="51"/>
      <c r="F10" s="51">
        <f>F8-(3*F9)</f>
        <v>9.93622917742889</v>
      </c>
      <c r="G10" s="51"/>
      <c r="H10" s="51"/>
      <c r="I10" s="51">
        <f>I8-(3*I9)</f>
        <v>-0.0502449365307966</v>
      </c>
      <c r="J10" s="51"/>
      <c r="K10" s="51"/>
      <c r="L10" s="51">
        <f t="shared" ref="L10:P10" si="1">L8-(3*L9)</f>
        <v>-0.0628086978222037</v>
      </c>
      <c r="M10" s="51"/>
      <c r="N10" s="51"/>
      <c r="O10" s="50">
        <f t="shared" si="1"/>
        <v>-2.70206296789413</v>
      </c>
      <c r="P10" s="51">
        <f t="shared" si="1"/>
        <v>92.9672831583515</v>
      </c>
      <c r="Q10" s="51"/>
      <c r="R10" s="51"/>
      <c r="S10" s="51">
        <f>S8-(3*S9)</f>
        <v>96.4007399326559</v>
      </c>
      <c r="T10" s="51"/>
      <c r="U10" s="51"/>
      <c r="V10" s="50" t="e">
        <f t="shared" ref="V10:Z10" si="2">V8-(3*V9)</f>
        <v>#DIV/0!</v>
      </c>
      <c r="W10" s="50" t="e">
        <f t="shared" si="2"/>
        <v>#DIV/0!</v>
      </c>
      <c r="X10" s="50" t="e">
        <f t="shared" si="2"/>
        <v>#DIV/0!</v>
      </c>
      <c r="Y10" s="50">
        <f t="shared" si="2"/>
        <v>0.248791816396456</v>
      </c>
      <c r="Z10" s="50">
        <f t="shared" si="2"/>
        <v>0.248837984367122</v>
      </c>
    </row>
    <row r="11" customHeight="1" spans="1:26">
      <c r="A11" s="49" t="s">
        <v>769</v>
      </c>
      <c r="B11" s="50">
        <f t="shared" ref="B11:C11" si="3">B8+(3*B9)</f>
        <v>2069.29081946491</v>
      </c>
      <c r="C11" s="51">
        <f t="shared" si="3"/>
        <v>716.470350597316</v>
      </c>
      <c r="D11" s="51"/>
      <c r="E11" s="51"/>
      <c r="F11" s="51">
        <f>F8+(3*F9)</f>
        <v>15.5730821173369</v>
      </c>
      <c r="G11" s="51"/>
      <c r="H11" s="51"/>
      <c r="I11" s="51">
        <f>I8+(3*I9)</f>
        <v>0.403302787770466</v>
      </c>
      <c r="J11" s="51"/>
      <c r="K11" s="51"/>
      <c r="L11" s="51">
        <f t="shared" ref="L11:P11" si="4">L8+(3*L9)</f>
        <v>0.791642490292359</v>
      </c>
      <c r="M11" s="51"/>
      <c r="N11" s="51"/>
      <c r="O11" s="50">
        <f t="shared" si="4"/>
        <v>7.18140181086934</v>
      </c>
      <c r="P11" s="51">
        <f t="shared" si="4"/>
        <v>106.022601139169</v>
      </c>
      <c r="Q11" s="51"/>
      <c r="R11" s="51"/>
      <c r="S11" s="51">
        <f>S8+(3*S9)</f>
        <v>108.432813786352</v>
      </c>
      <c r="T11" s="51"/>
      <c r="U11" s="51"/>
      <c r="V11" s="50" t="e">
        <f t="shared" ref="V11:Z11" si="5">V8+(3*V9)</f>
        <v>#DIV/0!</v>
      </c>
      <c r="W11" s="50" t="e">
        <f t="shared" si="5"/>
        <v>#DIV/0!</v>
      </c>
      <c r="X11" s="50" t="e">
        <f t="shared" si="5"/>
        <v>#DIV/0!</v>
      </c>
      <c r="Y11" s="50">
        <f t="shared" si="5"/>
        <v>0.999013061652325</v>
      </c>
      <c r="Z11" s="50">
        <f t="shared" si="5"/>
        <v>0.99898315384426</v>
      </c>
    </row>
    <row r="12" customHeight="1" spans="1:24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customHeight="1" spans="1:24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customHeight="1" spans="1:26">
      <c r="A14" s="52" t="s">
        <v>376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Height="1" spans="1:24">
      <c r="A15" s="53"/>
      <c r="B15" s="53"/>
      <c r="C15" s="54"/>
      <c r="D15" s="54"/>
      <c r="E15" s="53"/>
      <c r="F15" s="55"/>
      <c r="G15" s="55"/>
      <c r="H15" s="55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customHeight="1" spans="1:15">
      <c r="A16" s="56" t="s">
        <v>120</v>
      </c>
      <c r="B16" s="56" t="s">
        <v>121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Height="1" spans="1:15">
      <c r="A17" s="56" t="s">
        <v>122</v>
      </c>
      <c r="B17" s="56" t="s">
        <v>377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Height="1" spans="1:26">
      <c r="A18" s="57" t="s">
        <v>770</v>
      </c>
      <c r="B18" s="57"/>
      <c r="C18" s="57" t="s">
        <v>771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customHeight="1" spans="1:26">
      <c r="A19" s="58" t="s">
        <v>772</v>
      </c>
      <c r="B19" s="59" t="s">
        <v>773</v>
      </c>
      <c r="C19" s="59" t="s">
        <v>774</v>
      </c>
      <c r="D19" s="59"/>
      <c r="E19" s="59"/>
      <c r="F19" s="59" t="s">
        <v>740</v>
      </c>
      <c r="G19" s="59"/>
      <c r="H19" s="59"/>
      <c r="I19" s="59" t="s">
        <v>741</v>
      </c>
      <c r="J19" s="59"/>
      <c r="K19" s="59"/>
      <c r="L19" s="59" t="s">
        <v>775</v>
      </c>
      <c r="M19" s="59"/>
      <c r="N19" s="59"/>
      <c r="O19" s="58" t="s">
        <v>776</v>
      </c>
      <c r="P19" s="67" t="s">
        <v>744</v>
      </c>
      <c r="Q19" s="67"/>
      <c r="R19" s="67"/>
      <c r="S19" s="59" t="s">
        <v>777</v>
      </c>
      <c r="T19" s="59"/>
      <c r="U19" s="59"/>
      <c r="V19" s="59" t="s">
        <v>778</v>
      </c>
      <c r="W19" s="59"/>
      <c r="X19" s="59"/>
      <c r="Y19" s="74" t="s">
        <v>779</v>
      </c>
      <c r="Z19" s="74" t="s">
        <v>779</v>
      </c>
    </row>
    <row r="20" customHeight="1" spans="1:26">
      <c r="A20" s="58"/>
      <c r="B20" s="59"/>
      <c r="C20" s="59" t="s">
        <v>749</v>
      </c>
      <c r="D20" s="59"/>
      <c r="E20" s="59"/>
      <c r="F20" s="59" t="s">
        <v>750</v>
      </c>
      <c r="G20" s="59"/>
      <c r="H20" s="59"/>
      <c r="I20" s="59" t="s">
        <v>751</v>
      </c>
      <c r="J20" s="59"/>
      <c r="K20" s="59"/>
      <c r="L20" s="59" t="s">
        <v>752</v>
      </c>
      <c r="M20" s="59"/>
      <c r="N20" s="59"/>
      <c r="O20" s="58"/>
      <c r="P20" s="67"/>
      <c r="Q20" s="67"/>
      <c r="R20" s="67"/>
      <c r="S20" s="59" t="s">
        <v>553</v>
      </c>
      <c r="T20" s="59"/>
      <c r="U20" s="59"/>
      <c r="V20" s="58" t="s">
        <v>756</v>
      </c>
      <c r="W20" s="58" t="s">
        <v>757</v>
      </c>
      <c r="X20" s="58" t="s">
        <v>758</v>
      </c>
      <c r="Y20" s="75"/>
      <c r="Z20" s="75"/>
    </row>
    <row r="21" customHeight="1" spans="1:26">
      <c r="A21" s="58"/>
      <c r="B21" s="59" t="s">
        <v>748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 t="s">
        <v>780</v>
      </c>
      <c r="P21" s="59" t="s">
        <v>754</v>
      </c>
      <c r="Q21" s="59"/>
      <c r="R21" s="59"/>
      <c r="S21" s="59" t="s">
        <v>755</v>
      </c>
      <c r="T21" s="59"/>
      <c r="U21" s="59"/>
      <c r="V21" s="59" t="s">
        <v>781</v>
      </c>
      <c r="W21" s="59"/>
      <c r="X21" s="59" t="s">
        <v>763</v>
      </c>
      <c r="Y21" s="76" t="s">
        <v>782</v>
      </c>
      <c r="Z21" s="77"/>
    </row>
    <row r="22" customHeight="1" spans="1:26">
      <c r="A22" s="58"/>
      <c r="B22" s="59"/>
      <c r="C22" s="59" t="s">
        <v>764</v>
      </c>
      <c r="D22" s="59" t="s">
        <v>765</v>
      </c>
      <c r="E22" s="59" t="s">
        <v>783</v>
      </c>
      <c r="F22" s="59" t="s">
        <v>764</v>
      </c>
      <c r="G22" s="59" t="s">
        <v>765</v>
      </c>
      <c r="H22" s="59" t="s">
        <v>783</v>
      </c>
      <c r="I22" s="59" t="s">
        <v>764</v>
      </c>
      <c r="J22" s="59" t="s">
        <v>765</v>
      </c>
      <c r="K22" s="59" t="s">
        <v>783</v>
      </c>
      <c r="L22" s="59" t="s">
        <v>764</v>
      </c>
      <c r="M22" s="59" t="s">
        <v>765</v>
      </c>
      <c r="N22" s="59" t="s">
        <v>783</v>
      </c>
      <c r="O22" s="59" t="s">
        <v>784</v>
      </c>
      <c r="P22" s="59" t="s">
        <v>764</v>
      </c>
      <c r="Q22" s="59" t="s">
        <v>765</v>
      </c>
      <c r="R22" s="59" t="s">
        <v>783</v>
      </c>
      <c r="S22" s="59" t="s">
        <v>764</v>
      </c>
      <c r="T22" s="59" t="s">
        <v>765</v>
      </c>
      <c r="U22" s="59" t="s">
        <v>783</v>
      </c>
      <c r="V22" s="59" t="s">
        <v>785</v>
      </c>
      <c r="W22" s="59" t="s">
        <v>786</v>
      </c>
      <c r="X22" s="71"/>
      <c r="Y22" s="63" t="s">
        <v>787</v>
      </c>
      <c r="Z22" s="63" t="s">
        <v>788</v>
      </c>
    </row>
    <row r="23" customHeight="1" spans="1:26">
      <c r="A23" s="60" t="s">
        <v>397</v>
      </c>
      <c r="B23" s="61">
        <v>1986</v>
      </c>
      <c r="C23" s="62">
        <v>693</v>
      </c>
      <c r="D23" s="62">
        <v>714</v>
      </c>
      <c r="E23" s="62">
        <v>703.266666666667</v>
      </c>
      <c r="F23" s="63">
        <v>12.17</v>
      </c>
      <c r="G23" s="63">
        <v>12.9</v>
      </c>
      <c r="H23" s="63">
        <v>12.5066666666667</v>
      </c>
      <c r="I23" s="63">
        <v>0.2</v>
      </c>
      <c r="J23" s="63">
        <v>0.3</v>
      </c>
      <c r="K23" s="63">
        <v>0.233333333333333</v>
      </c>
      <c r="L23" s="68">
        <v>0.27</v>
      </c>
      <c r="M23" s="68">
        <v>0.29</v>
      </c>
      <c r="N23" s="68">
        <v>0.276666666666667</v>
      </c>
      <c r="O23" s="63">
        <v>2.5</v>
      </c>
      <c r="P23" s="62">
        <v>100.77</v>
      </c>
      <c r="Q23" s="62">
        <v>101.01</v>
      </c>
      <c r="R23" s="62">
        <v>100.905</v>
      </c>
      <c r="S23" s="63">
        <v>99.85</v>
      </c>
      <c r="T23" s="63">
        <v>99.89</v>
      </c>
      <c r="U23" s="63">
        <v>99.87</v>
      </c>
      <c r="V23" s="63" t="s">
        <v>789</v>
      </c>
      <c r="W23" s="63" t="s">
        <v>790</v>
      </c>
      <c r="X23" s="63" t="s">
        <v>791</v>
      </c>
      <c r="Y23" s="68">
        <v>0.51</v>
      </c>
      <c r="Z23" s="68">
        <v>0.51</v>
      </c>
    </row>
    <row r="24" customHeight="1" spans="1:26">
      <c r="A24" s="60" t="s">
        <v>406</v>
      </c>
      <c r="B24" s="61">
        <v>1982</v>
      </c>
      <c r="C24" s="62">
        <v>696</v>
      </c>
      <c r="D24" s="62">
        <v>711</v>
      </c>
      <c r="E24" s="62">
        <v>702.9</v>
      </c>
      <c r="F24" s="63">
        <v>12.55</v>
      </c>
      <c r="G24" s="63">
        <v>14</v>
      </c>
      <c r="H24" s="63">
        <v>13.0766666666667</v>
      </c>
      <c r="I24" s="63">
        <v>0.2</v>
      </c>
      <c r="J24" s="63">
        <v>0.2</v>
      </c>
      <c r="K24" s="63">
        <v>0.2</v>
      </c>
      <c r="L24" s="68">
        <v>0.26</v>
      </c>
      <c r="M24" s="68">
        <v>0.29</v>
      </c>
      <c r="N24" s="68">
        <v>0.28</v>
      </c>
      <c r="O24" s="63">
        <v>2.1</v>
      </c>
      <c r="P24" s="62">
        <v>100.89</v>
      </c>
      <c r="Q24" s="62">
        <v>101.2</v>
      </c>
      <c r="R24" s="62">
        <v>101.04</v>
      </c>
      <c r="S24" s="63">
        <v>100.46</v>
      </c>
      <c r="T24" s="63">
        <v>100.71</v>
      </c>
      <c r="U24" s="63">
        <v>100.585</v>
      </c>
      <c r="V24" s="63" t="s">
        <v>789</v>
      </c>
      <c r="W24" s="63" t="s">
        <v>790</v>
      </c>
      <c r="X24" s="63" t="s">
        <v>791</v>
      </c>
      <c r="Y24" s="68">
        <v>0.5</v>
      </c>
      <c r="Z24" s="68">
        <v>0.5</v>
      </c>
    </row>
    <row r="25" customHeight="1" spans="1:26">
      <c r="A25" s="60" t="s">
        <v>407</v>
      </c>
      <c r="B25" s="61">
        <v>1991</v>
      </c>
      <c r="C25" s="62">
        <v>691</v>
      </c>
      <c r="D25" s="62">
        <v>715</v>
      </c>
      <c r="E25" s="62">
        <v>702.866666666667</v>
      </c>
      <c r="F25" s="63">
        <v>12.1</v>
      </c>
      <c r="G25" s="63">
        <v>13.38</v>
      </c>
      <c r="H25" s="63">
        <v>12.87</v>
      </c>
      <c r="I25" s="63">
        <v>0</v>
      </c>
      <c r="J25" s="63">
        <v>0.1</v>
      </c>
      <c r="K25" s="63">
        <v>0.0333333333333333</v>
      </c>
      <c r="L25" s="68">
        <v>0.26</v>
      </c>
      <c r="M25" s="68">
        <v>0.28</v>
      </c>
      <c r="N25" s="68">
        <v>0.27</v>
      </c>
      <c r="O25" s="63">
        <v>5.3</v>
      </c>
      <c r="P25" s="62">
        <v>100.92</v>
      </c>
      <c r="Q25" s="62">
        <v>101.49</v>
      </c>
      <c r="R25" s="62">
        <v>101.16</v>
      </c>
      <c r="S25" s="63">
        <v>105.64</v>
      </c>
      <c r="T25" s="63">
        <v>105.67</v>
      </c>
      <c r="U25" s="63">
        <v>105.655</v>
      </c>
      <c r="V25" s="63" t="s">
        <v>789</v>
      </c>
      <c r="W25" s="63" t="s">
        <v>790</v>
      </c>
      <c r="X25" s="63" t="s">
        <v>791</v>
      </c>
      <c r="Y25" s="68">
        <v>0.47</v>
      </c>
      <c r="Z25" s="68">
        <v>0.47</v>
      </c>
    </row>
    <row r="26" customHeight="1" spans="1:26">
      <c r="A26" s="60" t="s">
        <v>408</v>
      </c>
      <c r="B26" s="61">
        <v>1989</v>
      </c>
      <c r="C26" s="62">
        <v>695</v>
      </c>
      <c r="D26" s="62">
        <v>713</v>
      </c>
      <c r="E26" s="62">
        <v>704.25</v>
      </c>
      <c r="F26" s="63">
        <v>13.63</v>
      </c>
      <c r="G26" s="63">
        <v>14.22</v>
      </c>
      <c r="H26" s="63">
        <v>13.9666666666667</v>
      </c>
      <c r="I26" s="63">
        <v>0.2</v>
      </c>
      <c r="J26" s="63">
        <v>0.2</v>
      </c>
      <c r="K26" s="63">
        <v>0.2</v>
      </c>
      <c r="L26" s="68">
        <v>0.28</v>
      </c>
      <c r="M26" s="68">
        <v>0.3</v>
      </c>
      <c r="N26" s="68">
        <v>0.29</v>
      </c>
      <c r="O26" s="63">
        <v>4.4</v>
      </c>
      <c r="P26" s="62">
        <v>100.38</v>
      </c>
      <c r="Q26" s="62">
        <v>101.23</v>
      </c>
      <c r="R26" s="62">
        <v>100.746666666667</v>
      </c>
      <c r="S26" s="63">
        <v>104.2</v>
      </c>
      <c r="T26" s="63">
        <v>105.53</v>
      </c>
      <c r="U26" s="63">
        <v>104.865</v>
      </c>
      <c r="V26" s="63" t="s">
        <v>789</v>
      </c>
      <c r="W26" s="63" t="s">
        <v>790</v>
      </c>
      <c r="X26" s="63" t="s">
        <v>791</v>
      </c>
      <c r="Y26" s="68">
        <v>0.54</v>
      </c>
      <c r="Z26" s="68">
        <v>0.54</v>
      </c>
    </row>
    <row r="27" customHeight="1" spans="1:26">
      <c r="A27" s="60" t="s">
        <v>409</v>
      </c>
      <c r="B27" s="20">
        <v>1986</v>
      </c>
      <c r="C27" s="62">
        <v>692</v>
      </c>
      <c r="D27" s="62">
        <v>710</v>
      </c>
      <c r="E27" s="62">
        <v>701.575</v>
      </c>
      <c r="F27" s="63">
        <v>12.95</v>
      </c>
      <c r="G27" s="63">
        <v>13.17</v>
      </c>
      <c r="H27" s="63">
        <v>13.09</v>
      </c>
      <c r="I27" s="63">
        <v>0</v>
      </c>
      <c r="J27" s="63">
        <v>0.1</v>
      </c>
      <c r="K27" s="63">
        <v>0.0333333333333333</v>
      </c>
      <c r="L27" s="68">
        <v>0.27</v>
      </c>
      <c r="M27" s="68">
        <v>0.29</v>
      </c>
      <c r="N27" s="68">
        <v>0.283333333333333</v>
      </c>
      <c r="O27" s="63">
        <v>6.3</v>
      </c>
      <c r="P27" s="62">
        <v>101.15</v>
      </c>
      <c r="Q27" s="62">
        <v>105.22</v>
      </c>
      <c r="R27" s="62">
        <v>104.005</v>
      </c>
      <c r="S27" s="63">
        <v>105.31</v>
      </c>
      <c r="T27" s="63">
        <v>106.19</v>
      </c>
      <c r="U27" s="63">
        <v>105.75</v>
      </c>
      <c r="V27" s="63" t="s">
        <v>789</v>
      </c>
      <c r="W27" s="63" t="s">
        <v>790</v>
      </c>
      <c r="X27" s="63" t="s">
        <v>791</v>
      </c>
      <c r="Y27" s="68">
        <v>0.642</v>
      </c>
      <c r="Z27" s="68">
        <v>0.642</v>
      </c>
    </row>
    <row r="28" customHeight="1" spans="1:26">
      <c r="A28" s="60" t="s">
        <v>11</v>
      </c>
      <c r="B28" s="20">
        <v>1986</v>
      </c>
      <c r="C28" s="62">
        <v>687</v>
      </c>
      <c r="D28" s="62">
        <v>715</v>
      </c>
      <c r="E28" s="62">
        <v>701.533333333333</v>
      </c>
      <c r="F28" s="63">
        <v>12.65</v>
      </c>
      <c r="G28" s="63">
        <v>14</v>
      </c>
      <c r="H28" s="63">
        <v>13.4333333333333</v>
      </c>
      <c r="I28" s="63">
        <v>0.2</v>
      </c>
      <c r="J28" s="63">
        <v>0.2</v>
      </c>
      <c r="K28" s="63">
        <v>0.2</v>
      </c>
      <c r="L28" s="68">
        <v>0.27</v>
      </c>
      <c r="M28" s="68">
        <v>0.28</v>
      </c>
      <c r="N28" s="68">
        <v>0.276666666666667</v>
      </c>
      <c r="O28" s="63">
        <v>7.1</v>
      </c>
      <c r="P28" s="62">
        <v>103.74</v>
      </c>
      <c r="Q28" s="62">
        <v>105.24</v>
      </c>
      <c r="R28" s="62">
        <v>104.608333333333</v>
      </c>
      <c r="S28" s="63">
        <v>105.61</v>
      </c>
      <c r="T28" s="63">
        <v>105.68</v>
      </c>
      <c r="U28" s="63">
        <v>105.645</v>
      </c>
      <c r="V28" s="63" t="s">
        <v>789</v>
      </c>
      <c r="W28" s="63" t="s">
        <v>790</v>
      </c>
      <c r="X28" s="63" t="s">
        <v>791</v>
      </c>
      <c r="Y28" s="78">
        <v>0.628</v>
      </c>
      <c r="Z28" s="78">
        <v>0.628</v>
      </c>
    </row>
    <row r="29" customHeight="1" spans="1:26">
      <c r="A29" s="60" t="s">
        <v>24</v>
      </c>
      <c r="B29" s="20">
        <v>1989</v>
      </c>
      <c r="C29" s="62">
        <v>687</v>
      </c>
      <c r="D29" s="62">
        <v>714</v>
      </c>
      <c r="E29" s="62">
        <v>701.35</v>
      </c>
      <c r="F29" s="63">
        <v>12.92</v>
      </c>
      <c r="G29" s="63">
        <v>14.55</v>
      </c>
      <c r="H29" s="63">
        <v>13.5666666666667</v>
      </c>
      <c r="I29" s="63">
        <v>0.2</v>
      </c>
      <c r="J29" s="63">
        <v>0.2</v>
      </c>
      <c r="K29" s="63">
        <v>0.2</v>
      </c>
      <c r="L29" s="68">
        <v>0.28</v>
      </c>
      <c r="M29" s="68">
        <v>0.31</v>
      </c>
      <c r="N29" s="68">
        <v>0.29</v>
      </c>
      <c r="O29" s="63">
        <v>5.9</v>
      </c>
      <c r="P29" s="62">
        <v>100.73</v>
      </c>
      <c r="Q29" s="62">
        <v>106.97</v>
      </c>
      <c r="R29" s="62">
        <v>105.651666666667</v>
      </c>
      <c r="S29" s="63">
        <v>105.18</v>
      </c>
      <c r="T29" s="63">
        <v>105.87</v>
      </c>
      <c r="U29" s="63">
        <v>105.525</v>
      </c>
      <c r="V29" s="63" t="s">
        <v>789</v>
      </c>
      <c r="W29" s="63" t="s">
        <v>790</v>
      </c>
      <c r="X29" s="63" t="s">
        <v>791</v>
      </c>
      <c r="Y29" s="78">
        <v>0.7</v>
      </c>
      <c r="Z29" s="78">
        <v>0.7</v>
      </c>
    </row>
    <row r="30" customHeight="1" spans="1:26">
      <c r="A30" s="60" t="s">
        <v>34</v>
      </c>
      <c r="B30" s="20">
        <v>1983</v>
      </c>
      <c r="C30" s="62">
        <v>690</v>
      </c>
      <c r="D30" s="62">
        <v>712</v>
      </c>
      <c r="E30" s="62">
        <v>701.375</v>
      </c>
      <c r="F30" s="63">
        <v>13.55</v>
      </c>
      <c r="G30" s="63">
        <v>13.68</v>
      </c>
      <c r="H30" s="63">
        <v>13.62</v>
      </c>
      <c r="I30" s="63">
        <v>0.1</v>
      </c>
      <c r="J30" s="63">
        <v>0.2</v>
      </c>
      <c r="K30" s="63">
        <v>0.133333333333333</v>
      </c>
      <c r="L30" s="68">
        <v>0.27</v>
      </c>
      <c r="M30" s="68">
        <v>0.29</v>
      </c>
      <c r="N30" s="68">
        <v>0.28</v>
      </c>
      <c r="O30" s="63">
        <v>6.5</v>
      </c>
      <c r="P30" s="62">
        <v>102.34</v>
      </c>
      <c r="Q30" s="62">
        <v>105.39</v>
      </c>
      <c r="R30" s="62">
        <v>103.673333333333</v>
      </c>
      <c r="S30" s="63">
        <v>105.35</v>
      </c>
      <c r="T30" s="63">
        <v>105.54</v>
      </c>
      <c r="U30" s="63">
        <v>105.445</v>
      </c>
      <c r="V30" s="63" t="s">
        <v>789</v>
      </c>
      <c r="W30" s="63" t="s">
        <v>790</v>
      </c>
      <c r="X30" s="63" t="s">
        <v>791</v>
      </c>
      <c r="Y30" s="78">
        <v>0.67</v>
      </c>
      <c r="Z30" s="78">
        <v>0.67</v>
      </c>
    </row>
    <row r="31" customHeight="1" spans="1:26">
      <c r="A31" s="60" t="s">
        <v>43</v>
      </c>
      <c r="B31" s="20">
        <v>1902</v>
      </c>
      <c r="C31" s="62">
        <v>695</v>
      </c>
      <c r="D31" s="62">
        <v>712</v>
      </c>
      <c r="E31" s="62">
        <v>702.55</v>
      </c>
      <c r="F31" s="63">
        <v>11.45</v>
      </c>
      <c r="G31" s="63">
        <v>12.7</v>
      </c>
      <c r="H31" s="63">
        <v>12.05</v>
      </c>
      <c r="I31" s="63">
        <v>0.2</v>
      </c>
      <c r="J31" s="63">
        <v>0.2</v>
      </c>
      <c r="K31" s="63">
        <v>0.2</v>
      </c>
      <c r="L31" s="68">
        <v>0.27</v>
      </c>
      <c r="M31" s="68">
        <v>0.29</v>
      </c>
      <c r="N31" s="68">
        <v>0.28</v>
      </c>
      <c r="O31" s="63">
        <v>5.5</v>
      </c>
      <c r="P31" s="62">
        <v>100.5</v>
      </c>
      <c r="Q31" s="62">
        <v>101.58</v>
      </c>
      <c r="R31" s="62">
        <v>101.223333333333</v>
      </c>
      <c r="S31" s="63">
        <v>104.32</v>
      </c>
      <c r="T31" s="63">
        <v>104.77</v>
      </c>
      <c r="U31" s="63">
        <v>104.545</v>
      </c>
      <c r="V31" s="63" t="s">
        <v>789</v>
      </c>
      <c r="W31" s="63" t="s">
        <v>790</v>
      </c>
      <c r="X31" s="63" t="s">
        <v>791</v>
      </c>
      <c r="Y31" s="78">
        <v>0.6</v>
      </c>
      <c r="Z31" s="78">
        <v>0.6</v>
      </c>
    </row>
    <row r="32" customHeight="1" spans="1:26">
      <c r="A32" s="60" t="s">
        <v>52</v>
      </c>
      <c r="B32" s="20">
        <v>1865</v>
      </c>
      <c r="C32" s="62">
        <v>692</v>
      </c>
      <c r="D32" s="62">
        <v>713</v>
      </c>
      <c r="E32" s="62">
        <v>702.725</v>
      </c>
      <c r="F32" s="63">
        <v>11.67</v>
      </c>
      <c r="G32" s="63">
        <v>13.17</v>
      </c>
      <c r="H32" s="63">
        <v>12.2533333333333</v>
      </c>
      <c r="I32" s="63">
        <v>0.2</v>
      </c>
      <c r="J32" s="63">
        <v>0.2</v>
      </c>
      <c r="K32" s="63">
        <v>0.2</v>
      </c>
      <c r="L32" s="68">
        <v>0.28</v>
      </c>
      <c r="M32" s="68">
        <v>0.3</v>
      </c>
      <c r="N32" s="68">
        <v>0.29</v>
      </c>
      <c r="O32" s="63">
        <v>5</v>
      </c>
      <c r="P32" s="62">
        <v>99.97</v>
      </c>
      <c r="Q32" s="62">
        <v>101.23</v>
      </c>
      <c r="R32" s="62">
        <v>100.46</v>
      </c>
      <c r="S32" s="63">
        <v>104.69</v>
      </c>
      <c r="T32" s="63">
        <v>104.71</v>
      </c>
      <c r="U32" s="63">
        <v>104.7</v>
      </c>
      <c r="V32" s="63" t="s">
        <v>789</v>
      </c>
      <c r="W32" s="63" t="s">
        <v>790</v>
      </c>
      <c r="X32" s="63" t="s">
        <v>791</v>
      </c>
      <c r="Y32" s="20">
        <v>0.51</v>
      </c>
      <c r="Z32" s="20">
        <v>0.51</v>
      </c>
    </row>
    <row r="33" customHeight="1" spans="1:26">
      <c r="A33" s="60" t="s">
        <v>61</v>
      </c>
      <c r="B33" s="20">
        <v>1895</v>
      </c>
      <c r="C33" s="62">
        <v>690</v>
      </c>
      <c r="D33" s="62">
        <v>712</v>
      </c>
      <c r="E33" s="62">
        <v>702.3</v>
      </c>
      <c r="F33" s="63">
        <v>11.15</v>
      </c>
      <c r="G33" s="63">
        <v>11.48</v>
      </c>
      <c r="H33" s="63">
        <v>11.3033333333333</v>
      </c>
      <c r="I33" s="63">
        <v>0.1</v>
      </c>
      <c r="J33" s="63">
        <v>0.1</v>
      </c>
      <c r="K33" s="63">
        <v>0.1</v>
      </c>
      <c r="L33" s="68">
        <v>0.27</v>
      </c>
      <c r="M33" s="68">
        <v>0.29</v>
      </c>
      <c r="N33" s="68">
        <v>0.28</v>
      </c>
      <c r="O33" s="63">
        <v>3.7</v>
      </c>
      <c r="P33" s="62">
        <v>99.61</v>
      </c>
      <c r="Q33" s="62">
        <v>99.9</v>
      </c>
      <c r="R33" s="62">
        <v>99.795</v>
      </c>
      <c r="S33" s="63">
        <v>104.18</v>
      </c>
      <c r="T33" s="63">
        <v>104.63</v>
      </c>
      <c r="U33" s="63">
        <v>104.405</v>
      </c>
      <c r="V33" s="63" t="s">
        <v>789</v>
      </c>
      <c r="W33" s="63" t="s">
        <v>790</v>
      </c>
      <c r="X33" s="63" t="s">
        <v>791</v>
      </c>
      <c r="Y33" s="20">
        <v>0.57</v>
      </c>
      <c r="Z33" s="20">
        <v>0.57</v>
      </c>
    </row>
    <row r="34" customHeight="1" spans="1:26">
      <c r="A34" s="60" t="s">
        <v>65</v>
      </c>
      <c r="B34" s="20">
        <v>1862</v>
      </c>
      <c r="C34" s="62">
        <v>690</v>
      </c>
      <c r="D34" s="62">
        <v>713</v>
      </c>
      <c r="E34" s="62">
        <v>702.48</v>
      </c>
      <c r="F34" s="63">
        <v>12.2</v>
      </c>
      <c r="G34" s="63">
        <v>12.38</v>
      </c>
      <c r="H34" s="63">
        <v>12.27</v>
      </c>
      <c r="I34" s="63">
        <v>0.1</v>
      </c>
      <c r="J34" s="63">
        <v>0.2</v>
      </c>
      <c r="K34" s="63">
        <v>0.166666666666667</v>
      </c>
      <c r="L34" s="68">
        <v>0.27</v>
      </c>
      <c r="M34" s="68">
        <v>0.33</v>
      </c>
      <c r="N34" s="68">
        <v>0.303333333333333</v>
      </c>
      <c r="O34" s="63">
        <v>3.1</v>
      </c>
      <c r="P34" s="62">
        <v>99.85</v>
      </c>
      <c r="Q34" s="62">
        <v>100.02</v>
      </c>
      <c r="R34" s="62">
        <v>99.9333333333333</v>
      </c>
      <c r="S34" s="63">
        <v>100.91</v>
      </c>
      <c r="T34" s="63">
        <v>101.81</v>
      </c>
      <c r="U34" s="63">
        <v>101.36</v>
      </c>
      <c r="V34" s="63" t="s">
        <v>789</v>
      </c>
      <c r="W34" s="63" t="s">
        <v>790</v>
      </c>
      <c r="X34" s="63" t="s">
        <v>791</v>
      </c>
      <c r="Y34" s="20">
        <v>0.74</v>
      </c>
      <c r="Z34" s="20">
        <v>0.74</v>
      </c>
    </row>
    <row r="35" customHeight="1" spans="1:26">
      <c r="A35" s="60" t="s">
        <v>76</v>
      </c>
      <c r="B35" s="20">
        <v>1888</v>
      </c>
      <c r="C35" s="62">
        <v>695</v>
      </c>
      <c r="D35" s="62">
        <v>713</v>
      </c>
      <c r="E35" s="62">
        <v>704.1</v>
      </c>
      <c r="F35" s="63">
        <v>11.55</v>
      </c>
      <c r="G35" s="63">
        <v>12.15</v>
      </c>
      <c r="H35" s="63">
        <v>11.9333333333333</v>
      </c>
      <c r="I35" s="63">
        <v>0</v>
      </c>
      <c r="J35" s="63">
        <v>0.1</v>
      </c>
      <c r="K35" s="63">
        <v>0.0666666666666667</v>
      </c>
      <c r="L35" s="68">
        <v>0.26</v>
      </c>
      <c r="M35" s="68">
        <v>0.27</v>
      </c>
      <c r="N35" s="68">
        <v>0.263333333333333</v>
      </c>
      <c r="O35" s="63">
        <v>0.4</v>
      </c>
      <c r="P35" s="62">
        <v>99.97</v>
      </c>
      <c r="Q35" s="62">
        <v>100.11</v>
      </c>
      <c r="R35" s="62">
        <v>100.016</v>
      </c>
      <c r="S35" s="63">
        <v>101.04</v>
      </c>
      <c r="T35" s="63">
        <v>101.25</v>
      </c>
      <c r="U35" s="63">
        <v>101.145</v>
      </c>
      <c r="V35" s="63" t="s">
        <v>789</v>
      </c>
      <c r="W35" s="63" t="s">
        <v>790</v>
      </c>
      <c r="X35" s="63" t="s">
        <v>791</v>
      </c>
      <c r="Y35" s="20">
        <v>0.5</v>
      </c>
      <c r="Z35" s="20">
        <v>0.5</v>
      </c>
    </row>
    <row r="36" customHeight="1" spans="1:26">
      <c r="A36" s="60" t="s">
        <v>83</v>
      </c>
      <c r="B36" s="20">
        <v>1827</v>
      </c>
      <c r="C36" s="62">
        <v>694</v>
      </c>
      <c r="D36" s="62">
        <v>714</v>
      </c>
      <c r="E36" s="62">
        <v>702.9</v>
      </c>
      <c r="F36" s="63">
        <v>12</v>
      </c>
      <c r="G36" s="63">
        <v>13.63</v>
      </c>
      <c r="H36" s="63">
        <v>12.6933333333333</v>
      </c>
      <c r="I36" s="63">
        <v>0.1</v>
      </c>
      <c r="J36" s="63">
        <v>0.2</v>
      </c>
      <c r="K36" s="63">
        <v>0.133333333333333</v>
      </c>
      <c r="L36" s="68">
        <v>0.28</v>
      </c>
      <c r="M36" s="68">
        <v>0.31</v>
      </c>
      <c r="N36" s="68">
        <v>0.296666666666667</v>
      </c>
      <c r="O36" s="63">
        <v>4.1</v>
      </c>
      <c r="P36" s="62">
        <v>99.88</v>
      </c>
      <c r="Q36" s="62">
        <v>101.05</v>
      </c>
      <c r="R36" s="62">
        <v>100.173333333333</v>
      </c>
      <c r="S36" s="63">
        <v>101.23</v>
      </c>
      <c r="T36" s="63">
        <v>101.39</v>
      </c>
      <c r="U36" s="63">
        <v>101.31</v>
      </c>
      <c r="V36" s="63" t="s">
        <v>789</v>
      </c>
      <c r="W36" s="63" t="s">
        <v>790</v>
      </c>
      <c r="X36" s="63" t="s">
        <v>791</v>
      </c>
      <c r="Y36" s="20">
        <v>0.61</v>
      </c>
      <c r="Z36" s="20">
        <v>0.61</v>
      </c>
    </row>
    <row r="37" customHeight="1" spans="1:26">
      <c r="A37" s="60" t="s">
        <v>92</v>
      </c>
      <c r="B37" s="20">
        <v>1884</v>
      </c>
      <c r="C37" s="62">
        <v>692</v>
      </c>
      <c r="D37" s="62">
        <v>712</v>
      </c>
      <c r="E37" s="62">
        <v>702.35</v>
      </c>
      <c r="F37" s="63">
        <v>12</v>
      </c>
      <c r="G37" s="63">
        <v>13.78</v>
      </c>
      <c r="H37" s="63">
        <v>12.9366666666667</v>
      </c>
      <c r="I37" s="63">
        <v>0.1</v>
      </c>
      <c r="J37" s="63">
        <v>0.2</v>
      </c>
      <c r="K37" s="63">
        <v>0.166666666666667</v>
      </c>
      <c r="L37" s="68">
        <v>0.27</v>
      </c>
      <c r="M37" s="68">
        <v>0.28</v>
      </c>
      <c r="N37" s="68">
        <v>0.273333333333333</v>
      </c>
      <c r="O37" s="63">
        <v>2</v>
      </c>
      <c r="P37" s="62">
        <v>99.91</v>
      </c>
      <c r="Q37" s="62">
        <v>101.12</v>
      </c>
      <c r="R37" s="62">
        <v>100.315</v>
      </c>
      <c r="S37" s="63">
        <v>100.73</v>
      </c>
      <c r="T37" s="63">
        <v>100.82</v>
      </c>
      <c r="U37" s="63">
        <v>100.775</v>
      </c>
      <c r="V37" s="63" t="s">
        <v>789</v>
      </c>
      <c r="W37" s="63" t="s">
        <v>790</v>
      </c>
      <c r="X37" s="63" t="s">
        <v>791</v>
      </c>
      <c r="Y37" s="20">
        <v>0.6</v>
      </c>
      <c r="Z37" s="20">
        <v>0.6</v>
      </c>
    </row>
    <row r="38" customHeight="1" spans="1:26">
      <c r="A38" s="60" t="s">
        <v>97</v>
      </c>
      <c r="B38" s="20">
        <v>1913</v>
      </c>
      <c r="C38" s="62">
        <v>690</v>
      </c>
      <c r="D38" s="62">
        <v>714</v>
      </c>
      <c r="E38" s="62">
        <v>701.65</v>
      </c>
      <c r="F38" s="63">
        <v>10.95</v>
      </c>
      <c r="G38" s="63">
        <v>13.17</v>
      </c>
      <c r="H38" s="63">
        <v>12.1233333333333</v>
      </c>
      <c r="I38" s="63">
        <v>0</v>
      </c>
      <c r="J38" s="63">
        <v>0.1</v>
      </c>
      <c r="K38" s="63">
        <v>0.0333333333333333</v>
      </c>
      <c r="L38" s="68">
        <v>0.27</v>
      </c>
      <c r="M38" s="68">
        <v>0.29</v>
      </c>
      <c r="N38" s="68">
        <v>0.28</v>
      </c>
      <c r="O38" s="63">
        <v>2</v>
      </c>
      <c r="P38" s="62">
        <v>99.84</v>
      </c>
      <c r="Q38" s="62">
        <v>101.25</v>
      </c>
      <c r="R38" s="62">
        <v>100.485</v>
      </c>
      <c r="S38" s="63">
        <v>100.59</v>
      </c>
      <c r="T38" s="63">
        <v>100.67</v>
      </c>
      <c r="U38" s="63">
        <v>100.63</v>
      </c>
      <c r="V38" s="63" t="s">
        <v>789</v>
      </c>
      <c r="W38" s="63" t="s">
        <v>790</v>
      </c>
      <c r="X38" s="63" t="s">
        <v>791</v>
      </c>
      <c r="Y38" s="20">
        <v>0.6</v>
      </c>
      <c r="Z38" s="20">
        <v>0.6</v>
      </c>
    </row>
    <row r="39" s="31" customFormat="1" customHeight="1" spans="1:2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Height="1" spans="1:26">
      <c r="A40" s="60" t="s">
        <v>104</v>
      </c>
      <c r="B40" s="20">
        <v>1990</v>
      </c>
      <c r="C40" s="62">
        <v>692</v>
      </c>
      <c r="D40" s="62">
        <v>718</v>
      </c>
      <c r="E40" s="62">
        <v>704.175</v>
      </c>
      <c r="F40" s="63">
        <v>10.25</v>
      </c>
      <c r="G40" s="63">
        <v>12.2</v>
      </c>
      <c r="H40" s="63">
        <v>11.0833333333333</v>
      </c>
      <c r="I40" s="63">
        <v>0.2</v>
      </c>
      <c r="J40" s="63">
        <v>0.3</v>
      </c>
      <c r="K40" s="63">
        <v>0.266666666666667</v>
      </c>
      <c r="L40" s="68">
        <v>0.28</v>
      </c>
      <c r="M40" s="68">
        <v>0.31</v>
      </c>
      <c r="N40" s="68">
        <v>0.293333333333333</v>
      </c>
      <c r="O40" s="63">
        <v>3.2</v>
      </c>
      <c r="P40" s="62">
        <v>100.31</v>
      </c>
      <c r="Q40" s="62">
        <v>101.43</v>
      </c>
      <c r="R40" s="62">
        <v>100.775</v>
      </c>
      <c r="S40" s="63">
        <v>102.1</v>
      </c>
      <c r="T40" s="63">
        <v>102.33</v>
      </c>
      <c r="U40" s="63">
        <v>102.215</v>
      </c>
      <c r="V40" s="63" t="s">
        <v>789</v>
      </c>
      <c r="W40" s="63" t="s">
        <v>790</v>
      </c>
      <c r="X40" s="63" t="s">
        <v>791</v>
      </c>
      <c r="Y40" s="20">
        <v>0.5</v>
      </c>
      <c r="Z40" s="20">
        <v>0.5</v>
      </c>
    </row>
    <row r="41" customHeight="1" spans="1:26">
      <c r="A41" s="60" t="s">
        <v>110</v>
      </c>
      <c r="B41" s="20">
        <v>1992</v>
      </c>
      <c r="C41" s="62">
        <v>695</v>
      </c>
      <c r="D41" s="62">
        <v>713</v>
      </c>
      <c r="E41" s="62">
        <v>702</v>
      </c>
      <c r="F41" s="63">
        <v>10.83</v>
      </c>
      <c r="G41" s="63">
        <v>11.63</v>
      </c>
      <c r="H41" s="63">
        <v>11.23</v>
      </c>
      <c r="I41" s="63">
        <v>0.1</v>
      </c>
      <c r="J41" s="63">
        <v>0.1</v>
      </c>
      <c r="K41" s="63">
        <v>0.1</v>
      </c>
      <c r="L41" s="68">
        <v>0.25</v>
      </c>
      <c r="M41" s="68">
        <v>0.28</v>
      </c>
      <c r="N41" s="68">
        <v>0.266666666666667</v>
      </c>
      <c r="O41" s="63">
        <v>2.5</v>
      </c>
      <c r="P41" s="62">
        <v>100.85</v>
      </c>
      <c r="Q41" s="62">
        <v>101.36</v>
      </c>
      <c r="R41" s="62">
        <v>101.196666666667</v>
      </c>
      <c r="S41" s="63">
        <v>102.39</v>
      </c>
      <c r="T41" s="63">
        <v>102.44</v>
      </c>
      <c r="U41" s="63">
        <v>102.415</v>
      </c>
      <c r="V41" s="63" t="s">
        <v>789</v>
      </c>
      <c r="W41" s="63" t="s">
        <v>790</v>
      </c>
      <c r="X41" s="63" t="s">
        <v>791</v>
      </c>
      <c r="Y41" s="20">
        <v>0.54</v>
      </c>
      <c r="Z41" s="20">
        <v>0.54</v>
      </c>
    </row>
    <row r="42" s="31" customFormat="1" customHeight="1" spans="1:2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="32" customFormat="1" customHeight="1" spans="1:26">
      <c r="A43" s="60" t="s">
        <v>114</v>
      </c>
      <c r="B43" s="20">
        <v>1992</v>
      </c>
      <c r="C43" s="62">
        <v>690</v>
      </c>
      <c r="D43" s="62">
        <v>718</v>
      </c>
      <c r="E43" s="62">
        <v>704.45</v>
      </c>
      <c r="F43" s="63">
        <v>11.85</v>
      </c>
      <c r="G43" s="63">
        <v>13.5</v>
      </c>
      <c r="H43" s="63">
        <v>12.7166666666667</v>
      </c>
      <c r="I43" s="63">
        <v>0.1</v>
      </c>
      <c r="J43" s="63">
        <v>0.3</v>
      </c>
      <c r="K43" s="63">
        <v>0.2</v>
      </c>
      <c r="L43" s="68">
        <v>0.29</v>
      </c>
      <c r="M43" s="68">
        <v>0.31</v>
      </c>
      <c r="N43" s="68">
        <v>0.3</v>
      </c>
      <c r="O43" s="63">
        <v>1.6</v>
      </c>
      <c r="P43" s="62">
        <v>98.67</v>
      </c>
      <c r="Q43" s="62">
        <v>101.71</v>
      </c>
      <c r="R43" s="62">
        <v>100.801666666667</v>
      </c>
      <c r="S43" s="63">
        <v>102.6</v>
      </c>
      <c r="T43" s="63">
        <v>103.13</v>
      </c>
      <c r="U43" s="63">
        <v>102.865</v>
      </c>
      <c r="V43" s="63" t="s">
        <v>789</v>
      </c>
      <c r="W43" s="63" t="s">
        <v>790</v>
      </c>
      <c r="X43" s="63" t="s">
        <v>791</v>
      </c>
      <c r="Y43" s="79">
        <v>0.77</v>
      </c>
      <c r="Z43" s="79">
        <v>0.77</v>
      </c>
    </row>
    <row r="44" s="31" customFormat="1" customHeight="1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Height="1" spans="1:26">
      <c r="A45" s="60" t="s">
        <v>124</v>
      </c>
      <c r="B45" s="20">
        <v>1987</v>
      </c>
      <c r="C45" s="62">
        <v>695</v>
      </c>
      <c r="D45" s="62">
        <v>718</v>
      </c>
      <c r="E45" s="62">
        <v>704.35</v>
      </c>
      <c r="F45" s="63">
        <v>10.78</v>
      </c>
      <c r="G45" s="63">
        <v>13.25</v>
      </c>
      <c r="H45" s="63">
        <v>12.0033333333333</v>
      </c>
      <c r="I45" s="63">
        <v>0.2</v>
      </c>
      <c r="J45" s="63">
        <v>0.3</v>
      </c>
      <c r="K45" s="63">
        <v>0.233333333333333</v>
      </c>
      <c r="L45" s="68">
        <v>0.3</v>
      </c>
      <c r="M45" s="68">
        <v>0.34</v>
      </c>
      <c r="N45" s="68">
        <v>0.32</v>
      </c>
      <c r="O45" s="63">
        <v>1.7</v>
      </c>
      <c r="P45" s="62">
        <v>100.07</v>
      </c>
      <c r="Q45" s="62">
        <v>100.57</v>
      </c>
      <c r="R45" s="62">
        <v>100.375</v>
      </c>
      <c r="S45" s="63">
        <v>102.04</v>
      </c>
      <c r="T45" s="63">
        <v>103.48</v>
      </c>
      <c r="U45" s="63">
        <v>102.76</v>
      </c>
      <c r="V45" s="63" t="s">
        <v>789</v>
      </c>
      <c r="W45" s="63" t="s">
        <v>790</v>
      </c>
      <c r="X45" s="63" t="s">
        <v>791</v>
      </c>
      <c r="Y45" s="20">
        <v>0.87</v>
      </c>
      <c r="Z45" s="20">
        <v>0.87</v>
      </c>
    </row>
    <row r="46" customHeight="1" spans="1:26">
      <c r="A46" s="60" t="s">
        <v>127</v>
      </c>
      <c r="B46" s="64">
        <v>1984</v>
      </c>
      <c r="C46" s="62">
        <v>694</v>
      </c>
      <c r="D46" s="62">
        <v>714</v>
      </c>
      <c r="E46" s="62">
        <v>704.025</v>
      </c>
      <c r="F46" s="63">
        <v>10.9</v>
      </c>
      <c r="G46" s="63">
        <v>13.83</v>
      </c>
      <c r="H46" s="63">
        <v>12.17</v>
      </c>
      <c r="I46" s="63">
        <v>0.2</v>
      </c>
      <c r="J46" s="63">
        <v>0.3</v>
      </c>
      <c r="K46" s="63">
        <v>0.233333333333333</v>
      </c>
      <c r="L46" s="68">
        <v>0.28</v>
      </c>
      <c r="M46" s="68">
        <v>0.33</v>
      </c>
      <c r="N46" s="68">
        <v>0.3</v>
      </c>
      <c r="O46" s="63">
        <v>0.6</v>
      </c>
      <c r="P46" s="62">
        <v>100</v>
      </c>
      <c r="Q46" s="62">
        <v>100.48</v>
      </c>
      <c r="R46" s="62">
        <v>100.313333333333</v>
      </c>
      <c r="S46" s="63">
        <v>101.64</v>
      </c>
      <c r="T46" s="63">
        <v>101.66</v>
      </c>
      <c r="U46" s="63">
        <v>101.65</v>
      </c>
      <c r="V46" s="63" t="s">
        <v>789</v>
      </c>
      <c r="W46" s="63" t="s">
        <v>790</v>
      </c>
      <c r="X46" s="63" t="s">
        <v>791</v>
      </c>
      <c r="Y46" s="20">
        <v>0.87</v>
      </c>
      <c r="Z46" s="20">
        <v>0.87</v>
      </c>
    </row>
    <row r="47" customHeight="1" spans="1:26">
      <c r="A47" s="60" t="s">
        <v>131</v>
      </c>
      <c r="B47" s="20">
        <v>1993</v>
      </c>
      <c r="C47" s="62">
        <v>684</v>
      </c>
      <c r="D47" s="62">
        <v>718</v>
      </c>
      <c r="E47" s="62">
        <v>702.733333333333</v>
      </c>
      <c r="F47" s="63">
        <v>13.87</v>
      </c>
      <c r="G47" s="63">
        <v>14.2</v>
      </c>
      <c r="H47" s="63">
        <v>13.99</v>
      </c>
      <c r="I47" s="63">
        <v>0.1</v>
      </c>
      <c r="J47" s="63">
        <v>0.2</v>
      </c>
      <c r="K47" s="63">
        <v>0.166666666666667</v>
      </c>
      <c r="L47" s="68">
        <v>0.29</v>
      </c>
      <c r="M47" s="68">
        <v>0.31</v>
      </c>
      <c r="N47" s="68">
        <v>0.303333333333333</v>
      </c>
      <c r="O47" s="63">
        <v>1.5</v>
      </c>
      <c r="P47" s="62">
        <v>100.09</v>
      </c>
      <c r="Q47" s="62">
        <v>101.03</v>
      </c>
      <c r="R47" s="62">
        <v>100.606666666667</v>
      </c>
      <c r="S47" s="63">
        <v>102.2</v>
      </c>
      <c r="T47" s="63">
        <v>102.2</v>
      </c>
      <c r="U47" s="63">
        <v>102.2</v>
      </c>
      <c r="V47" s="63" t="s">
        <v>789</v>
      </c>
      <c r="W47" s="63" t="s">
        <v>790</v>
      </c>
      <c r="X47" s="63" t="s">
        <v>791</v>
      </c>
      <c r="Y47" s="20">
        <v>0.57</v>
      </c>
      <c r="Z47" s="20">
        <v>0.57</v>
      </c>
    </row>
    <row r="48" customHeight="1" spans="1:26">
      <c r="A48" s="60" t="s">
        <v>138</v>
      </c>
      <c r="B48" s="20">
        <v>1993</v>
      </c>
      <c r="C48" s="62">
        <v>690</v>
      </c>
      <c r="D48" s="62">
        <v>716</v>
      </c>
      <c r="E48" s="62">
        <v>702.083333333333</v>
      </c>
      <c r="F48" s="63">
        <v>12.3</v>
      </c>
      <c r="G48" s="63">
        <v>13.4</v>
      </c>
      <c r="H48" s="63">
        <v>12.7766666666667</v>
      </c>
      <c r="I48" s="63">
        <v>0.3</v>
      </c>
      <c r="J48" s="63">
        <v>0.3</v>
      </c>
      <c r="K48" s="63">
        <v>0.3</v>
      </c>
      <c r="L48" s="68">
        <v>0.31</v>
      </c>
      <c r="M48" s="68">
        <v>0.32</v>
      </c>
      <c r="N48" s="68">
        <v>0.313333333333333</v>
      </c>
      <c r="O48" s="63">
        <v>1.1</v>
      </c>
      <c r="P48" s="62">
        <v>99.89</v>
      </c>
      <c r="Q48" s="62">
        <v>101.15</v>
      </c>
      <c r="R48" s="62">
        <v>100.45</v>
      </c>
      <c r="S48" s="63">
        <v>102</v>
      </c>
      <c r="T48" s="63">
        <v>102.04</v>
      </c>
      <c r="U48" s="63">
        <v>102.02</v>
      </c>
      <c r="V48" s="63" t="s">
        <v>789</v>
      </c>
      <c r="W48" s="63" t="s">
        <v>790</v>
      </c>
      <c r="X48" s="63" t="s">
        <v>791</v>
      </c>
      <c r="Y48" s="20">
        <v>0.63</v>
      </c>
      <c r="Z48" s="20">
        <v>0.63</v>
      </c>
    </row>
    <row r="49" customHeight="1" spans="1:26">
      <c r="A49" s="60" t="s">
        <v>140</v>
      </c>
      <c r="B49" s="20">
        <v>1990</v>
      </c>
      <c r="C49" s="62">
        <v>690</v>
      </c>
      <c r="D49" s="62">
        <v>715</v>
      </c>
      <c r="E49" s="62">
        <v>701.9</v>
      </c>
      <c r="F49" s="63">
        <v>11.8</v>
      </c>
      <c r="G49" s="63">
        <v>13.83</v>
      </c>
      <c r="H49" s="63">
        <v>12.62</v>
      </c>
      <c r="I49" s="63">
        <v>0.3</v>
      </c>
      <c r="J49" s="63">
        <v>0.3</v>
      </c>
      <c r="K49" s="63">
        <v>0.3</v>
      </c>
      <c r="L49" s="68">
        <v>0.31</v>
      </c>
      <c r="M49" s="68">
        <v>0.35</v>
      </c>
      <c r="N49" s="68">
        <v>0.326666666666667</v>
      </c>
      <c r="O49" s="63">
        <v>1.7</v>
      </c>
      <c r="P49" s="62">
        <v>100.09</v>
      </c>
      <c r="Q49" s="62">
        <v>101.36</v>
      </c>
      <c r="R49" s="62">
        <v>100.596666666667</v>
      </c>
      <c r="S49" s="63">
        <v>101.73</v>
      </c>
      <c r="T49" s="63">
        <v>101.77</v>
      </c>
      <c r="U49" s="63">
        <v>101.75</v>
      </c>
      <c r="V49" s="63" t="s">
        <v>789</v>
      </c>
      <c r="W49" s="63" t="s">
        <v>790</v>
      </c>
      <c r="X49" s="63" t="s">
        <v>791</v>
      </c>
      <c r="Y49" s="20">
        <v>0.56</v>
      </c>
      <c r="Z49" s="20">
        <v>0.56</v>
      </c>
    </row>
    <row r="50" customHeight="1" spans="1:26">
      <c r="A50" s="60" t="s">
        <v>144</v>
      </c>
      <c r="B50" s="20">
        <v>1991</v>
      </c>
      <c r="C50" s="62">
        <v>685</v>
      </c>
      <c r="D50" s="62">
        <v>712</v>
      </c>
      <c r="E50" s="62">
        <v>700.571428571429</v>
      </c>
      <c r="F50" s="63">
        <v>11.42</v>
      </c>
      <c r="G50" s="63">
        <v>13.6</v>
      </c>
      <c r="H50" s="63">
        <v>12.4566666666667</v>
      </c>
      <c r="I50" s="63">
        <v>0.2</v>
      </c>
      <c r="J50" s="63">
        <v>0.2</v>
      </c>
      <c r="K50" s="63">
        <v>0.2</v>
      </c>
      <c r="L50" s="68">
        <v>0.27</v>
      </c>
      <c r="M50" s="68">
        <v>0.28</v>
      </c>
      <c r="N50" s="68">
        <v>0.273333333333333</v>
      </c>
      <c r="O50" s="63">
        <v>4.1</v>
      </c>
      <c r="P50" s="62">
        <v>99.11</v>
      </c>
      <c r="Q50" s="62">
        <v>99.96</v>
      </c>
      <c r="R50" s="62">
        <v>99.655</v>
      </c>
      <c r="S50" s="63">
        <v>104.52</v>
      </c>
      <c r="T50" s="63">
        <v>104.54</v>
      </c>
      <c r="U50" s="63">
        <v>104.53</v>
      </c>
      <c r="V50" s="63" t="s">
        <v>789</v>
      </c>
      <c r="W50" s="63" t="s">
        <v>790</v>
      </c>
      <c r="X50" s="63" t="s">
        <v>791</v>
      </c>
      <c r="Y50" s="20">
        <v>0.46</v>
      </c>
      <c r="Z50" s="20">
        <v>0.46</v>
      </c>
    </row>
    <row r="51" customHeight="1" spans="1:26">
      <c r="A51" s="60" t="s">
        <v>150</v>
      </c>
      <c r="B51" s="20">
        <v>1992</v>
      </c>
      <c r="C51" s="62">
        <v>687</v>
      </c>
      <c r="D51" s="62">
        <v>719</v>
      </c>
      <c r="E51" s="62">
        <v>702.15</v>
      </c>
      <c r="F51" s="63">
        <v>12.28</v>
      </c>
      <c r="G51" s="63">
        <v>13.68</v>
      </c>
      <c r="H51" s="63">
        <v>13.1633333333333</v>
      </c>
      <c r="I51" s="63">
        <v>0.1</v>
      </c>
      <c r="J51" s="63">
        <v>0.2</v>
      </c>
      <c r="K51" s="63">
        <v>0.166666666666667</v>
      </c>
      <c r="L51" s="68">
        <v>0.29</v>
      </c>
      <c r="M51" s="68">
        <v>0.3</v>
      </c>
      <c r="N51" s="68">
        <v>0.296666666666667</v>
      </c>
      <c r="O51" s="63">
        <v>4</v>
      </c>
      <c r="P51" s="62">
        <v>99.34</v>
      </c>
      <c r="Q51" s="62">
        <v>100.65</v>
      </c>
      <c r="R51" s="62">
        <v>100.373333333333</v>
      </c>
      <c r="S51" s="63">
        <v>104.38</v>
      </c>
      <c r="T51" s="63">
        <v>104.4</v>
      </c>
      <c r="U51" s="63">
        <v>104.39</v>
      </c>
      <c r="V51" s="63" t="s">
        <v>789</v>
      </c>
      <c r="W51" s="63" t="s">
        <v>790</v>
      </c>
      <c r="X51" s="63" t="s">
        <v>791</v>
      </c>
      <c r="Y51" s="20">
        <v>0.56</v>
      </c>
      <c r="Z51" s="20">
        <v>0.56</v>
      </c>
    </row>
    <row r="52" customHeight="1" spans="1:26">
      <c r="A52" s="60" t="s">
        <v>152</v>
      </c>
      <c r="B52" s="20">
        <v>1989</v>
      </c>
      <c r="C52" s="62">
        <v>689</v>
      </c>
      <c r="D52" s="62">
        <v>718</v>
      </c>
      <c r="E52" s="62">
        <v>702.3</v>
      </c>
      <c r="F52" s="63">
        <v>10.98</v>
      </c>
      <c r="G52" s="63">
        <v>12.23</v>
      </c>
      <c r="H52" s="63">
        <v>11.4966666666667</v>
      </c>
      <c r="I52" s="63">
        <v>0.3</v>
      </c>
      <c r="J52" s="63">
        <v>0.3</v>
      </c>
      <c r="K52" s="63">
        <v>0.3</v>
      </c>
      <c r="L52" s="68">
        <v>0.26</v>
      </c>
      <c r="M52" s="68">
        <v>0.34</v>
      </c>
      <c r="N52" s="68">
        <v>0.3</v>
      </c>
      <c r="O52" s="63">
        <v>0.9</v>
      </c>
      <c r="P52" s="62">
        <v>100.05</v>
      </c>
      <c r="Q52" s="62">
        <v>100.4</v>
      </c>
      <c r="R52" s="62">
        <v>100.24</v>
      </c>
      <c r="S52" s="63">
        <v>100.82</v>
      </c>
      <c r="T52" s="63">
        <v>101.5</v>
      </c>
      <c r="U52" s="63">
        <v>101.16</v>
      </c>
      <c r="V52" s="63" t="s">
        <v>789</v>
      </c>
      <c r="W52" s="63" t="s">
        <v>790</v>
      </c>
      <c r="X52" s="63" t="s">
        <v>791</v>
      </c>
      <c r="Y52" s="20">
        <v>0.47</v>
      </c>
      <c r="Z52" s="20">
        <v>0.47</v>
      </c>
    </row>
    <row r="53" customHeight="1" spans="1:26">
      <c r="A53" s="60" t="s">
        <v>155</v>
      </c>
      <c r="B53" s="20">
        <v>1990</v>
      </c>
      <c r="C53" s="62">
        <v>686</v>
      </c>
      <c r="D53" s="62">
        <v>720</v>
      </c>
      <c r="E53" s="62">
        <v>702.25</v>
      </c>
      <c r="F53" s="63">
        <v>11.78</v>
      </c>
      <c r="G53" s="63">
        <v>13.25</v>
      </c>
      <c r="H53" s="63">
        <v>12.3766666666667</v>
      </c>
      <c r="I53" s="63">
        <v>0.2</v>
      </c>
      <c r="J53" s="63">
        <v>0.26</v>
      </c>
      <c r="K53" s="63">
        <v>0.22</v>
      </c>
      <c r="L53" s="68">
        <v>0.28</v>
      </c>
      <c r="M53" s="68">
        <v>0.31</v>
      </c>
      <c r="N53" s="68">
        <v>0.296666666666667</v>
      </c>
      <c r="O53" s="63">
        <v>0.9</v>
      </c>
      <c r="P53" s="62">
        <v>100.16</v>
      </c>
      <c r="Q53" s="62">
        <v>100.42</v>
      </c>
      <c r="R53" s="62">
        <v>100.303333333333</v>
      </c>
      <c r="S53" s="63">
        <v>100.91</v>
      </c>
      <c r="T53" s="63">
        <v>101.3</v>
      </c>
      <c r="U53" s="63">
        <v>101.105</v>
      </c>
      <c r="V53" s="63" t="s">
        <v>789</v>
      </c>
      <c r="W53" s="63" t="s">
        <v>790</v>
      </c>
      <c r="X53" s="63" t="s">
        <v>791</v>
      </c>
      <c r="Y53" s="20">
        <v>0.46</v>
      </c>
      <c r="Z53" s="20">
        <v>0.46</v>
      </c>
    </row>
    <row r="54" customHeight="1" spans="1:26">
      <c r="A54" s="60" t="s">
        <v>159</v>
      </c>
      <c r="B54" s="20">
        <v>1991</v>
      </c>
      <c r="C54" s="62">
        <v>689</v>
      </c>
      <c r="D54" s="62">
        <v>718</v>
      </c>
      <c r="E54" s="62">
        <v>701.966666666667</v>
      </c>
      <c r="F54" s="63">
        <v>11.23</v>
      </c>
      <c r="G54" s="63">
        <v>12.15</v>
      </c>
      <c r="H54" s="63">
        <v>11.5533333333333</v>
      </c>
      <c r="I54" s="63">
        <v>0.2</v>
      </c>
      <c r="J54" s="63">
        <v>0.3</v>
      </c>
      <c r="K54" s="63">
        <v>0.266666666666667</v>
      </c>
      <c r="L54" s="68">
        <v>0.3</v>
      </c>
      <c r="M54" s="68">
        <v>0.32</v>
      </c>
      <c r="N54" s="68">
        <v>0.31</v>
      </c>
      <c r="O54" s="63">
        <v>2</v>
      </c>
      <c r="P54" s="62">
        <v>100.08</v>
      </c>
      <c r="Q54" s="62">
        <v>101.08</v>
      </c>
      <c r="R54" s="62">
        <v>100.453333333333</v>
      </c>
      <c r="S54" s="63">
        <v>96.95</v>
      </c>
      <c r="T54" s="63">
        <v>97.37</v>
      </c>
      <c r="U54" s="63">
        <v>97.16</v>
      </c>
      <c r="V54" s="63" t="s">
        <v>789</v>
      </c>
      <c r="W54" s="63" t="s">
        <v>790</v>
      </c>
      <c r="X54" s="63" t="s">
        <v>791</v>
      </c>
      <c r="Y54" s="20">
        <v>0.53</v>
      </c>
      <c r="Z54" s="20">
        <v>0.53</v>
      </c>
    </row>
    <row r="55" customHeight="1" spans="1:26">
      <c r="A55" s="60" t="s">
        <v>165</v>
      </c>
      <c r="B55" s="20">
        <v>1991</v>
      </c>
      <c r="C55" s="62">
        <v>689</v>
      </c>
      <c r="D55" s="62">
        <v>716</v>
      </c>
      <c r="E55" s="62">
        <v>702.075</v>
      </c>
      <c r="F55" s="63">
        <v>13.05</v>
      </c>
      <c r="G55" s="63">
        <v>14.23</v>
      </c>
      <c r="H55" s="63">
        <v>13.47</v>
      </c>
      <c r="I55" s="63">
        <v>0.1</v>
      </c>
      <c r="J55" s="63">
        <v>0.1</v>
      </c>
      <c r="K55" s="63">
        <v>0.1</v>
      </c>
      <c r="L55" s="68">
        <v>0.3</v>
      </c>
      <c r="M55" s="68">
        <v>0.32</v>
      </c>
      <c r="N55" s="68">
        <v>0.31</v>
      </c>
      <c r="O55" s="63">
        <v>2.3</v>
      </c>
      <c r="P55" s="62">
        <v>100.46</v>
      </c>
      <c r="Q55" s="62">
        <v>101.49</v>
      </c>
      <c r="R55" s="62">
        <v>100.966666666667</v>
      </c>
      <c r="S55" s="63">
        <v>102.51</v>
      </c>
      <c r="T55" s="63">
        <v>102.95</v>
      </c>
      <c r="U55" s="63">
        <v>102.73</v>
      </c>
      <c r="V55" s="63" t="s">
        <v>789</v>
      </c>
      <c r="W55" s="63" t="s">
        <v>790</v>
      </c>
      <c r="X55" s="63" t="s">
        <v>791</v>
      </c>
      <c r="Y55" s="20">
        <v>0.54</v>
      </c>
      <c r="Z55" s="20">
        <v>0.54</v>
      </c>
    </row>
    <row r="56" ht="15.75" customHeight="1" spans="1:26">
      <c r="A56" s="60" t="s">
        <v>169</v>
      </c>
      <c r="B56" s="20">
        <v>1992</v>
      </c>
      <c r="C56" s="62">
        <v>687</v>
      </c>
      <c r="D56" s="62">
        <v>714</v>
      </c>
      <c r="E56" s="62">
        <v>700.933333333333</v>
      </c>
      <c r="F56" s="63">
        <v>11.35</v>
      </c>
      <c r="G56" s="63">
        <v>12.88</v>
      </c>
      <c r="H56" s="63">
        <v>12.2033333333333</v>
      </c>
      <c r="I56" s="63">
        <v>0.2</v>
      </c>
      <c r="J56" s="63">
        <v>0.2</v>
      </c>
      <c r="K56" s="63">
        <v>0.2</v>
      </c>
      <c r="L56" s="68">
        <v>0.28</v>
      </c>
      <c r="M56" s="68">
        <v>0.3</v>
      </c>
      <c r="N56" s="68">
        <v>0.29</v>
      </c>
      <c r="O56" s="63">
        <v>0.8</v>
      </c>
      <c r="P56" s="62">
        <v>92.25</v>
      </c>
      <c r="Q56" s="62">
        <v>94.75</v>
      </c>
      <c r="R56" s="62">
        <v>93.1966666666667</v>
      </c>
      <c r="S56" s="63">
        <v>100.94</v>
      </c>
      <c r="T56" s="63">
        <v>101.13</v>
      </c>
      <c r="U56" s="63">
        <v>101.035</v>
      </c>
      <c r="V56" s="63" t="s">
        <v>789</v>
      </c>
      <c r="W56" s="63" t="s">
        <v>790</v>
      </c>
      <c r="X56" s="63" t="s">
        <v>791</v>
      </c>
      <c r="Y56" s="20">
        <v>0.83</v>
      </c>
      <c r="Z56" s="20">
        <v>0.83</v>
      </c>
    </row>
    <row r="57" ht="15.75" customHeight="1" spans="1:26">
      <c r="A57" s="60" t="s">
        <v>171</v>
      </c>
      <c r="B57" s="20">
        <v>1992</v>
      </c>
      <c r="C57" s="62">
        <v>692</v>
      </c>
      <c r="D57" s="62">
        <v>713</v>
      </c>
      <c r="E57" s="62">
        <v>701.975</v>
      </c>
      <c r="F57" s="63">
        <v>11.8</v>
      </c>
      <c r="G57" s="63">
        <v>14.67</v>
      </c>
      <c r="H57" s="63">
        <v>13.5733333333333</v>
      </c>
      <c r="I57" s="63">
        <v>0.1</v>
      </c>
      <c r="J57" s="63">
        <v>0.2</v>
      </c>
      <c r="K57" s="63">
        <v>0.133333333333333</v>
      </c>
      <c r="L57" s="68">
        <v>0.28</v>
      </c>
      <c r="M57" s="68">
        <v>0.3</v>
      </c>
      <c r="N57" s="68">
        <v>0.293333333333333</v>
      </c>
      <c r="O57" s="63">
        <v>0.6</v>
      </c>
      <c r="P57" s="62">
        <v>94.05</v>
      </c>
      <c r="Q57" s="62">
        <v>97.18</v>
      </c>
      <c r="R57" s="62">
        <v>95.6483333333333</v>
      </c>
      <c r="S57" s="63">
        <v>101.02</v>
      </c>
      <c r="T57" s="63">
        <v>101.34</v>
      </c>
      <c r="U57" s="63">
        <v>101.18</v>
      </c>
      <c r="V57" s="63" t="s">
        <v>789</v>
      </c>
      <c r="W57" s="63" t="s">
        <v>790</v>
      </c>
      <c r="X57" s="63" t="s">
        <v>791</v>
      </c>
      <c r="Y57" s="20">
        <v>0.82</v>
      </c>
      <c r="Z57" s="20">
        <v>0.82</v>
      </c>
    </row>
    <row r="58" ht="15.75" customHeight="1" spans="1:26">
      <c r="A58" s="60" t="s">
        <v>177</v>
      </c>
      <c r="B58" s="20">
        <v>1993</v>
      </c>
      <c r="C58" s="62">
        <v>692</v>
      </c>
      <c r="D58" s="62">
        <v>712</v>
      </c>
      <c r="E58" s="62">
        <v>701.75</v>
      </c>
      <c r="F58" s="63">
        <v>11.93</v>
      </c>
      <c r="G58" s="63">
        <v>13.92</v>
      </c>
      <c r="H58" s="63">
        <v>12.9166666666667</v>
      </c>
      <c r="I58" s="63">
        <v>0.2</v>
      </c>
      <c r="J58" s="63">
        <v>0.2</v>
      </c>
      <c r="K58" s="63">
        <v>0.2</v>
      </c>
      <c r="L58" s="68">
        <v>0.28</v>
      </c>
      <c r="M58" s="68">
        <v>0.32</v>
      </c>
      <c r="N58" s="68">
        <v>0.296666666666667</v>
      </c>
      <c r="O58" s="63">
        <v>0.3</v>
      </c>
      <c r="P58" s="62">
        <v>92.55</v>
      </c>
      <c r="Q58" s="62">
        <v>97.65</v>
      </c>
      <c r="R58" s="62">
        <v>95.0233333333333</v>
      </c>
      <c r="S58" s="63">
        <v>101.11</v>
      </c>
      <c r="T58" s="63">
        <v>101.15</v>
      </c>
      <c r="U58" s="63">
        <v>101.13</v>
      </c>
      <c r="V58" s="63" t="s">
        <v>789</v>
      </c>
      <c r="W58" s="63" t="s">
        <v>790</v>
      </c>
      <c r="X58" s="63" t="s">
        <v>791</v>
      </c>
      <c r="Y58" s="20">
        <v>0.83</v>
      </c>
      <c r="Z58" s="20">
        <v>0.83</v>
      </c>
    </row>
    <row r="59" ht="15.75" customHeight="1" spans="1:26">
      <c r="A59" s="60" t="s">
        <v>181</v>
      </c>
      <c r="B59" s="20">
        <v>1990</v>
      </c>
      <c r="C59" s="62">
        <v>692</v>
      </c>
      <c r="D59" s="62">
        <v>714</v>
      </c>
      <c r="E59" s="62">
        <v>702.44</v>
      </c>
      <c r="F59" s="63">
        <v>11.78</v>
      </c>
      <c r="G59" s="63">
        <v>14.2</v>
      </c>
      <c r="H59" s="63">
        <v>12.6533333333333</v>
      </c>
      <c r="I59" s="63">
        <v>0.2</v>
      </c>
      <c r="J59" s="63">
        <v>0.2</v>
      </c>
      <c r="K59" s="63">
        <v>0.2</v>
      </c>
      <c r="L59" s="68">
        <v>0.29</v>
      </c>
      <c r="M59" s="68">
        <v>0.31</v>
      </c>
      <c r="N59" s="68">
        <v>0.3</v>
      </c>
      <c r="O59" s="63">
        <v>0.5</v>
      </c>
      <c r="P59" s="62">
        <v>93.77</v>
      </c>
      <c r="Q59" s="62">
        <v>94.91</v>
      </c>
      <c r="R59" s="62">
        <v>94.1966666666667</v>
      </c>
      <c r="S59" s="63">
        <v>101.55</v>
      </c>
      <c r="T59" s="63">
        <v>101.63</v>
      </c>
      <c r="U59" s="63">
        <v>101.59</v>
      </c>
      <c r="V59" s="63" t="s">
        <v>789</v>
      </c>
      <c r="W59" s="63" t="s">
        <v>790</v>
      </c>
      <c r="X59" s="63" t="s">
        <v>791</v>
      </c>
      <c r="Y59" s="20">
        <v>0.83</v>
      </c>
      <c r="Z59" s="20">
        <v>0.83</v>
      </c>
    </row>
    <row r="60" ht="15.75" customHeight="1" spans="1:26">
      <c r="A60" s="60" t="s">
        <v>182</v>
      </c>
      <c r="B60" s="20">
        <v>1992</v>
      </c>
      <c r="C60" s="62">
        <v>693</v>
      </c>
      <c r="D60" s="62">
        <v>714</v>
      </c>
      <c r="E60" s="62">
        <v>703.325</v>
      </c>
      <c r="F60" s="63">
        <v>12</v>
      </c>
      <c r="G60" s="63">
        <v>14.4</v>
      </c>
      <c r="H60" s="63">
        <v>12.8433333333333</v>
      </c>
      <c r="I60" s="63">
        <v>0.1</v>
      </c>
      <c r="J60" s="63">
        <v>0.2</v>
      </c>
      <c r="K60" s="63">
        <v>0.133333333333333</v>
      </c>
      <c r="L60" s="68">
        <v>0.29</v>
      </c>
      <c r="M60" s="68">
        <v>0.32</v>
      </c>
      <c r="N60" s="68">
        <v>0.303333333333333</v>
      </c>
      <c r="O60" s="63">
        <v>0.4</v>
      </c>
      <c r="P60" s="62">
        <v>92.41</v>
      </c>
      <c r="Q60" s="62">
        <v>96.37</v>
      </c>
      <c r="R60" s="62">
        <v>94.92</v>
      </c>
      <c r="S60" s="63">
        <v>101.06</v>
      </c>
      <c r="T60" s="63">
        <v>101.07</v>
      </c>
      <c r="U60" s="63">
        <v>101.065</v>
      </c>
      <c r="V60" s="63" t="s">
        <v>789</v>
      </c>
      <c r="W60" s="63" t="s">
        <v>790</v>
      </c>
      <c r="X60" s="63" t="s">
        <v>791</v>
      </c>
      <c r="Y60" s="20">
        <v>0.8</v>
      </c>
      <c r="Z60" s="20">
        <v>0.8</v>
      </c>
    </row>
    <row r="61" ht="15.75" customHeight="1" spans="1:26">
      <c r="A61" s="60" t="s">
        <v>185</v>
      </c>
      <c r="B61" s="20">
        <v>1991</v>
      </c>
      <c r="C61" s="62">
        <v>686</v>
      </c>
      <c r="D61" s="62">
        <v>716</v>
      </c>
      <c r="E61" s="62">
        <v>701.68</v>
      </c>
      <c r="F61" s="63">
        <v>12.63</v>
      </c>
      <c r="G61" s="63">
        <v>14</v>
      </c>
      <c r="H61" s="63">
        <v>13.2933333333333</v>
      </c>
      <c r="I61" s="63">
        <v>0.1</v>
      </c>
      <c r="J61" s="63">
        <v>0.3</v>
      </c>
      <c r="K61" s="63">
        <v>0.233333333333333</v>
      </c>
      <c r="L61" s="68">
        <v>0.26</v>
      </c>
      <c r="M61" s="68">
        <v>0.3</v>
      </c>
      <c r="N61" s="68">
        <v>0.28</v>
      </c>
      <c r="O61" s="63">
        <v>0.7</v>
      </c>
      <c r="P61" s="62">
        <v>99.16</v>
      </c>
      <c r="Q61" s="62">
        <v>100.85</v>
      </c>
      <c r="R61" s="62">
        <v>100.403333333333</v>
      </c>
      <c r="S61" s="63">
        <v>101.39</v>
      </c>
      <c r="T61" s="63">
        <v>101.44</v>
      </c>
      <c r="U61" s="63">
        <v>101.415</v>
      </c>
      <c r="V61" s="63" t="s">
        <v>789</v>
      </c>
      <c r="W61" s="63" t="s">
        <v>790</v>
      </c>
      <c r="X61" s="63" t="s">
        <v>791</v>
      </c>
      <c r="Y61" s="20">
        <v>0.49</v>
      </c>
      <c r="Z61" s="20">
        <v>0.49</v>
      </c>
    </row>
    <row r="62" ht="15.75" customHeight="1" spans="1:26">
      <c r="A62" s="60" t="s">
        <v>189</v>
      </c>
      <c r="B62" s="20">
        <v>1990</v>
      </c>
      <c r="C62" s="62">
        <v>688</v>
      </c>
      <c r="D62" s="62">
        <v>713</v>
      </c>
      <c r="E62" s="62">
        <v>701.95</v>
      </c>
      <c r="F62" s="63">
        <v>12.95</v>
      </c>
      <c r="G62" s="63">
        <v>13.25</v>
      </c>
      <c r="H62" s="63">
        <v>13.14</v>
      </c>
      <c r="I62" s="63">
        <v>0.1</v>
      </c>
      <c r="J62" s="63">
        <v>0.3</v>
      </c>
      <c r="K62" s="63">
        <v>0.2</v>
      </c>
      <c r="L62" s="68">
        <v>0.29</v>
      </c>
      <c r="M62" s="68">
        <v>0.31</v>
      </c>
      <c r="N62" s="68">
        <v>0.303333333333333</v>
      </c>
      <c r="O62" s="63">
        <v>0.6</v>
      </c>
      <c r="P62" s="62">
        <v>98.99</v>
      </c>
      <c r="Q62" s="62">
        <v>100.84</v>
      </c>
      <c r="R62" s="62">
        <v>99.79</v>
      </c>
      <c r="S62" s="63">
        <v>100.57</v>
      </c>
      <c r="T62" s="63">
        <v>100.63</v>
      </c>
      <c r="U62" s="63">
        <v>100.6</v>
      </c>
      <c r="V62" s="63" t="s">
        <v>789</v>
      </c>
      <c r="W62" s="63" t="s">
        <v>790</v>
      </c>
      <c r="X62" s="63" t="s">
        <v>791</v>
      </c>
      <c r="Y62" s="20">
        <v>0.43</v>
      </c>
      <c r="Z62" s="20">
        <v>0.43</v>
      </c>
    </row>
    <row r="63" customHeight="1" spans="1:26">
      <c r="A63" s="60" t="s">
        <v>192</v>
      </c>
      <c r="B63" s="20">
        <v>1992</v>
      </c>
      <c r="C63" s="62">
        <v>689</v>
      </c>
      <c r="D63" s="62">
        <v>716</v>
      </c>
      <c r="E63" s="62">
        <v>702.383333333333</v>
      </c>
      <c r="F63" s="63">
        <v>11.92</v>
      </c>
      <c r="G63" s="63">
        <v>12.08</v>
      </c>
      <c r="H63" s="63">
        <v>12.0166666666667</v>
      </c>
      <c r="I63" s="63">
        <v>0.2</v>
      </c>
      <c r="J63" s="63">
        <v>0.3</v>
      </c>
      <c r="K63" s="63">
        <v>0.266666666666667</v>
      </c>
      <c r="L63" s="68">
        <v>0.26</v>
      </c>
      <c r="M63" s="68">
        <v>0.31</v>
      </c>
      <c r="N63" s="68">
        <v>0.283333333333333</v>
      </c>
      <c r="O63" s="63">
        <v>1.2</v>
      </c>
      <c r="P63" s="62">
        <v>99.9</v>
      </c>
      <c r="Q63" s="62">
        <v>99.99</v>
      </c>
      <c r="R63" s="62">
        <v>99.94</v>
      </c>
      <c r="S63" s="63">
        <v>101.67</v>
      </c>
      <c r="T63" s="63">
        <v>101.92</v>
      </c>
      <c r="U63" s="63">
        <v>101.795</v>
      </c>
      <c r="V63" s="63" t="s">
        <v>789</v>
      </c>
      <c r="W63" s="63" t="s">
        <v>790</v>
      </c>
      <c r="X63" s="63" t="s">
        <v>791</v>
      </c>
      <c r="Y63" s="25">
        <v>0.81</v>
      </c>
      <c r="Z63" s="25">
        <v>0.81</v>
      </c>
    </row>
    <row r="64" customHeight="1" spans="1:26">
      <c r="A64" s="60" t="s">
        <v>196</v>
      </c>
      <c r="B64" s="20">
        <v>1990</v>
      </c>
      <c r="C64" s="62">
        <v>680</v>
      </c>
      <c r="D64" s="62">
        <v>715</v>
      </c>
      <c r="E64" s="62">
        <v>699.733333333333</v>
      </c>
      <c r="F64" s="63">
        <v>11.1</v>
      </c>
      <c r="G64" s="63">
        <v>11.4</v>
      </c>
      <c r="H64" s="63">
        <v>11.2766666666667</v>
      </c>
      <c r="I64" s="63">
        <v>0.2</v>
      </c>
      <c r="J64" s="63">
        <v>0.3</v>
      </c>
      <c r="K64" s="63">
        <v>0.266666666666667</v>
      </c>
      <c r="L64" s="68">
        <v>0.27</v>
      </c>
      <c r="M64" s="68">
        <v>0.28</v>
      </c>
      <c r="N64" s="68">
        <v>0.273333333333333</v>
      </c>
      <c r="O64" s="63">
        <v>0.6</v>
      </c>
      <c r="P64" s="62">
        <v>100.19</v>
      </c>
      <c r="Q64" s="62">
        <v>100.43</v>
      </c>
      <c r="R64" s="62">
        <v>100.326666666667</v>
      </c>
      <c r="S64" s="63">
        <v>101.33</v>
      </c>
      <c r="T64" s="63">
        <v>101.55</v>
      </c>
      <c r="U64" s="63">
        <v>101.44</v>
      </c>
      <c r="V64" s="63" t="s">
        <v>789</v>
      </c>
      <c r="W64" s="63" t="s">
        <v>790</v>
      </c>
      <c r="X64" s="63" t="s">
        <v>791</v>
      </c>
      <c r="Y64" s="25">
        <v>0.83</v>
      </c>
      <c r="Z64" s="25">
        <v>0.83</v>
      </c>
    </row>
    <row r="65" customHeight="1" spans="1:26">
      <c r="A65" s="60" t="s">
        <v>197</v>
      </c>
      <c r="B65" s="20">
        <v>1990</v>
      </c>
      <c r="C65" s="62">
        <v>691</v>
      </c>
      <c r="D65" s="62">
        <v>713</v>
      </c>
      <c r="E65" s="62">
        <v>701.833333333333</v>
      </c>
      <c r="F65" s="63">
        <v>12.6</v>
      </c>
      <c r="G65" s="63">
        <v>14.13</v>
      </c>
      <c r="H65" s="63">
        <v>13.22</v>
      </c>
      <c r="I65" s="63">
        <v>0.2</v>
      </c>
      <c r="J65" s="63">
        <v>0.3</v>
      </c>
      <c r="K65" s="63">
        <v>0.233333333333333</v>
      </c>
      <c r="L65" s="68">
        <v>0.29</v>
      </c>
      <c r="M65" s="68">
        <v>0.31</v>
      </c>
      <c r="N65" s="68">
        <v>0.3</v>
      </c>
      <c r="O65" s="63">
        <v>1.2</v>
      </c>
      <c r="P65" s="62">
        <v>100.26</v>
      </c>
      <c r="Q65" s="62">
        <v>100.71</v>
      </c>
      <c r="R65" s="62">
        <v>100.428333333333</v>
      </c>
      <c r="S65" s="63">
        <v>101.49</v>
      </c>
      <c r="T65" s="63">
        <v>101.73</v>
      </c>
      <c r="U65" s="63">
        <v>101.61</v>
      </c>
      <c r="V65" s="63" t="s">
        <v>789</v>
      </c>
      <c r="W65" s="63" t="s">
        <v>790</v>
      </c>
      <c r="X65" s="63" t="s">
        <v>791</v>
      </c>
      <c r="Y65" s="20">
        <v>0.81</v>
      </c>
      <c r="Z65" s="20">
        <v>0.81</v>
      </c>
    </row>
    <row r="66" customHeight="1" spans="1:26">
      <c r="A66" s="60" t="s">
        <v>200</v>
      </c>
      <c r="B66" s="20">
        <v>1986</v>
      </c>
      <c r="C66" s="62">
        <v>690</v>
      </c>
      <c r="D66" s="62">
        <v>715</v>
      </c>
      <c r="E66" s="62">
        <v>702.933333333333</v>
      </c>
      <c r="F66" s="63">
        <v>11.95</v>
      </c>
      <c r="G66" s="63">
        <v>13.1</v>
      </c>
      <c r="H66" s="63">
        <v>12.5</v>
      </c>
      <c r="I66" s="63">
        <v>0.2</v>
      </c>
      <c r="J66" s="63">
        <v>0.3</v>
      </c>
      <c r="K66" s="63">
        <v>0.233333333333333</v>
      </c>
      <c r="L66" s="68">
        <v>0.24</v>
      </c>
      <c r="M66" s="68">
        <v>0.3</v>
      </c>
      <c r="N66" s="68">
        <v>0.28</v>
      </c>
      <c r="O66" s="63">
        <v>1.1</v>
      </c>
      <c r="P66" s="62">
        <v>97.56</v>
      </c>
      <c r="Q66" s="62">
        <v>98.15</v>
      </c>
      <c r="R66" s="62">
        <v>98.0033333333333</v>
      </c>
      <c r="S66" s="63">
        <v>101.96</v>
      </c>
      <c r="T66" s="63">
        <v>102.12</v>
      </c>
      <c r="U66" s="63">
        <v>102.04</v>
      </c>
      <c r="V66" s="63" t="s">
        <v>789</v>
      </c>
      <c r="W66" s="63" t="s">
        <v>790</v>
      </c>
      <c r="X66" s="63" t="s">
        <v>791</v>
      </c>
      <c r="Y66" s="20">
        <v>0.58</v>
      </c>
      <c r="Z66" s="20">
        <v>0.58</v>
      </c>
    </row>
    <row r="67" customHeight="1" spans="1:26">
      <c r="A67" s="60" t="s">
        <v>203</v>
      </c>
      <c r="B67" s="20">
        <v>1990</v>
      </c>
      <c r="C67" s="62">
        <v>689</v>
      </c>
      <c r="D67" s="62">
        <v>718</v>
      </c>
      <c r="E67" s="62">
        <v>700.88</v>
      </c>
      <c r="F67" s="63">
        <v>11.8</v>
      </c>
      <c r="G67" s="63">
        <v>13.53</v>
      </c>
      <c r="H67" s="63">
        <v>12.76</v>
      </c>
      <c r="I67" s="63">
        <v>0.3</v>
      </c>
      <c r="J67" s="63">
        <v>0.3</v>
      </c>
      <c r="K67" s="63">
        <v>0.3</v>
      </c>
      <c r="L67" s="68">
        <v>0.32</v>
      </c>
      <c r="M67" s="68">
        <v>0.37</v>
      </c>
      <c r="N67" s="68">
        <v>0.35</v>
      </c>
      <c r="O67" s="63">
        <v>2.3</v>
      </c>
      <c r="P67" s="62">
        <v>97.41</v>
      </c>
      <c r="Q67" s="62">
        <v>97.97</v>
      </c>
      <c r="R67" s="62">
        <v>97.6666666666667</v>
      </c>
      <c r="S67" s="63">
        <v>102.56</v>
      </c>
      <c r="T67" s="63">
        <v>102.69</v>
      </c>
      <c r="U67" s="63">
        <v>102.625</v>
      </c>
      <c r="V67" s="63" t="s">
        <v>789</v>
      </c>
      <c r="W67" s="63" t="s">
        <v>790</v>
      </c>
      <c r="X67" s="63" t="s">
        <v>791</v>
      </c>
      <c r="Y67" s="20">
        <v>0.57</v>
      </c>
      <c r="Z67" s="20">
        <v>0.57</v>
      </c>
    </row>
    <row r="68" customHeight="1" spans="1:26">
      <c r="A68" s="60" t="s">
        <v>206</v>
      </c>
      <c r="B68" s="20">
        <v>1992</v>
      </c>
      <c r="C68" s="62">
        <v>690</v>
      </c>
      <c r="D68" s="62">
        <v>714</v>
      </c>
      <c r="E68" s="62">
        <v>703.1</v>
      </c>
      <c r="F68" s="63">
        <v>11.28</v>
      </c>
      <c r="G68" s="63">
        <v>12.5</v>
      </c>
      <c r="H68" s="63">
        <v>12.0433333333333</v>
      </c>
      <c r="I68" s="63">
        <v>0.2</v>
      </c>
      <c r="J68" s="63">
        <v>0.3</v>
      </c>
      <c r="K68" s="63">
        <v>0.233333333333333</v>
      </c>
      <c r="L68" s="68">
        <v>0.28</v>
      </c>
      <c r="M68" s="68">
        <v>0.3</v>
      </c>
      <c r="N68" s="68">
        <v>0.29</v>
      </c>
      <c r="O68" s="63">
        <v>1.6</v>
      </c>
      <c r="P68" s="62">
        <v>99.07</v>
      </c>
      <c r="Q68" s="62">
        <v>99.99</v>
      </c>
      <c r="R68" s="62">
        <v>99.7383333333333</v>
      </c>
      <c r="S68" s="63">
        <v>102.33</v>
      </c>
      <c r="T68" s="63">
        <v>102.67</v>
      </c>
      <c r="U68" s="63">
        <v>102.5</v>
      </c>
      <c r="V68" s="63" t="s">
        <v>789</v>
      </c>
      <c r="W68" s="63" t="s">
        <v>790</v>
      </c>
      <c r="X68" s="63" t="s">
        <v>791</v>
      </c>
      <c r="Y68" s="20">
        <v>0.43</v>
      </c>
      <c r="Z68" s="20">
        <v>0.431</v>
      </c>
    </row>
    <row r="69" customHeight="1" spans="1:26">
      <c r="A69" s="60" t="s">
        <v>210</v>
      </c>
      <c r="B69" s="20">
        <v>1991</v>
      </c>
      <c r="C69" s="62">
        <v>690</v>
      </c>
      <c r="D69" s="62">
        <v>716</v>
      </c>
      <c r="E69" s="62">
        <v>702.033333333333</v>
      </c>
      <c r="F69" s="63">
        <v>10.8</v>
      </c>
      <c r="G69" s="63">
        <v>13.53</v>
      </c>
      <c r="H69" s="63">
        <v>12.61</v>
      </c>
      <c r="I69" s="63">
        <v>0.1</v>
      </c>
      <c r="J69" s="63">
        <v>0.1</v>
      </c>
      <c r="K69" s="63">
        <v>0.1</v>
      </c>
      <c r="L69" s="68">
        <v>0.29</v>
      </c>
      <c r="M69" s="68">
        <v>0.33</v>
      </c>
      <c r="N69" s="68">
        <v>0.306666666666667</v>
      </c>
      <c r="O69" s="63">
        <v>2.9</v>
      </c>
      <c r="P69" s="62">
        <v>100.06</v>
      </c>
      <c r="Q69" s="62">
        <v>100.12</v>
      </c>
      <c r="R69" s="62">
        <v>100.085</v>
      </c>
      <c r="S69" s="63">
        <v>103.31</v>
      </c>
      <c r="T69" s="63">
        <v>103.77</v>
      </c>
      <c r="U69" s="63">
        <v>103.54</v>
      </c>
      <c r="V69" s="63" t="s">
        <v>789</v>
      </c>
      <c r="W69" s="63" t="s">
        <v>790</v>
      </c>
      <c r="X69" s="63" t="s">
        <v>791</v>
      </c>
      <c r="Y69" s="20">
        <v>0.47</v>
      </c>
      <c r="Z69" s="20">
        <v>0.47</v>
      </c>
    </row>
    <row r="70" customHeight="1" spans="1:26">
      <c r="A70" s="60" t="s">
        <v>213</v>
      </c>
      <c r="B70" s="20">
        <v>1988</v>
      </c>
      <c r="C70" s="62">
        <v>687</v>
      </c>
      <c r="D70" s="62">
        <v>715</v>
      </c>
      <c r="E70" s="62">
        <v>701.057142857143</v>
      </c>
      <c r="F70" s="63">
        <v>13.68</v>
      </c>
      <c r="G70" s="63">
        <v>14.35</v>
      </c>
      <c r="H70" s="63">
        <v>13.97</v>
      </c>
      <c r="I70" s="63">
        <v>0.2</v>
      </c>
      <c r="J70" s="63">
        <v>0.2</v>
      </c>
      <c r="K70" s="63">
        <v>0.2</v>
      </c>
      <c r="L70" s="68">
        <v>0.33</v>
      </c>
      <c r="M70" s="68">
        <v>0.38</v>
      </c>
      <c r="N70" s="68">
        <v>0.35</v>
      </c>
      <c r="O70" s="63">
        <v>4.1</v>
      </c>
      <c r="P70" s="62">
        <v>100.04</v>
      </c>
      <c r="Q70" s="62">
        <v>100.14</v>
      </c>
      <c r="R70" s="62">
        <v>100.098333333333</v>
      </c>
      <c r="S70" s="63">
        <v>104.26</v>
      </c>
      <c r="T70" s="63">
        <v>104.47</v>
      </c>
      <c r="U70" s="63">
        <v>104.365</v>
      </c>
      <c r="V70" s="63" t="s">
        <v>789</v>
      </c>
      <c r="W70" s="63" t="s">
        <v>790</v>
      </c>
      <c r="X70" s="63" t="s">
        <v>791</v>
      </c>
      <c r="Y70" s="20">
        <v>0.49</v>
      </c>
      <c r="Z70" s="20">
        <v>0.49</v>
      </c>
    </row>
    <row r="71" customHeight="1" spans="1:26">
      <c r="A71" s="60" t="s">
        <v>218</v>
      </c>
      <c r="B71" s="20">
        <v>1993</v>
      </c>
      <c r="C71" s="62">
        <v>689</v>
      </c>
      <c r="D71" s="62">
        <v>715</v>
      </c>
      <c r="E71" s="62">
        <v>701.4</v>
      </c>
      <c r="F71" s="63">
        <v>11.8</v>
      </c>
      <c r="G71" s="63">
        <v>12.15</v>
      </c>
      <c r="H71" s="63">
        <v>11.95</v>
      </c>
      <c r="I71" s="63">
        <v>0.1</v>
      </c>
      <c r="J71" s="63">
        <v>0.2</v>
      </c>
      <c r="K71" s="63">
        <v>0.166666666666667</v>
      </c>
      <c r="L71" s="68">
        <v>0.31</v>
      </c>
      <c r="M71" s="68">
        <v>0.33</v>
      </c>
      <c r="N71" s="68">
        <v>0.32</v>
      </c>
      <c r="O71" s="63">
        <v>3.5</v>
      </c>
      <c r="P71" s="62">
        <v>100.02</v>
      </c>
      <c r="Q71" s="62">
        <v>100.21</v>
      </c>
      <c r="R71" s="62">
        <v>100.093333333333</v>
      </c>
      <c r="S71" s="63">
        <v>104.12</v>
      </c>
      <c r="T71" s="63">
        <v>104.54</v>
      </c>
      <c r="U71" s="63">
        <v>104.33</v>
      </c>
      <c r="V71" s="63" t="s">
        <v>789</v>
      </c>
      <c r="W71" s="63" t="s">
        <v>790</v>
      </c>
      <c r="X71" s="63" t="s">
        <v>791</v>
      </c>
      <c r="Y71" s="20">
        <v>0.49</v>
      </c>
      <c r="Z71" s="20">
        <v>0.49</v>
      </c>
    </row>
    <row r="72" customHeight="1" spans="1:26">
      <c r="A72" s="60" t="s">
        <v>221</v>
      </c>
      <c r="B72" s="20">
        <v>1987</v>
      </c>
      <c r="C72" s="62">
        <v>685</v>
      </c>
      <c r="D72" s="62">
        <v>716</v>
      </c>
      <c r="E72" s="62">
        <v>700.033333333333</v>
      </c>
      <c r="F72" s="63">
        <v>10.9</v>
      </c>
      <c r="G72" s="63">
        <v>12.78</v>
      </c>
      <c r="H72" s="63">
        <v>11.6933333333333</v>
      </c>
      <c r="I72" s="63">
        <v>0.2</v>
      </c>
      <c r="J72" s="63">
        <v>0.2</v>
      </c>
      <c r="K72" s="63">
        <v>0.2</v>
      </c>
      <c r="L72" s="68">
        <v>0.32</v>
      </c>
      <c r="M72" s="68">
        <v>0.33</v>
      </c>
      <c r="N72" s="68">
        <v>0.323333333333333</v>
      </c>
      <c r="O72" s="63">
        <v>4.3</v>
      </c>
      <c r="P72" s="62">
        <v>99.97</v>
      </c>
      <c r="Q72" s="62">
        <v>100.21</v>
      </c>
      <c r="R72" s="62">
        <v>100.12</v>
      </c>
      <c r="S72" s="63">
        <v>105.1</v>
      </c>
      <c r="T72" s="63">
        <v>105.18</v>
      </c>
      <c r="U72" s="63">
        <v>105.14</v>
      </c>
      <c r="V72" s="63" t="s">
        <v>789</v>
      </c>
      <c r="W72" s="63" t="s">
        <v>790</v>
      </c>
      <c r="X72" s="63" t="s">
        <v>791</v>
      </c>
      <c r="Y72" s="20">
        <v>0.53</v>
      </c>
      <c r="Z72" s="20">
        <v>0.53</v>
      </c>
    </row>
    <row r="73" customHeight="1" spans="1:26">
      <c r="A73" s="60" t="s">
        <v>223</v>
      </c>
      <c r="B73" s="20">
        <v>1992</v>
      </c>
      <c r="C73" s="62">
        <v>690</v>
      </c>
      <c r="D73" s="62">
        <v>713</v>
      </c>
      <c r="E73" s="62">
        <v>701.683333333333</v>
      </c>
      <c r="F73" s="63">
        <v>11.13</v>
      </c>
      <c r="G73" s="63">
        <v>12.25</v>
      </c>
      <c r="H73" s="63">
        <v>11.6766666666667</v>
      </c>
      <c r="I73" s="63">
        <v>0.2</v>
      </c>
      <c r="J73" s="63">
        <v>0.2</v>
      </c>
      <c r="K73" s="63">
        <v>0.2</v>
      </c>
      <c r="L73" s="68">
        <v>0.28</v>
      </c>
      <c r="M73" s="68">
        <v>0.3</v>
      </c>
      <c r="N73" s="68">
        <v>0.29</v>
      </c>
      <c r="O73" s="63">
        <v>0.9</v>
      </c>
      <c r="P73" s="62">
        <v>100.1</v>
      </c>
      <c r="Q73" s="62">
        <v>100.19</v>
      </c>
      <c r="R73" s="62">
        <v>100.146666666667</v>
      </c>
      <c r="S73" s="63">
        <v>103.09</v>
      </c>
      <c r="T73" s="63">
        <v>103.16</v>
      </c>
      <c r="U73" s="63">
        <v>103.125</v>
      </c>
      <c r="V73" s="63" t="s">
        <v>789</v>
      </c>
      <c r="W73" s="63" t="s">
        <v>790</v>
      </c>
      <c r="X73" s="63" t="s">
        <v>791</v>
      </c>
      <c r="Y73" s="20">
        <v>0.64</v>
      </c>
      <c r="Z73" s="20">
        <v>0.64</v>
      </c>
    </row>
    <row r="74" s="31" customFormat="1" customHeight="1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Height="1" spans="1:26">
      <c r="A75" s="60" t="s">
        <v>226</v>
      </c>
      <c r="B75" s="20">
        <v>1994</v>
      </c>
      <c r="C75" s="62">
        <v>695</v>
      </c>
      <c r="D75" s="62">
        <v>718</v>
      </c>
      <c r="E75" s="62">
        <v>704.35</v>
      </c>
      <c r="F75" s="63">
        <v>10.78</v>
      </c>
      <c r="G75" s="63">
        <v>13.25</v>
      </c>
      <c r="H75" s="63">
        <v>12.0033333333333</v>
      </c>
      <c r="I75" s="63">
        <v>0.2</v>
      </c>
      <c r="J75" s="63">
        <v>0.3</v>
      </c>
      <c r="K75" s="63">
        <v>0.233333333333333</v>
      </c>
      <c r="L75" s="68">
        <v>0.3</v>
      </c>
      <c r="M75" s="68">
        <v>0.34</v>
      </c>
      <c r="N75" s="68">
        <v>0.32</v>
      </c>
      <c r="O75" s="63">
        <v>0.4</v>
      </c>
      <c r="P75" s="62">
        <v>99.7</v>
      </c>
      <c r="Q75" s="62">
        <v>102.25</v>
      </c>
      <c r="R75" s="62">
        <v>100.43</v>
      </c>
      <c r="S75" s="63">
        <v>102.72</v>
      </c>
      <c r="T75" s="63">
        <v>102.88</v>
      </c>
      <c r="U75" s="63">
        <v>102.8</v>
      </c>
      <c r="V75" s="63" t="s">
        <v>789</v>
      </c>
      <c r="W75" s="63" t="s">
        <v>790</v>
      </c>
      <c r="X75" s="63" t="s">
        <v>791</v>
      </c>
      <c r="Y75" s="20">
        <v>0.59</v>
      </c>
      <c r="Z75" s="20">
        <v>0.59</v>
      </c>
    </row>
    <row r="76" customHeight="1" spans="1:26">
      <c r="A76" s="60" t="s">
        <v>228</v>
      </c>
      <c r="B76" s="20">
        <v>1990</v>
      </c>
      <c r="C76" s="62">
        <v>689</v>
      </c>
      <c r="D76" s="62">
        <v>715</v>
      </c>
      <c r="E76" s="62">
        <v>702.5</v>
      </c>
      <c r="F76" s="63">
        <v>11.48</v>
      </c>
      <c r="G76" s="63">
        <v>12.27</v>
      </c>
      <c r="H76" s="63">
        <v>11.8166666666667</v>
      </c>
      <c r="I76" s="63">
        <v>0.2</v>
      </c>
      <c r="J76" s="63">
        <v>0.3</v>
      </c>
      <c r="K76" s="63">
        <v>0.266666666666667</v>
      </c>
      <c r="L76" s="68">
        <v>0.3</v>
      </c>
      <c r="M76" s="68">
        <v>0.36</v>
      </c>
      <c r="N76" s="68">
        <v>0.333333333333333</v>
      </c>
      <c r="O76" s="63">
        <v>0.3</v>
      </c>
      <c r="P76" s="62">
        <v>100.12</v>
      </c>
      <c r="Q76" s="62">
        <v>100.2</v>
      </c>
      <c r="R76" s="62">
        <v>100.168333333333</v>
      </c>
      <c r="S76" s="63">
        <v>102.63</v>
      </c>
      <c r="T76" s="63">
        <v>102.88</v>
      </c>
      <c r="U76" s="63">
        <v>102.755</v>
      </c>
      <c r="V76" s="63" t="s">
        <v>789</v>
      </c>
      <c r="W76" s="63" t="s">
        <v>790</v>
      </c>
      <c r="X76" s="63" t="s">
        <v>791</v>
      </c>
      <c r="Y76" s="20">
        <v>0.59</v>
      </c>
      <c r="Z76" s="20">
        <v>0.59</v>
      </c>
    </row>
    <row r="77" customHeight="1" spans="1:26">
      <c r="A77" s="60" t="s">
        <v>230</v>
      </c>
      <c r="B77" s="20">
        <v>1987</v>
      </c>
      <c r="C77" s="62">
        <v>694</v>
      </c>
      <c r="D77" s="62">
        <v>713</v>
      </c>
      <c r="E77" s="62">
        <v>702.3</v>
      </c>
      <c r="F77" s="63">
        <v>12.38</v>
      </c>
      <c r="G77" s="63">
        <v>13.6</v>
      </c>
      <c r="H77" s="63">
        <v>13.0766666666667</v>
      </c>
      <c r="I77" s="63">
        <v>0.2</v>
      </c>
      <c r="J77" s="63">
        <v>0.3</v>
      </c>
      <c r="K77" s="63">
        <v>0.266666666666667</v>
      </c>
      <c r="L77" s="68">
        <v>0.27</v>
      </c>
      <c r="M77" s="68">
        <v>0.35</v>
      </c>
      <c r="N77" s="68">
        <v>0.303333333333333</v>
      </c>
      <c r="O77" s="63">
        <v>2.8</v>
      </c>
      <c r="P77" s="62">
        <v>99.29</v>
      </c>
      <c r="Q77" s="62">
        <v>99.97</v>
      </c>
      <c r="R77" s="62">
        <v>99.815</v>
      </c>
      <c r="S77" s="63">
        <v>103.85</v>
      </c>
      <c r="T77" s="63">
        <v>103.99</v>
      </c>
      <c r="U77" s="63">
        <v>103.92</v>
      </c>
      <c r="V77" s="63" t="s">
        <v>789</v>
      </c>
      <c r="W77" s="63" t="s">
        <v>790</v>
      </c>
      <c r="X77" s="63" t="s">
        <v>791</v>
      </c>
      <c r="Y77" s="20">
        <v>0.5</v>
      </c>
      <c r="Z77" s="20">
        <v>0.5</v>
      </c>
    </row>
    <row r="78" customHeight="1" spans="1:26">
      <c r="A78" s="60" t="s">
        <v>233</v>
      </c>
      <c r="B78" s="20">
        <v>1993</v>
      </c>
      <c r="C78" s="62">
        <v>692</v>
      </c>
      <c r="D78" s="62">
        <v>711</v>
      </c>
      <c r="E78" s="62">
        <v>701.6</v>
      </c>
      <c r="F78" s="63">
        <v>12.3</v>
      </c>
      <c r="G78" s="63">
        <v>12.95</v>
      </c>
      <c r="H78" s="63">
        <v>12.6833333333333</v>
      </c>
      <c r="I78" s="63">
        <v>0.2</v>
      </c>
      <c r="J78" s="63">
        <v>0.3</v>
      </c>
      <c r="K78" s="63">
        <v>0.266666666666667</v>
      </c>
      <c r="L78" s="68">
        <v>0.3</v>
      </c>
      <c r="M78" s="68">
        <v>0.35</v>
      </c>
      <c r="N78" s="68">
        <v>0.323333333333333</v>
      </c>
      <c r="O78" s="63">
        <v>2.9</v>
      </c>
      <c r="P78" s="62">
        <v>99.61</v>
      </c>
      <c r="Q78" s="62">
        <v>99.8</v>
      </c>
      <c r="R78" s="62">
        <v>99.7066666666667</v>
      </c>
      <c r="S78" s="63">
        <v>103.9</v>
      </c>
      <c r="T78" s="63">
        <v>104.22</v>
      </c>
      <c r="U78" s="63">
        <v>104.06</v>
      </c>
      <c r="V78" s="63" t="s">
        <v>789</v>
      </c>
      <c r="W78" s="63" t="s">
        <v>790</v>
      </c>
      <c r="X78" s="63" t="s">
        <v>791</v>
      </c>
      <c r="Y78" s="20">
        <v>0.56</v>
      </c>
      <c r="Z78" s="20">
        <v>0.56</v>
      </c>
    </row>
    <row r="79" customHeight="1" spans="1:26">
      <c r="A79" s="60" t="s">
        <v>237</v>
      </c>
      <c r="B79" s="20">
        <v>1990</v>
      </c>
      <c r="C79" s="62">
        <v>685</v>
      </c>
      <c r="D79" s="62">
        <v>718</v>
      </c>
      <c r="E79" s="62">
        <v>702.383333333333</v>
      </c>
      <c r="F79" s="63">
        <v>10.75</v>
      </c>
      <c r="G79" s="63">
        <v>12.88</v>
      </c>
      <c r="H79" s="63">
        <v>11.96</v>
      </c>
      <c r="I79" s="63">
        <v>0.2</v>
      </c>
      <c r="J79" s="63">
        <v>0.2</v>
      </c>
      <c r="K79" s="63">
        <v>0.2</v>
      </c>
      <c r="L79" s="68">
        <v>0.33</v>
      </c>
      <c r="M79" s="68">
        <v>0.36</v>
      </c>
      <c r="N79" s="68">
        <v>0.343333333333333</v>
      </c>
      <c r="O79" s="63">
        <v>2.3</v>
      </c>
      <c r="P79" s="62">
        <v>100.07</v>
      </c>
      <c r="Q79" s="62">
        <v>100.37</v>
      </c>
      <c r="R79" s="62">
        <v>100.231666666667</v>
      </c>
      <c r="S79" s="63">
        <v>103.3</v>
      </c>
      <c r="T79" s="63">
        <v>103.47</v>
      </c>
      <c r="U79" s="63">
        <v>103.385</v>
      </c>
      <c r="V79" s="63" t="s">
        <v>789</v>
      </c>
      <c r="W79" s="63" t="s">
        <v>790</v>
      </c>
      <c r="X79" s="63" t="s">
        <v>791</v>
      </c>
      <c r="Y79" s="20"/>
      <c r="Z79" s="20"/>
    </row>
    <row r="80" customHeight="1" spans="1:26">
      <c r="A80" s="60" t="s">
        <v>239</v>
      </c>
      <c r="B80" s="62">
        <v>1992</v>
      </c>
      <c r="C80" s="62">
        <v>690</v>
      </c>
      <c r="D80" s="62">
        <v>715</v>
      </c>
      <c r="E80" s="62">
        <v>703.48</v>
      </c>
      <c r="F80" s="63">
        <v>12.28</v>
      </c>
      <c r="G80" s="63">
        <v>13.33</v>
      </c>
      <c r="H80" s="63">
        <v>12.98</v>
      </c>
      <c r="I80" s="63">
        <v>0.2</v>
      </c>
      <c r="J80" s="63">
        <v>0.3</v>
      </c>
      <c r="K80" s="63">
        <v>0.266666666666667</v>
      </c>
      <c r="L80" s="68">
        <v>0.3</v>
      </c>
      <c r="M80" s="68">
        <v>0.33</v>
      </c>
      <c r="N80" s="68">
        <v>0.316666666666667</v>
      </c>
      <c r="O80" s="63">
        <v>0.7</v>
      </c>
      <c r="P80" s="62">
        <v>99.75</v>
      </c>
      <c r="Q80" s="62">
        <v>100.08</v>
      </c>
      <c r="R80" s="62">
        <v>99.9533333333333</v>
      </c>
      <c r="S80" s="63">
        <v>100.9</v>
      </c>
      <c r="T80" s="63">
        <v>100.9</v>
      </c>
      <c r="U80" s="63">
        <v>100.9</v>
      </c>
      <c r="V80" s="63" t="s">
        <v>789</v>
      </c>
      <c r="W80" s="63" t="s">
        <v>790</v>
      </c>
      <c r="X80" s="63" t="s">
        <v>791</v>
      </c>
      <c r="Y80" s="20">
        <v>0.77</v>
      </c>
      <c r="Z80" s="20">
        <v>0.77</v>
      </c>
    </row>
    <row r="81" customHeight="1" spans="1:26">
      <c r="A81" s="60" t="s">
        <v>242</v>
      </c>
      <c r="B81" s="20">
        <v>1992</v>
      </c>
      <c r="C81" s="62">
        <v>689</v>
      </c>
      <c r="D81" s="62">
        <v>712</v>
      </c>
      <c r="E81" s="62">
        <v>702.675</v>
      </c>
      <c r="F81" s="63">
        <v>13.23</v>
      </c>
      <c r="G81" s="63">
        <v>14.23</v>
      </c>
      <c r="H81" s="63">
        <v>13.73</v>
      </c>
      <c r="I81" s="63">
        <v>0.1</v>
      </c>
      <c r="J81" s="63">
        <v>0.3</v>
      </c>
      <c r="K81" s="63">
        <v>0.2</v>
      </c>
      <c r="L81" s="68">
        <v>0.29</v>
      </c>
      <c r="M81" s="68">
        <v>0.32</v>
      </c>
      <c r="N81" s="68">
        <v>0.3</v>
      </c>
      <c r="O81" s="63">
        <v>0.8</v>
      </c>
      <c r="P81" s="62">
        <v>99.67</v>
      </c>
      <c r="Q81" s="62">
        <v>100.12</v>
      </c>
      <c r="R81" s="62">
        <v>99.99</v>
      </c>
      <c r="S81" s="63">
        <v>100</v>
      </c>
      <c r="T81" s="63">
        <v>100.11</v>
      </c>
      <c r="U81" s="63">
        <v>100.055</v>
      </c>
      <c r="V81" s="63" t="s">
        <v>789</v>
      </c>
      <c r="W81" s="63" t="s">
        <v>790</v>
      </c>
      <c r="X81" s="63" t="s">
        <v>791</v>
      </c>
      <c r="Y81" s="20">
        <v>0.77</v>
      </c>
      <c r="Z81" s="20">
        <v>0.77</v>
      </c>
    </row>
    <row r="82" customHeight="1" spans="1:26">
      <c r="A82" s="60" t="s">
        <v>244</v>
      </c>
      <c r="B82" s="20">
        <v>1991</v>
      </c>
      <c r="C82" s="62">
        <v>685</v>
      </c>
      <c r="D82" s="62">
        <v>717</v>
      </c>
      <c r="E82" s="62">
        <v>702.283333333333</v>
      </c>
      <c r="F82" s="63">
        <v>11.9</v>
      </c>
      <c r="G82" s="63">
        <v>13.6</v>
      </c>
      <c r="H82" s="63">
        <v>12.91</v>
      </c>
      <c r="I82" s="63">
        <v>0.1</v>
      </c>
      <c r="J82" s="63">
        <v>0.2</v>
      </c>
      <c r="K82" s="63">
        <v>0.166666666666667</v>
      </c>
      <c r="L82" s="68">
        <v>0.31</v>
      </c>
      <c r="M82" s="68">
        <v>0.33</v>
      </c>
      <c r="N82" s="68">
        <v>0.32</v>
      </c>
      <c r="O82" s="63">
        <v>0.8</v>
      </c>
      <c r="P82" s="62">
        <v>99.73</v>
      </c>
      <c r="Q82" s="62">
        <v>100.1</v>
      </c>
      <c r="R82" s="62">
        <v>99.9316666666667</v>
      </c>
      <c r="S82" s="63">
        <v>99.99</v>
      </c>
      <c r="T82" s="63">
        <v>100.14</v>
      </c>
      <c r="U82" s="63">
        <v>100.065</v>
      </c>
      <c r="V82" s="63" t="s">
        <v>789</v>
      </c>
      <c r="W82" s="63" t="s">
        <v>790</v>
      </c>
      <c r="X82" s="63" t="s">
        <v>791</v>
      </c>
      <c r="Y82" s="20">
        <v>0.89</v>
      </c>
      <c r="Z82" s="20">
        <v>0.89</v>
      </c>
    </row>
    <row r="83" customHeight="1" spans="1:26">
      <c r="A83" s="60" t="s">
        <v>246</v>
      </c>
      <c r="B83" s="20">
        <v>1985</v>
      </c>
      <c r="C83" s="62">
        <v>685</v>
      </c>
      <c r="D83" s="62">
        <v>717</v>
      </c>
      <c r="E83" s="62">
        <v>702.15</v>
      </c>
      <c r="F83" s="63">
        <v>13.03</v>
      </c>
      <c r="G83" s="63">
        <v>13.9</v>
      </c>
      <c r="H83" s="63">
        <v>13.41</v>
      </c>
      <c r="I83" s="63">
        <v>0.2</v>
      </c>
      <c r="J83" s="63">
        <v>0.3</v>
      </c>
      <c r="K83" s="63">
        <v>0.266666666666667</v>
      </c>
      <c r="L83" s="68">
        <v>0.31</v>
      </c>
      <c r="M83" s="68">
        <v>0.34</v>
      </c>
      <c r="N83" s="68">
        <v>0.323333333333333</v>
      </c>
      <c r="O83" s="63">
        <v>0.8</v>
      </c>
      <c r="P83" s="62">
        <v>99.85</v>
      </c>
      <c r="Q83" s="62">
        <v>100.08</v>
      </c>
      <c r="R83" s="62">
        <v>99.9566666666667</v>
      </c>
      <c r="S83" s="63">
        <v>101.11</v>
      </c>
      <c r="T83" s="63">
        <v>101.17</v>
      </c>
      <c r="U83" s="63">
        <v>101.14</v>
      </c>
      <c r="V83" s="63" t="s">
        <v>789</v>
      </c>
      <c r="W83" s="63" t="s">
        <v>790</v>
      </c>
      <c r="X83" s="63" t="s">
        <v>791</v>
      </c>
      <c r="Y83" s="20">
        <v>0.71</v>
      </c>
      <c r="Z83" s="20">
        <v>0.71</v>
      </c>
    </row>
    <row r="84" customHeight="1" spans="1:26">
      <c r="A84" s="60" t="s">
        <v>248</v>
      </c>
      <c r="B84" s="20">
        <v>1995</v>
      </c>
      <c r="C84" s="62">
        <v>687</v>
      </c>
      <c r="D84" s="62">
        <v>714</v>
      </c>
      <c r="E84" s="62">
        <v>702.316666666667</v>
      </c>
      <c r="F84" s="63">
        <v>11.93</v>
      </c>
      <c r="G84" s="63">
        <v>13.5</v>
      </c>
      <c r="H84" s="63">
        <v>12.8533333333333</v>
      </c>
      <c r="I84" s="63">
        <v>0.2</v>
      </c>
      <c r="J84" s="63">
        <v>0.3</v>
      </c>
      <c r="K84" s="63">
        <v>0.266666666666667</v>
      </c>
      <c r="L84" s="68">
        <v>0.3</v>
      </c>
      <c r="M84" s="68">
        <v>0.31</v>
      </c>
      <c r="N84" s="68">
        <v>0.303333333333333</v>
      </c>
      <c r="O84" s="63">
        <v>1.1</v>
      </c>
      <c r="P84" s="62">
        <v>99.83</v>
      </c>
      <c r="Q84" s="62">
        <v>100.13</v>
      </c>
      <c r="R84" s="62">
        <v>99.9816666666667</v>
      </c>
      <c r="S84" s="63">
        <v>101.7</v>
      </c>
      <c r="T84" s="63">
        <v>101.72</v>
      </c>
      <c r="U84" s="63">
        <v>101.71</v>
      </c>
      <c r="V84" s="63" t="s">
        <v>789</v>
      </c>
      <c r="W84" s="63" t="s">
        <v>790</v>
      </c>
      <c r="X84" s="63" t="s">
        <v>791</v>
      </c>
      <c r="Y84" s="20">
        <v>0.84</v>
      </c>
      <c r="Z84" s="20">
        <v>0.84</v>
      </c>
    </row>
    <row r="85" customHeight="1" spans="1:26">
      <c r="A85" s="60" t="s">
        <v>252</v>
      </c>
      <c r="B85" s="20">
        <v>1990</v>
      </c>
      <c r="C85" s="62">
        <v>692</v>
      </c>
      <c r="D85" s="62">
        <v>714</v>
      </c>
      <c r="E85" s="62">
        <v>702.46</v>
      </c>
      <c r="F85" s="63">
        <v>12.45</v>
      </c>
      <c r="G85" s="63">
        <v>13.28</v>
      </c>
      <c r="H85" s="63">
        <v>12.9033333333333</v>
      </c>
      <c r="I85" s="63">
        <v>0.2</v>
      </c>
      <c r="J85" s="63">
        <v>0.3</v>
      </c>
      <c r="K85" s="63">
        <v>0.266666666666667</v>
      </c>
      <c r="L85" s="68">
        <v>0.3</v>
      </c>
      <c r="M85" s="68">
        <v>0.36</v>
      </c>
      <c r="N85" s="68">
        <v>0.33</v>
      </c>
      <c r="O85" s="63">
        <v>3</v>
      </c>
      <c r="P85" s="62">
        <v>99.82</v>
      </c>
      <c r="Q85" s="62">
        <v>100.04</v>
      </c>
      <c r="R85" s="62">
        <v>99.9466666666667</v>
      </c>
      <c r="S85" s="63">
        <v>103.87</v>
      </c>
      <c r="T85" s="63">
        <v>104.08</v>
      </c>
      <c r="U85" s="63">
        <v>103.975</v>
      </c>
      <c r="V85" s="63" t="s">
        <v>789</v>
      </c>
      <c r="W85" s="63" t="s">
        <v>790</v>
      </c>
      <c r="X85" s="63" t="s">
        <v>791</v>
      </c>
      <c r="Y85" s="20">
        <v>0.81</v>
      </c>
      <c r="Z85" s="20">
        <v>0.81</v>
      </c>
    </row>
    <row r="86" customHeight="1" spans="1:26">
      <c r="A86" s="60" t="s">
        <v>257</v>
      </c>
      <c r="B86" s="20">
        <v>1993</v>
      </c>
      <c r="C86" s="62">
        <v>689</v>
      </c>
      <c r="D86" s="62">
        <v>718</v>
      </c>
      <c r="E86" s="62">
        <v>701.985714285714</v>
      </c>
      <c r="F86" s="63">
        <v>11.8</v>
      </c>
      <c r="G86" s="63">
        <v>13.85</v>
      </c>
      <c r="H86" s="63">
        <v>12.75</v>
      </c>
      <c r="I86" s="63">
        <v>0.2</v>
      </c>
      <c r="J86" s="63">
        <v>0.3</v>
      </c>
      <c r="K86" s="63">
        <v>0.266666666666667</v>
      </c>
      <c r="L86" s="68">
        <v>0.3</v>
      </c>
      <c r="M86" s="68">
        <v>0.34</v>
      </c>
      <c r="N86" s="68">
        <v>0.316666666666667</v>
      </c>
      <c r="O86" s="63">
        <v>3.1</v>
      </c>
      <c r="P86" s="62">
        <v>99.94</v>
      </c>
      <c r="Q86" s="62">
        <v>100.29</v>
      </c>
      <c r="R86" s="62">
        <v>100.026666666667</v>
      </c>
      <c r="S86" s="63">
        <v>103.83</v>
      </c>
      <c r="T86" s="63">
        <v>103.9</v>
      </c>
      <c r="U86" s="63">
        <v>103.865</v>
      </c>
      <c r="V86" s="63" t="s">
        <v>789</v>
      </c>
      <c r="W86" s="63" t="s">
        <v>790</v>
      </c>
      <c r="X86" s="63" t="s">
        <v>791</v>
      </c>
      <c r="Y86" s="20">
        <v>0.83</v>
      </c>
      <c r="Z86" s="20">
        <v>0.83</v>
      </c>
    </row>
    <row r="87" customHeight="1" spans="1:26">
      <c r="A87" s="60" t="s">
        <v>259</v>
      </c>
      <c r="B87" s="20">
        <v>1993</v>
      </c>
      <c r="C87" s="62">
        <v>686</v>
      </c>
      <c r="D87" s="62">
        <v>714</v>
      </c>
      <c r="E87" s="62">
        <v>701.983333333333</v>
      </c>
      <c r="F87" s="63">
        <v>12.63</v>
      </c>
      <c r="G87" s="63">
        <v>14.33</v>
      </c>
      <c r="H87" s="63">
        <v>13.26</v>
      </c>
      <c r="I87" s="63">
        <v>0.1</v>
      </c>
      <c r="J87" s="63">
        <v>0.3</v>
      </c>
      <c r="K87" s="63">
        <v>0.2</v>
      </c>
      <c r="L87" s="68">
        <v>0.28</v>
      </c>
      <c r="M87" s="68">
        <v>0.3</v>
      </c>
      <c r="N87" s="68">
        <v>0.29</v>
      </c>
      <c r="O87" s="63">
        <v>3</v>
      </c>
      <c r="P87" s="62">
        <v>100.01</v>
      </c>
      <c r="Q87" s="62">
        <v>100.53</v>
      </c>
      <c r="R87" s="62">
        <v>100.186666666667</v>
      </c>
      <c r="S87" s="63">
        <v>104.01</v>
      </c>
      <c r="T87" s="63">
        <v>104.04</v>
      </c>
      <c r="U87" s="63">
        <v>104.025</v>
      </c>
      <c r="V87" s="63" t="s">
        <v>789</v>
      </c>
      <c r="W87" s="63" t="s">
        <v>790</v>
      </c>
      <c r="X87" s="63" t="s">
        <v>791</v>
      </c>
      <c r="Y87" s="20">
        <v>0.86</v>
      </c>
      <c r="Z87" s="20">
        <v>0.86</v>
      </c>
    </row>
    <row r="88" customHeight="1" spans="1:26">
      <c r="A88" s="60" t="s">
        <v>261</v>
      </c>
      <c r="B88" s="20">
        <v>1992</v>
      </c>
      <c r="C88" s="62">
        <v>689</v>
      </c>
      <c r="D88" s="62">
        <v>718</v>
      </c>
      <c r="E88" s="62">
        <v>701.083333333333</v>
      </c>
      <c r="F88" s="63">
        <v>12.55</v>
      </c>
      <c r="G88" s="63">
        <v>12.92</v>
      </c>
      <c r="H88" s="63">
        <v>12.69</v>
      </c>
      <c r="I88" s="63">
        <v>0.2</v>
      </c>
      <c r="J88" s="63">
        <v>0.3</v>
      </c>
      <c r="K88" s="63">
        <v>0.266666666666667</v>
      </c>
      <c r="L88" s="68">
        <v>0.29</v>
      </c>
      <c r="M88" s="68">
        <v>0.32</v>
      </c>
      <c r="N88" s="68">
        <v>0.303333333333333</v>
      </c>
      <c r="O88" s="63">
        <v>2</v>
      </c>
      <c r="P88" s="62">
        <v>100.4</v>
      </c>
      <c r="Q88" s="62">
        <v>100.49</v>
      </c>
      <c r="R88" s="62">
        <v>100.45</v>
      </c>
      <c r="S88" s="63">
        <v>102.87</v>
      </c>
      <c r="T88" s="63">
        <v>102.96</v>
      </c>
      <c r="U88" s="63">
        <v>102.915</v>
      </c>
      <c r="V88" s="63" t="s">
        <v>789</v>
      </c>
      <c r="W88" s="63" t="s">
        <v>790</v>
      </c>
      <c r="X88" s="63" t="s">
        <v>791</v>
      </c>
      <c r="Y88" s="20">
        <v>0.67</v>
      </c>
      <c r="Z88" s="20">
        <v>0.67</v>
      </c>
    </row>
    <row r="89" customHeight="1" spans="1:26">
      <c r="A89" s="60" t="s">
        <v>264</v>
      </c>
      <c r="B89" s="20">
        <v>1994</v>
      </c>
      <c r="C89" s="62">
        <v>687</v>
      </c>
      <c r="D89" s="62">
        <v>715</v>
      </c>
      <c r="E89" s="62">
        <v>702.716666666667</v>
      </c>
      <c r="F89" s="63">
        <v>12.2</v>
      </c>
      <c r="G89" s="63">
        <v>13.4</v>
      </c>
      <c r="H89" s="63">
        <v>12.8933333333333</v>
      </c>
      <c r="I89" s="63">
        <v>0.2</v>
      </c>
      <c r="J89" s="63">
        <v>0.3</v>
      </c>
      <c r="K89" s="63">
        <v>0.266666666666667</v>
      </c>
      <c r="L89" s="68">
        <v>0.29</v>
      </c>
      <c r="M89" s="68">
        <v>0.3</v>
      </c>
      <c r="N89" s="68">
        <v>0.296666666666667</v>
      </c>
      <c r="O89" s="63">
        <v>3.1</v>
      </c>
      <c r="P89" s="62">
        <v>100.3</v>
      </c>
      <c r="Q89" s="62">
        <v>100.44</v>
      </c>
      <c r="R89" s="62">
        <v>100.373333333333</v>
      </c>
      <c r="S89" s="63">
        <v>103.4</v>
      </c>
      <c r="T89" s="63">
        <v>103.43</v>
      </c>
      <c r="U89" s="63">
        <v>103.415</v>
      </c>
      <c r="V89" s="63" t="s">
        <v>789</v>
      </c>
      <c r="W89" s="63" t="s">
        <v>790</v>
      </c>
      <c r="X89" s="63" t="s">
        <v>791</v>
      </c>
      <c r="Y89" s="20">
        <v>0.79</v>
      </c>
      <c r="Z89" s="20">
        <v>0.79</v>
      </c>
    </row>
    <row r="90" customHeight="1" spans="1:26">
      <c r="A90" s="60" t="s">
        <v>266</v>
      </c>
      <c r="B90" s="20">
        <v>1990</v>
      </c>
      <c r="C90" s="62">
        <v>689</v>
      </c>
      <c r="D90" s="62">
        <v>718</v>
      </c>
      <c r="E90" s="62">
        <v>704.4</v>
      </c>
      <c r="F90" s="63">
        <v>12.83</v>
      </c>
      <c r="G90" s="63">
        <v>13.4</v>
      </c>
      <c r="H90" s="63">
        <v>13.1366666666667</v>
      </c>
      <c r="I90" s="63">
        <v>0.2</v>
      </c>
      <c r="J90" s="63">
        <v>0.3</v>
      </c>
      <c r="K90" s="63">
        <v>0.266666666666667</v>
      </c>
      <c r="L90" s="68">
        <v>0.33</v>
      </c>
      <c r="M90" s="68">
        <v>0.35</v>
      </c>
      <c r="N90" s="68">
        <v>0.34</v>
      </c>
      <c r="O90" s="63">
        <v>1</v>
      </c>
      <c r="P90" s="62">
        <v>99.98</v>
      </c>
      <c r="Q90" s="62">
        <v>100.09</v>
      </c>
      <c r="R90" s="62">
        <v>100.043333333333</v>
      </c>
      <c r="S90" s="63">
        <v>101.31</v>
      </c>
      <c r="T90" s="63">
        <v>101.56</v>
      </c>
      <c r="U90" s="63">
        <v>101.435</v>
      </c>
      <c r="V90" s="63" t="s">
        <v>789</v>
      </c>
      <c r="W90" s="63" t="s">
        <v>790</v>
      </c>
      <c r="X90" s="63" t="s">
        <v>791</v>
      </c>
      <c r="Y90" s="20">
        <v>0.8</v>
      </c>
      <c r="Z90" s="20">
        <v>0.8</v>
      </c>
    </row>
    <row r="91" customHeight="1" spans="1:26">
      <c r="A91" s="60" t="s">
        <v>268</v>
      </c>
      <c r="B91" s="20">
        <v>1991</v>
      </c>
      <c r="C91" s="62">
        <v>689</v>
      </c>
      <c r="D91" s="62">
        <v>715</v>
      </c>
      <c r="E91" s="62">
        <v>703.25</v>
      </c>
      <c r="F91" s="63">
        <v>12.15</v>
      </c>
      <c r="G91" s="63">
        <v>13.25</v>
      </c>
      <c r="H91" s="63">
        <v>12.5666666666667</v>
      </c>
      <c r="I91" s="63">
        <v>0.2</v>
      </c>
      <c r="J91" s="63">
        <v>0.3</v>
      </c>
      <c r="K91" s="63">
        <v>0.266666666666667</v>
      </c>
      <c r="L91" s="68">
        <v>0.3</v>
      </c>
      <c r="M91" s="68">
        <v>0.35</v>
      </c>
      <c r="N91" s="68">
        <v>0.32</v>
      </c>
      <c r="O91" s="63">
        <v>0.4</v>
      </c>
      <c r="P91" s="62">
        <v>100.05</v>
      </c>
      <c r="Q91" s="62">
        <v>100.11</v>
      </c>
      <c r="R91" s="62">
        <v>100.071666666667</v>
      </c>
      <c r="S91" s="63">
        <v>101.01</v>
      </c>
      <c r="T91" s="63">
        <v>101.13</v>
      </c>
      <c r="U91" s="63">
        <v>101.07</v>
      </c>
      <c r="V91" s="63" t="s">
        <v>789</v>
      </c>
      <c r="W91" s="63" t="s">
        <v>790</v>
      </c>
      <c r="X91" s="63" t="s">
        <v>791</v>
      </c>
      <c r="Y91" s="20">
        <v>0.83</v>
      </c>
      <c r="Z91" s="20">
        <v>0.83</v>
      </c>
    </row>
    <row r="92" customHeight="1" spans="1:26">
      <c r="A92" s="60" t="s">
        <v>270</v>
      </c>
      <c r="B92" s="20">
        <v>1989</v>
      </c>
      <c r="C92" s="62">
        <v>691</v>
      </c>
      <c r="D92" s="62">
        <v>716</v>
      </c>
      <c r="E92" s="62">
        <v>701.675</v>
      </c>
      <c r="F92" s="63">
        <v>13.63</v>
      </c>
      <c r="G92" s="63">
        <v>14.28</v>
      </c>
      <c r="H92" s="63">
        <v>13.9433333333333</v>
      </c>
      <c r="I92" s="63">
        <v>0.2</v>
      </c>
      <c r="J92" s="63">
        <v>0.3</v>
      </c>
      <c r="K92" s="63">
        <v>0.266666666666667</v>
      </c>
      <c r="L92" s="68">
        <v>0.29</v>
      </c>
      <c r="M92" s="68">
        <v>0.31</v>
      </c>
      <c r="N92" s="68">
        <v>0.3</v>
      </c>
      <c r="O92" s="63">
        <v>0.4</v>
      </c>
      <c r="P92" s="62">
        <v>99.94</v>
      </c>
      <c r="Q92" s="62">
        <v>100.17</v>
      </c>
      <c r="R92" s="62">
        <v>100.055</v>
      </c>
      <c r="S92" s="63">
        <v>101.22</v>
      </c>
      <c r="T92" s="63">
        <v>101.27</v>
      </c>
      <c r="U92" s="63">
        <v>101.245</v>
      </c>
      <c r="V92" s="63" t="s">
        <v>789</v>
      </c>
      <c r="W92" s="63" t="s">
        <v>790</v>
      </c>
      <c r="X92" s="63" t="s">
        <v>791</v>
      </c>
      <c r="Y92" s="20">
        <v>0.39</v>
      </c>
      <c r="Z92" s="20">
        <v>0.39</v>
      </c>
    </row>
    <row r="93" customHeight="1" spans="1:26">
      <c r="A93" s="60" t="s">
        <v>272</v>
      </c>
      <c r="B93" s="20">
        <v>1990</v>
      </c>
      <c r="C93" s="62">
        <v>688</v>
      </c>
      <c r="D93" s="62">
        <v>719</v>
      </c>
      <c r="E93" s="62">
        <v>701.7</v>
      </c>
      <c r="F93" s="63">
        <v>12.85</v>
      </c>
      <c r="G93" s="63">
        <v>14.33</v>
      </c>
      <c r="H93" s="63">
        <v>13.56</v>
      </c>
      <c r="I93" s="63">
        <v>0.2</v>
      </c>
      <c r="J93" s="63">
        <v>0.3</v>
      </c>
      <c r="K93" s="63">
        <v>0.266666666666667</v>
      </c>
      <c r="L93" s="68">
        <v>0.3</v>
      </c>
      <c r="M93" s="68">
        <v>0.32</v>
      </c>
      <c r="N93" s="68">
        <v>0.306666666666667</v>
      </c>
      <c r="O93" s="63">
        <v>0.3</v>
      </c>
      <c r="P93" s="62">
        <v>99.91</v>
      </c>
      <c r="Q93" s="62">
        <v>100.1</v>
      </c>
      <c r="R93" s="62">
        <v>100.048333333333</v>
      </c>
      <c r="S93" s="63">
        <v>101.06</v>
      </c>
      <c r="T93" s="63">
        <v>101.1</v>
      </c>
      <c r="U93" s="63">
        <v>101.08</v>
      </c>
      <c r="V93" s="63" t="s">
        <v>789</v>
      </c>
      <c r="W93" s="63" t="s">
        <v>790</v>
      </c>
      <c r="X93" s="63" t="s">
        <v>791</v>
      </c>
      <c r="Y93" s="20">
        <v>0.69</v>
      </c>
      <c r="Z93" s="20">
        <v>0.69</v>
      </c>
    </row>
    <row r="94" customHeight="1" spans="1:26">
      <c r="A94" s="60" t="s">
        <v>275</v>
      </c>
      <c r="B94" s="20">
        <v>1992</v>
      </c>
      <c r="C94" s="62">
        <v>691</v>
      </c>
      <c r="D94" s="62">
        <v>705</v>
      </c>
      <c r="E94" s="62">
        <v>699.85</v>
      </c>
      <c r="F94" s="63">
        <v>13.05</v>
      </c>
      <c r="G94" s="63">
        <v>13.8</v>
      </c>
      <c r="H94" s="63">
        <v>13.4433333333333</v>
      </c>
      <c r="I94" s="63">
        <v>0.2</v>
      </c>
      <c r="J94" s="63">
        <v>0.3</v>
      </c>
      <c r="K94" s="63">
        <v>0.233333333333333</v>
      </c>
      <c r="L94" s="68">
        <v>0.29</v>
      </c>
      <c r="M94" s="68">
        <v>0.3</v>
      </c>
      <c r="N94" s="68">
        <v>0.293333333333333</v>
      </c>
      <c r="O94" s="63">
        <v>2</v>
      </c>
      <c r="P94" s="62">
        <v>99.76</v>
      </c>
      <c r="Q94" s="62">
        <v>100.09</v>
      </c>
      <c r="R94" s="62">
        <v>100.008333333333</v>
      </c>
      <c r="S94" s="63">
        <v>103.11</v>
      </c>
      <c r="T94" s="63">
        <v>103.14</v>
      </c>
      <c r="U94" s="63">
        <v>103.125</v>
      </c>
      <c r="V94" s="63" t="s">
        <v>789</v>
      </c>
      <c r="W94" s="63" t="s">
        <v>790</v>
      </c>
      <c r="X94" s="63" t="s">
        <v>791</v>
      </c>
      <c r="Y94" s="20">
        <v>0.59</v>
      </c>
      <c r="Z94" s="20">
        <v>0.59</v>
      </c>
    </row>
    <row r="95" customHeight="1" spans="1:26">
      <c r="A95" s="60" t="s">
        <v>276</v>
      </c>
      <c r="B95" s="20">
        <v>1992</v>
      </c>
      <c r="C95" s="62">
        <v>680</v>
      </c>
      <c r="D95" s="62">
        <v>709</v>
      </c>
      <c r="E95" s="62">
        <v>699.5</v>
      </c>
      <c r="F95" s="63">
        <v>13.05</v>
      </c>
      <c r="G95" s="63">
        <v>13.7</v>
      </c>
      <c r="H95" s="63">
        <v>13.44</v>
      </c>
      <c r="I95" s="63">
        <v>0.1</v>
      </c>
      <c r="J95" s="63">
        <v>0.2</v>
      </c>
      <c r="K95" s="63">
        <v>0.133333333333333</v>
      </c>
      <c r="L95" s="68">
        <v>0.3</v>
      </c>
      <c r="M95" s="68">
        <v>0.33</v>
      </c>
      <c r="N95" s="68">
        <v>0.31</v>
      </c>
      <c r="O95" s="63">
        <v>4.1</v>
      </c>
      <c r="P95" s="62">
        <v>99.42</v>
      </c>
      <c r="Q95" s="62">
        <v>100.06</v>
      </c>
      <c r="R95" s="62">
        <v>99.7216666666667</v>
      </c>
      <c r="S95" s="63">
        <v>104.12</v>
      </c>
      <c r="T95" s="63">
        <v>104.61</v>
      </c>
      <c r="U95" s="63">
        <v>104.365</v>
      </c>
      <c r="V95" s="63" t="s">
        <v>789</v>
      </c>
      <c r="W95" s="63" t="s">
        <v>790</v>
      </c>
      <c r="X95" s="63" t="s">
        <v>791</v>
      </c>
      <c r="Y95" s="20">
        <v>0.5</v>
      </c>
      <c r="Z95" s="20">
        <v>0.5</v>
      </c>
    </row>
    <row r="96" customHeight="1" spans="1:26">
      <c r="A96" s="60" t="s">
        <v>278</v>
      </c>
      <c r="B96" s="20">
        <v>1985</v>
      </c>
      <c r="C96" s="62">
        <v>691</v>
      </c>
      <c r="D96" s="62">
        <v>712</v>
      </c>
      <c r="E96" s="62">
        <v>701.35</v>
      </c>
      <c r="F96" s="63">
        <v>14.1</v>
      </c>
      <c r="G96" s="63">
        <v>14.63</v>
      </c>
      <c r="H96" s="63">
        <v>14.2766666666667</v>
      </c>
      <c r="I96" s="63">
        <v>0</v>
      </c>
      <c r="J96" s="63">
        <v>0.3</v>
      </c>
      <c r="K96" s="63">
        <v>0.133333333333333</v>
      </c>
      <c r="L96" s="68">
        <v>0.32</v>
      </c>
      <c r="M96" s="68">
        <v>0.33</v>
      </c>
      <c r="N96" s="68">
        <v>0.323333333333333</v>
      </c>
      <c r="O96" s="63">
        <v>3.3</v>
      </c>
      <c r="P96" s="62">
        <v>99.26</v>
      </c>
      <c r="Q96" s="62">
        <v>100.12</v>
      </c>
      <c r="R96" s="62">
        <v>99.77</v>
      </c>
      <c r="S96" s="63">
        <v>103.83</v>
      </c>
      <c r="T96" s="63">
        <v>104.26</v>
      </c>
      <c r="U96" s="63">
        <v>104.045</v>
      </c>
      <c r="V96" s="63" t="s">
        <v>789</v>
      </c>
      <c r="W96" s="63" t="s">
        <v>790</v>
      </c>
      <c r="X96" s="63" t="s">
        <v>791</v>
      </c>
      <c r="Y96" s="20">
        <v>0.51</v>
      </c>
      <c r="Z96" s="20">
        <v>0.51</v>
      </c>
    </row>
    <row r="97" customHeight="1" spans="1:26">
      <c r="A97" s="60" t="s">
        <v>281</v>
      </c>
      <c r="B97" s="20">
        <v>1991</v>
      </c>
      <c r="C97" s="62">
        <v>689</v>
      </c>
      <c r="D97" s="62">
        <v>713</v>
      </c>
      <c r="E97" s="62">
        <v>702.216666666667</v>
      </c>
      <c r="F97" s="63">
        <v>13.03</v>
      </c>
      <c r="G97" s="63">
        <v>13.83</v>
      </c>
      <c r="H97" s="63">
        <v>13.53</v>
      </c>
      <c r="I97" s="63">
        <v>0.2</v>
      </c>
      <c r="J97" s="63">
        <v>0.3</v>
      </c>
      <c r="K97" s="63">
        <v>0.233333333333333</v>
      </c>
      <c r="L97" s="68">
        <v>0.3</v>
      </c>
      <c r="M97" s="68">
        <v>0.33</v>
      </c>
      <c r="N97" s="68">
        <v>0.313333333333333</v>
      </c>
      <c r="O97" s="63">
        <v>3.1</v>
      </c>
      <c r="P97" s="62">
        <v>100.82</v>
      </c>
      <c r="Q97" s="62">
        <v>100.98</v>
      </c>
      <c r="R97" s="62">
        <v>100.865</v>
      </c>
      <c r="S97" s="63">
        <v>103.86</v>
      </c>
      <c r="T97" s="63">
        <v>103.96</v>
      </c>
      <c r="U97" s="63">
        <v>103.91</v>
      </c>
      <c r="V97" s="63" t="s">
        <v>789</v>
      </c>
      <c r="W97" s="63" t="s">
        <v>790</v>
      </c>
      <c r="X97" s="63" t="s">
        <v>791</v>
      </c>
      <c r="Y97" s="20">
        <v>0.51</v>
      </c>
      <c r="Z97" s="20">
        <v>0.51</v>
      </c>
    </row>
    <row r="98" customHeight="1" spans="1:26">
      <c r="A98" s="60" t="s">
        <v>283</v>
      </c>
      <c r="B98" s="20">
        <v>1990</v>
      </c>
      <c r="C98" s="62">
        <v>690</v>
      </c>
      <c r="D98" s="62">
        <v>720</v>
      </c>
      <c r="E98" s="62">
        <v>702.183333333333</v>
      </c>
      <c r="F98" s="63">
        <v>14</v>
      </c>
      <c r="G98" s="63">
        <v>14.65</v>
      </c>
      <c r="H98" s="63">
        <v>14.35</v>
      </c>
      <c r="I98" s="63">
        <v>0.2</v>
      </c>
      <c r="J98" s="63">
        <v>0.2</v>
      </c>
      <c r="K98" s="63">
        <v>0.2</v>
      </c>
      <c r="L98" s="68">
        <v>0.33</v>
      </c>
      <c r="M98" s="68">
        <v>0.35</v>
      </c>
      <c r="N98" s="68">
        <v>0.34</v>
      </c>
      <c r="O98" s="63">
        <v>2.5</v>
      </c>
      <c r="P98" s="62">
        <v>100.8</v>
      </c>
      <c r="Q98" s="62">
        <v>100.96</v>
      </c>
      <c r="R98" s="62">
        <v>100.881666666667</v>
      </c>
      <c r="S98" s="63">
        <v>103.64</v>
      </c>
      <c r="T98" s="63">
        <v>103.66</v>
      </c>
      <c r="U98" s="63">
        <v>103.65</v>
      </c>
      <c r="V98" s="63" t="s">
        <v>789</v>
      </c>
      <c r="W98" s="63" t="s">
        <v>790</v>
      </c>
      <c r="X98" s="63" t="s">
        <v>791</v>
      </c>
      <c r="Y98" s="20">
        <v>0.6</v>
      </c>
      <c r="Z98" s="20">
        <v>0.6</v>
      </c>
    </row>
    <row r="99" customHeight="1" spans="1:26">
      <c r="A99" s="60" t="s">
        <v>284</v>
      </c>
      <c r="B99" s="20">
        <v>1992</v>
      </c>
      <c r="C99" s="62">
        <v>690</v>
      </c>
      <c r="D99" s="62">
        <v>714</v>
      </c>
      <c r="E99" s="62">
        <v>702.375</v>
      </c>
      <c r="F99" s="63">
        <v>13.58</v>
      </c>
      <c r="G99" s="63">
        <v>14.33</v>
      </c>
      <c r="H99" s="63">
        <v>13.9133333333333</v>
      </c>
      <c r="I99" s="63">
        <v>0.2</v>
      </c>
      <c r="J99" s="63">
        <v>0.2</v>
      </c>
      <c r="K99" s="63">
        <v>0.2</v>
      </c>
      <c r="L99" s="68">
        <v>0.32</v>
      </c>
      <c r="M99" s="68">
        <v>0.34</v>
      </c>
      <c r="N99" s="68">
        <v>0.33</v>
      </c>
      <c r="O99" s="63">
        <v>3.1</v>
      </c>
      <c r="P99" s="62">
        <v>100.89</v>
      </c>
      <c r="Q99" s="62">
        <v>101.26</v>
      </c>
      <c r="R99" s="62">
        <v>101.02</v>
      </c>
      <c r="S99" s="63">
        <v>103.99</v>
      </c>
      <c r="T99" s="63">
        <v>104.04</v>
      </c>
      <c r="U99" s="63">
        <v>104.015</v>
      </c>
      <c r="V99" s="63" t="s">
        <v>789</v>
      </c>
      <c r="W99" s="63" t="s">
        <v>790</v>
      </c>
      <c r="X99" s="63" t="s">
        <v>791</v>
      </c>
      <c r="Y99" s="20">
        <v>0.59</v>
      </c>
      <c r="Z99" s="20">
        <v>0.59</v>
      </c>
    </row>
    <row r="100" customHeight="1" spans="1:26">
      <c r="A100" s="60" t="s">
        <v>287</v>
      </c>
      <c r="B100" s="20">
        <v>1982</v>
      </c>
      <c r="C100" s="62">
        <v>687</v>
      </c>
      <c r="D100" s="62">
        <v>716</v>
      </c>
      <c r="E100" s="62">
        <v>701.271428571429</v>
      </c>
      <c r="F100" s="63">
        <v>13.2</v>
      </c>
      <c r="G100" s="63">
        <v>14.28</v>
      </c>
      <c r="H100" s="63">
        <v>13.9033333333333</v>
      </c>
      <c r="I100" s="63">
        <v>0.2</v>
      </c>
      <c r="J100" s="63">
        <v>0.2</v>
      </c>
      <c r="K100" s="63">
        <v>0.2</v>
      </c>
      <c r="L100" s="68">
        <v>0.32</v>
      </c>
      <c r="M100" s="68">
        <v>0.39</v>
      </c>
      <c r="N100" s="68">
        <v>0.35</v>
      </c>
      <c r="O100" s="63">
        <v>0.8</v>
      </c>
      <c r="P100" s="62">
        <v>99.93</v>
      </c>
      <c r="Q100" s="62">
        <v>100</v>
      </c>
      <c r="R100" s="62">
        <v>99.96</v>
      </c>
      <c r="S100" s="63">
        <v>100.89</v>
      </c>
      <c r="T100" s="63">
        <v>101.78</v>
      </c>
      <c r="U100" s="63">
        <v>101.335</v>
      </c>
      <c r="V100" s="63" t="s">
        <v>789</v>
      </c>
      <c r="W100" s="63" t="s">
        <v>790</v>
      </c>
      <c r="X100" s="63" t="s">
        <v>791</v>
      </c>
      <c r="Y100" s="20">
        <v>0.59</v>
      </c>
      <c r="Z100" s="20">
        <v>0.59</v>
      </c>
    </row>
    <row r="101" customHeight="1" spans="1:26">
      <c r="A101" s="60" t="s">
        <v>291</v>
      </c>
      <c r="B101" s="20">
        <v>1985</v>
      </c>
      <c r="C101" s="62">
        <v>684</v>
      </c>
      <c r="D101" s="62">
        <v>716</v>
      </c>
      <c r="E101" s="62">
        <v>702.057142857143</v>
      </c>
      <c r="F101" s="63">
        <v>12.4</v>
      </c>
      <c r="G101" s="63">
        <v>14.6</v>
      </c>
      <c r="H101" s="63">
        <v>13.8666666666667</v>
      </c>
      <c r="I101" s="63">
        <v>0.1</v>
      </c>
      <c r="J101" s="63">
        <v>0.2</v>
      </c>
      <c r="K101" s="63">
        <v>0.166666666666667</v>
      </c>
      <c r="L101" s="68">
        <v>0.36</v>
      </c>
      <c r="M101" s="68">
        <v>0.39</v>
      </c>
      <c r="N101" s="68">
        <v>0.373333333333333</v>
      </c>
      <c r="O101" s="63">
        <v>0.9</v>
      </c>
      <c r="P101" s="62">
        <v>98.6</v>
      </c>
      <c r="Q101" s="62">
        <v>99.99</v>
      </c>
      <c r="R101" s="62">
        <v>99.7266666666667</v>
      </c>
      <c r="S101" s="63">
        <v>101.51</v>
      </c>
      <c r="T101" s="63">
        <v>101.6</v>
      </c>
      <c r="U101" s="63">
        <v>101.555</v>
      </c>
      <c r="V101" s="63" t="s">
        <v>789</v>
      </c>
      <c r="W101" s="63" t="s">
        <v>790</v>
      </c>
      <c r="X101" s="63" t="s">
        <v>791</v>
      </c>
      <c r="Y101" s="20">
        <v>0.5</v>
      </c>
      <c r="Z101" s="20">
        <v>0.5</v>
      </c>
    </row>
    <row r="102" customHeight="1" spans="1:26">
      <c r="A102" s="60" t="s">
        <v>292</v>
      </c>
      <c r="B102" s="20">
        <v>1989</v>
      </c>
      <c r="C102" s="62">
        <v>686</v>
      </c>
      <c r="D102" s="62">
        <v>710</v>
      </c>
      <c r="E102" s="62">
        <v>697.416666666667</v>
      </c>
      <c r="F102" s="63">
        <v>12.85</v>
      </c>
      <c r="G102" s="63">
        <v>13.85</v>
      </c>
      <c r="H102" s="63">
        <v>13.2233333333333</v>
      </c>
      <c r="I102" s="63">
        <v>0.2</v>
      </c>
      <c r="J102" s="63">
        <v>0.3</v>
      </c>
      <c r="K102" s="63">
        <v>0.266666666666667</v>
      </c>
      <c r="L102" s="68">
        <v>0.38</v>
      </c>
      <c r="M102" s="68">
        <v>0.39</v>
      </c>
      <c r="N102" s="68">
        <v>0.386666666666667</v>
      </c>
      <c r="O102" s="63">
        <v>0.9</v>
      </c>
      <c r="P102" s="62">
        <v>98.55</v>
      </c>
      <c r="Q102" s="62">
        <v>99.96</v>
      </c>
      <c r="R102" s="62">
        <v>99.6783333333333</v>
      </c>
      <c r="S102" s="63">
        <v>101.6</v>
      </c>
      <c r="T102" s="63">
        <v>102.32</v>
      </c>
      <c r="U102" s="63">
        <v>101.96</v>
      </c>
      <c r="V102" s="63" t="s">
        <v>789</v>
      </c>
      <c r="W102" s="63" t="s">
        <v>790</v>
      </c>
      <c r="X102" s="63" t="s">
        <v>791</v>
      </c>
      <c r="Y102" s="20">
        <v>0.59</v>
      </c>
      <c r="Z102" s="20">
        <v>0.59</v>
      </c>
    </row>
    <row r="103" customHeight="1" spans="1:26">
      <c r="A103" s="60" t="s">
        <v>293</v>
      </c>
      <c r="B103" s="20">
        <v>1983</v>
      </c>
      <c r="C103" s="62">
        <v>683</v>
      </c>
      <c r="D103" s="62">
        <v>713</v>
      </c>
      <c r="E103" s="62">
        <v>702.016666666667</v>
      </c>
      <c r="F103" s="63">
        <v>13.15</v>
      </c>
      <c r="G103" s="63">
        <v>14.65</v>
      </c>
      <c r="H103" s="63">
        <v>14.0833333333333</v>
      </c>
      <c r="I103" s="63">
        <v>0.2</v>
      </c>
      <c r="J103" s="63">
        <v>0.3</v>
      </c>
      <c r="K103" s="63">
        <v>0.233333333333333</v>
      </c>
      <c r="L103" s="68">
        <v>0.39</v>
      </c>
      <c r="M103" s="68">
        <v>0.4</v>
      </c>
      <c r="N103" s="68">
        <v>0.393333333333333</v>
      </c>
      <c r="O103" s="63">
        <v>1.3</v>
      </c>
      <c r="P103" s="62">
        <v>95.98</v>
      </c>
      <c r="Q103" s="62">
        <v>96.88</v>
      </c>
      <c r="R103" s="62">
        <v>96.3183333333333</v>
      </c>
      <c r="S103" s="63">
        <v>102.04</v>
      </c>
      <c r="T103" s="63">
        <v>102.15</v>
      </c>
      <c r="U103" s="63">
        <v>102.095</v>
      </c>
      <c r="V103" s="63" t="s">
        <v>789</v>
      </c>
      <c r="W103" s="63" t="s">
        <v>790</v>
      </c>
      <c r="X103" s="63" t="s">
        <v>791</v>
      </c>
      <c r="Y103" s="20">
        <v>0.6</v>
      </c>
      <c r="Z103" s="20">
        <v>0.6</v>
      </c>
    </row>
    <row r="104" customHeight="1" spans="1:26">
      <c r="A104" s="60" t="s">
        <v>296</v>
      </c>
      <c r="B104" s="20">
        <v>1991</v>
      </c>
      <c r="C104" s="62">
        <v>688</v>
      </c>
      <c r="D104" s="62">
        <v>720</v>
      </c>
      <c r="E104" s="62">
        <v>700.983333333333</v>
      </c>
      <c r="F104" s="63">
        <v>12.68</v>
      </c>
      <c r="G104" s="63">
        <v>14.42</v>
      </c>
      <c r="H104" s="63">
        <v>13.6666666666667</v>
      </c>
      <c r="I104" s="63">
        <v>0.1</v>
      </c>
      <c r="J104" s="63">
        <v>0.2</v>
      </c>
      <c r="K104" s="63">
        <v>0.166666666666667</v>
      </c>
      <c r="L104" s="68">
        <v>0.37</v>
      </c>
      <c r="M104" s="68">
        <v>0.44</v>
      </c>
      <c r="N104" s="68">
        <v>0.413333333333333</v>
      </c>
      <c r="O104" s="63">
        <v>1.2</v>
      </c>
      <c r="P104" s="62">
        <v>95.32</v>
      </c>
      <c r="Q104" s="62">
        <v>96.52</v>
      </c>
      <c r="R104" s="62">
        <v>95.8733333333333</v>
      </c>
      <c r="S104" s="63">
        <v>101.95</v>
      </c>
      <c r="T104" s="63">
        <v>102.15</v>
      </c>
      <c r="U104" s="63">
        <v>102.05</v>
      </c>
      <c r="V104" s="63" t="s">
        <v>789</v>
      </c>
      <c r="W104" s="63" t="s">
        <v>790</v>
      </c>
      <c r="X104" s="63" t="s">
        <v>791</v>
      </c>
      <c r="Y104" s="20">
        <v>0.59</v>
      </c>
      <c r="Z104" s="20">
        <v>0.59</v>
      </c>
    </row>
    <row r="105" customHeight="1" spans="1:26">
      <c r="A105" s="60" t="s">
        <v>298</v>
      </c>
      <c r="B105" s="20">
        <v>1992</v>
      </c>
      <c r="C105" s="62">
        <v>684</v>
      </c>
      <c r="D105" s="62">
        <v>719</v>
      </c>
      <c r="E105" s="62">
        <v>701.428571428571</v>
      </c>
      <c r="F105" s="63">
        <v>13.15</v>
      </c>
      <c r="G105" s="63">
        <v>14.28</v>
      </c>
      <c r="H105" s="63">
        <v>13.67</v>
      </c>
      <c r="I105" s="63">
        <v>0.1</v>
      </c>
      <c r="J105" s="63">
        <v>0.1</v>
      </c>
      <c r="K105" s="63">
        <v>0.1</v>
      </c>
      <c r="L105" s="68">
        <v>0.44</v>
      </c>
      <c r="M105" s="68">
        <v>0.47</v>
      </c>
      <c r="N105" s="68">
        <v>0.453333333333333</v>
      </c>
      <c r="O105" s="63">
        <v>1.4</v>
      </c>
      <c r="P105" s="62">
        <v>95.16</v>
      </c>
      <c r="Q105" s="62">
        <v>95.92</v>
      </c>
      <c r="R105" s="62">
        <v>95.525</v>
      </c>
      <c r="S105" s="63">
        <v>101.89</v>
      </c>
      <c r="T105" s="63">
        <v>101.9</v>
      </c>
      <c r="U105" s="63">
        <v>101.895</v>
      </c>
      <c r="V105" s="63" t="s">
        <v>789</v>
      </c>
      <c r="W105" s="63" t="s">
        <v>790</v>
      </c>
      <c r="X105" s="63" t="s">
        <v>791</v>
      </c>
      <c r="Y105" s="20">
        <v>0.66</v>
      </c>
      <c r="Z105" s="20">
        <v>0.66</v>
      </c>
    </row>
    <row r="106" customHeight="1" spans="1:26">
      <c r="A106" s="60" t="s">
        <v>299</v>
      </c>
      <c r="B106" s="20">
        <v>1985</v>
      </c>
      <c r="C106" s="62">
        <v>687</v>
      </c>
      <c r="D106" s="62">
        <v>719</v>
      </c>
      <c r="E106" s="62">
        <v>704.38</v>
      </c>
      <c r="F106" s="63">
        <v>13.3</v>
      </c>
      <c r="G106" s="63">
        <v>14.35</v>
      </c>
      <c r="H106" s="63">
        <v>13.6666666666667</v>
      </c>
      <c r="I106" s="63">
        <v>0.2</v>
      </c>
      <c r="J106" s="63">
        <v>0.3</v>
      </c>
      <c r="K106" s="63">
        <v>0.233333333333333</v>
      </c>
      <c r="L106" s="68">
        <v>0.42</v>
      </c>
      <c r="M106" s="68">
        <v>0.45</v>
      </c>
      <c r="N106" s="68">
        <v>0.436666666666667</v>
      </c>
      <c r="O106" s="63">
        <v>1.4</v>
      </c>
      <c r="P106" s="62">
        <v>97.99</v>
      </c>
      <c r="Q106" s="62">
        <v>99.08</v>
      </c>
      <c r="R106" s="62">
        <v>98.5133333333333</v>
      </c>
      <c r="S106" s="63">
        <v>101.98</v>
      </c>
      <c r="T106" s="63">
        <v>102</v>
      </c>
      <c r="U106" s="63">
        <v>101.99</v>
      </c>
      <c r="V106" s="63" t="s">
        <v>789</v>
      </c>
      <c r="W106" s="63" t="s">
        <v>790</v>
      </c>
      <c r="X106" s="63" t="s">
        <v>791</v>
      </c>
      <c r="Y106" s="20">
        <v>0.6</v>
      </c>
      <c r="Z106" s="20">
        <v>0.6</v>
      </c>
    </row>
    <row r="107" customHeight="1" spans="1:26">
      <c r="A107" s="60" t="s">
        <v>300</v>
      </c>
      <c r="B107" s="20">
        <v>1992</v>
      </c>
      <c r="C107" s="62">
        <v>687</v>
      </c>
      <c r="D107" s="62">
        <v>716</v>
      </c>
      <c r="E107" s="62">
        <v>702.7</v>
      </c>
      <c r="F107" s="63">
        <v>13.35</v>
      </c>
      <c r="G107" s="63">
        <v>14.43</v>
      </c>
      <c r="H107" s="63">
        <v>13.7433333333333</v>
      </c>
      <c r="I107" s="63">
        <v>0.2</v>
      </c>
      <c r="J107" s="63">
        <v>0.2</v>
      </c>
      <c r="K107" s="63">
        <v>0.2</v>
      </c>
      <c r="L107" s="68">
        <v>0.45</v>
      </c>
      <c r="M107" s="68">
        <v>0.47</v>
      </c>
      <c r="N107" s="68">
        <v>0.46</v>
      </c>
      <c r="O107" s="63">
        <v>1.1</v>
      </c>
      <c r="P107" s="62">
        <v>98.6</v>
      </c>
      <c r="Q107" s="62">
        <v>99.52</v>
      </c>
      <c r="R107" s="62">
        <v>99.0283333333334</v>
      </c>
      <c r="S107" s="63">
        <v>101.7</v>
      </c>
      <c r="T107" s="63">
        <v>101.98</v>
      </c>
      <c r="U107" s="63">
        <v>101.84</v>
      </c>
      <c r="V107" s="63" t="s">
        <v>789</v>
      </c>
      <c r="W107" s="63" t="s">
        <v>790</v>
      </c>
      <c r="X107" s="63" t="s">
        <v>791</v>
      </c>
      <c r="Y107" s="20">
        <v>0.6</v>
      </c>
      <c r="Z107" s="20">
        <v>0.6</v>
      </c>
    </row>
    <row r="108" customHeight="1" spans="1:26">
      <c r="A108" s="60" t="s">
        <v>302</v>
      </c>
      <c r="B108" s="20">
        <v>1992</v>
      </c>
      <c r="C108" s="62">
        <v>689</v>
      </c>
      <c r="D108" s="62">
        <v>713</v>
      </c>
      <c r="E108" s="62">
        <v>702.233333333333</v>
      </c>
      <c r="F108" s="63">
        <v>12.25</v>
      </c>
      <c r="G108" s="63">
        <v>12.65</v>
      </c>
      <c r="H108" s="63">
        <v>12.3933333333333</v>
      </c>
      <c r="I108" s="63">
        <v>0.1</v>
      </c>
      <c r="J108" s="63">
        <v>0.1</v>
      </c>
      <c r="K108" s="63">
        <v>0.1</v>
      </c>
      <c r="L108" s="68">
        <v>0.41</v>
      </c>
      <c r="M108" s="68">
        <v>0.45</v>
      </c>
      <c r="N108" s="68">
        <v>0.436666666666667</v>
      </c>
      <c r="O108" s="63">
        <v>4.8</v>
      </c>
      <c r="P108" s="62">
        <v>98.58</v>
      </c>
      <c r="Q108" s="62">
        <v>99.08</v>
      </c>
      <c r="R108" s="62">
        <v>98.8933333333333</v>
      </c>
      <c r="S108" s="63">
        <v>105.58</v>
      </c>
      <c r="T108" s="63">
        <v>106.32</v>
      </c>
      <c r="U108" s="63">
        <v>105.95</v>
      </c>
      <c r="V108" s="63" t="s">
        <v>789</v>
      </c>
      <c r="W108" s="63" t="s">
        <v>790</v>
      </c>
      <c r="X108" s="63" t="s">
        <v>791</v>
      </c>
      <c r="Y108" s="20">
        <v>0.51</v>
      </c>
      <c r="Z108" s="20">
        <v>0.51</v>
      </c>
    </row>
    <row r="109" customHeight="1" spans="1:26">
      <c r="A109" s="60" t="s">
        <v>304</v>
      </c>
      <c r="B109" s="20">
        <v>1990</v>
      </c>
      <c r="C109" s="62">
        <v>687</v>
      </c>
      <c r="D109" s="62">
        <v>715</v>
      </c>
      <c r="E109" s="62">
        <v>701.75</v>
      </c>
      <c r="F109" s="63">
        <v>13.78</v>
      </c>
      <c r="G109" s="63">
        <v>14.13</v>
      </c>
      <c r="H109" s="63">
        <v>13.9633333333333</v>
      </c>
      <c r="I109" s="63">
        <v>0.1</v>
      </c>
      <c r="J109" s="63">
        <v>0.3</v>
      </c>
      <c r="K109" s="63">
        <v>0.2</v>
      </c>
      <c r="L109" s="68">
        <v>0.43</v>
      </c>
      <c r="M109" s="68">
        <v>0.46</v>
      </c>
      <c r="N109" s="68">
        <v>0.446666666666667</v>
      </c>
      <c r="O109" s="63">
        <v>3.3</v>
      </c>
      <c r="P109" s="62">
        <v>99.38</v>
      </c>
      <c r="Q109" s="62">
        <v>99.98</v>
      </c>
      <c r="R109" s="62">
        <v>99.7033333333333</v>
      </c>
      <c r="S109" s="63">
        <v>104.06</v>
      </c>
      <c r="T109" s="63">
        <v>104.29</v>
      </c>
      <c r="U109" s="63">
        <v>104.175</v>
      </c>
      <c r="V109" s="63" t="s">
        <v>789</v>
      </c>
      <c r="W109" s="63" t="s">
        <v>790</v>
      </c>
      <c r="X109" s="63" t="s">
        <v>791</v>
      </c>
      <c r="Y109" s="20">
        <v>0.49</v>
      </c>
      <c r="Z109" s="20">
        <v>0.49</v>
      </c>
    </row>
    <row r="110" s="31" customFormat="1" customHeight="1" spans="1:26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Height="1" spans="1:26">
      <c r="A111" s="60" t="s">
        <v>305</v>
      </c>
      <c r="B111" s="20">
        <v>1995</v>
      </c>
      <c r="C111" s="62">
        <v>691</v>
      </c>
      <c r="D111" s="62">
        <v>712</v>
      </c>
      <c r="E111" s="62">
        <v>702.575</v>
      </c>
      <c r="F111" s="63">
        <v>13.52</v>
      </c>
      <c r="G111" s="63">
        <v>14.45</v>
      </c>
      <c r="H111" s="63">
        <v>14.09</v>
      </c>
      <c r="I111" s="63">
        <v>0.1</v>
      </c>
      <c r="J111" s="63">
        <v>0.2</v>
      </c>
      <c r="K111" s="63">
        <v>0.133333333333333</v>
      </c>
      <c r="L111" s="68">
        <v>0.41</v>
      </c>
      <c r="M111" s="68">
        <v>0.46</v>
      </c>
      <c r="N111" s="68">
        <v>0.44</v>
      </c>
      <c r="O111" s="63">
        <v>4.9</v>
      </c>
      <c r="P111" s="62">
        <v>100.01</v>
      </c>
      <c r="Q111" s="62">
        <v>100.37</v>
      </c>
      <c r="R111" s="62">
        <v>100.221666666667</v>
      </c>
      <c r="S111" s="63">
        <v>105.44</v>
      </c>
      <c r="T111" s="63">
        <v>105.46</v>
      </c>
      <c r="U111" s="63">
        <v>105.45</v>
      </c>
      <c r="V111" s="63" t="s">
        <v>789</v>
      </c>
      <c r="W111" s="63" t="s">
        <v>790</v>
      </c>
      <c r="X111" s="63" t="s">
        <v>791</v>
      </c>
      <c r="Y111" s="20"/>
      <c r="Z111" s="20"/>
    </row>
    <row r="112" customHeight="1" spans="1:26">
      <c r="A112" s="60" t="s">
        <v>307</v>
      </c>
      <c r="B112" s="20">
        <v>1995</v>
      </c>
      <c r="C112" s="62">
        <v>694</v>
      </c>
      <c r="D112" s="62">
        <v>712</v>
      </c>
      <c r="E112" s="62">
        <v>702.433333333333</v>
      </c>
      <c r="F112" s="63">
        <v>13.97</v>
      </c>
      <c r="G112" s="63">
        <v>14.33</v>
      </c>
      <c r="H112" s="63">
        <v>14.1266666666667</v>
      </c>
      <c r="I112" s="63">
        <v>0.2</v>
      </c>
      <c r="J112" s="63">
        <v>0.3</v>
      </c>
      <c r="K112" s="63">
        <v>0.233333333333333</v>
      </c>
      <c r="L112" s="68">
        <v>0.38</v>
      </c>
      <c r="M112" s="68">
        <v>0.48</v>
      </c>
      <c r="N112" s="68">
        <v>0.443333333333333</v>
      </c>
      <c r="O112" s="63">
        <v>4.9</v>
      </c>
      <c r="P112" s="62">
        <v>99.85</v>
      </c>
      <c r="Q112" s="62">
        <v>100.4</v>
      </c>
      <c r="R112" s="62">
        <v>100.238333333333</v>
      </c>
      <c r="S112" s="63">
        <v>105.31</v>
      </c>
      <c r="T112" s="63">
        <v>105.38</v>
      </c>
      <c r="U112" s="63">
        <v>105.345</v>
      </c>
      <c r="V112" s="63" t="s">
        <v>789</v>
      </c>
      <c r="W112" s="63" t="s">
        <v>790</v>
      </c>
      <c r="X112" s="63" t="s">
        <v>791</v>
      </c>
      <c r="Y112" s="20">
        <v>0.46</v>
      </c>
      <c r="Z112" s="20">
        <v>0.46</v>
      </c>
    </row>
    <row r="113" customHeight="1" spans="1:26">
      <c r="A113" s="60" t="s">
        <v>311</v>
      </c>
      <c r="B113" s="20">
        <v>1993</v>
      </c>
      <c r="C113" s="62">
        <v>688</v>
      </c>
      <c r="D113" s="62">
        <v>719</v>
      </c>
      <c r="E113" s="62">
        <v>703.7</v>
      </c>
      <c r="F113" s="63">
        <v>14.08</v>
      </c>
      <c r="G113" s="63">
        <v>14.83</v>
      </c>
      <c r="H113" s="63">
        <v>14.37</v>
      </c>
      <c r="I113" s="63">
        <v>0.1</v>
      </c>
      <c r="J113" s="63">
        <v>0.2</v>
      </c>
      <c r="K113" s="63">
        <v>0.166666666666667</v>
      </c>
      <c r="L113" s="68">
        <v>0.42</v>
      </c>
      <c r="M113" s="68">
        <v>0.45</v>
      </c>
      <c r="N113" s="68">
        <v>0.436666666666667</v>
      </c>
      <c r="O113" s="63">
        <v>2</v>
      </c>
      <c r="P113" s="62">
        <v>101.31</v>
      </c>
      <c r="Q113" s="62">
        <v>101.99</v>
      </c>
      <c r="R113" s="62">
        <v>101.765</v>
      </c>
      <c r="S113" s="63">
        <v>103.97</v>
      </c>
      <c r="T113" s="63">
        <v>104.18</v>
      </c>
      <c r="U113" s="63">
        <v>104.075</v>
      </c>
      <c r="V113" s="63" t="s">
        <v>789</v>
      </c>
      <c r="W113" s="63" t="s">
        <v>790</v>
      </c>
      <c r="X113" s="63" t="s">
        <v>791</v>
      </c>
      <c r="Y113" s="20">
        <v>0.46</v>
      </c>
      <c r="Z113" s="20">
        <v>0.46</v>
      </c>
    </row>
    <row r="114" customHeight="1" spans="1:26">
      <c r="A114" s="60" t="s">
        <v>312</v>
      </c>
      <c r="B114" s="20">
        <v>1991</v>
      </c>
      <c r="C114" s="62">
        <v>687</v>
      </c>
      <c r="D114" s="62">
        <v>716</v>
      </c>
      <c r="E114" s="62">
        <v>701.383333333333</v>
      </c>
      <c r="F114" s="63">
        <v>13.35</v>
      </c>
      <c r="G114" s="63">
        <v>14.78</v>
      </c>
      <c r="H114" s="63">
        <v>13.86</v>
      </c>
      <c r="I114" s="63">
        <v>0.1</v>
      </c>
      <c r="J114" s="63">
        <v>0.2</v>
      </c>
      <c r="K114" s="63">
        <v>0.166666666666667</v>
      </c>
      <c r="L114" s="68">
        <v>0.4</v>
      </c>
      <c r="M114" s="68">
        <v>0.43</v>
      </c>
      <c r="N114" s="68">
        <v>0.416666666666667</v>
      </c>
      <c r="O114" s="63">
        <v>3.6</v>
      </c>
      <c r="P114" s="62">
        <v>99.94</v>
      </c>
      <c r="Q114" s="62">
        <v>100.35</v>
      </c>
      <c r="R114" s="62">
        <v>100.093333333333</v>
      </c>
      <c r="S114" s="63">
        <v>95.52</v>
      </c>
      <c r="T114" s="63">
        <v>95.67</v>
      </c>
      <c r="U114" s="63">
        <v>95.595</v>
      </c>
      <c r="V114" s="63" t="s">
        <v>789</v>
      </c>
      <c r="W114" s="63" t="s">
        <v>790</v>
      </c>
      <c r="X114" s="63" t="s">
        <v>791</v>
      </c>
      <c r="Y114" s="20">
        <v>0.61</v>
      </c>
      <c r="Z114" s="20">
        <v>0.61</v>
      </c>
    </row>
    <row r="115" customHeight="1" spans="1:26">
      <c r="A115" s="60" t="s">
        <v>314</v>
      </c>
      <c r="B115" s="20">
        <v>1994</v>
      </c>
      <c r="C115" s="62">
        <v>690</v>
      </c>
      <c r="D115" s="62">
        <v>712</v>
      </c>
      <c r="E115" s="62">
        <v>700.8</v>
      </c>
      <c r="F115" s="63">
        <v>13.23</v>
      </c>
      <c r="G115" s="63">
        <v>14.18</v>
      </c>
      <c r="H115" s="63">
        <v>13.63</v>
      </c>
      <c r="I115" s="63">
        <v>0.1</v>
      </c>
      <c r="J115" s="63">
        <v>0.2</v>
      </c>
      <c r="K115" s="63">
        <v>0.166666666666667</v>
      </c>
      <c r="L115" s="68">
        <v>0.41</v>
      </c>
      <c r="M115" s="68">
        <v>0.44</v>
      </c>
      <c r="N115" s="68">
        <v>0.423333333333333</v>
      </c>
      <c r="O115" s="63">
        <v>2.3</v>
      </c>
      <c r="P115" s="62">
        <v>99.96</v>
      </c>
      <c r="Q115" s="62">
        <v>100.1</v>
      </c>
      <c r="R115" s="62">
        <v>100.063333333333</v>
      </c>
      <c r="S115" s="63">
        <v>95.99</v>
      </c>
      <c r="T115" s="63">
        <v>96.22</v>
      </c>
      <c r="U115" s="63">
        <v>96.105</v>
      </c>
      <c r="V115" s="63" t="s">
        <v>789</v>
      </c>
      <c r="W115" s="63" t="s">
        <v>790</v>
      </c>
      <c r="X115" s="63" t="s">
        <v>791</v>
      </c>
      <c r="Y115" s="20">
        <v>0.63</v>
      </c>
      <c r="Z115" s="20">
        <v>0.63</v>
      </c>
    </row>
    <row r="116" customHeight="1" spans="1:26">
      <c r="A116" s="60" t="s">
        <v>315</v>
      </c>
      <c r="B116" s="20">
        <v>1992</v>
      </c>
      <c r="C116" s="62">
        <v>685</v>
      </c>
      <c r="D116" s="62">
        <v>711</v>
      </c>
      <c r="E116" s="62">
        <v>701.05</v>
      </c>
      <c r="F116" s="63">
        <v>13.2</v>
      </c>
      <c r="G116" s="63">
        <v>14.55</v>
      </c>
      <c r="H116" s="63">
        <v>13.7</v>
      </c>
      <c r="I116" s="63">
        <v>0.1</v>
      </c>
      <c r="J116" s="63">
        <v>0.2</v>
      </c>
      <c r="K116" s="63">
        <v>0.166666666666667</v>
      </c>
      <c r="L116" s="68">
        <v>0.43</v>
      </c>
      <c r="M116" s="68">
        <v>0.44</v>
      </c>
      <c r="N116" s="68">
        <v>0.433333333333333</v>
      </c>
      <c r="O116" s="63">
        <v>2.7</v>
      </c>
      <c r="P116" s="62">
        <v>99.97</v>
      </c>
      <c r="Q116" s="62">
        <v>100.04</v>
      </c>
      <c r="R116" s="62">
        <v>100.016666666667</v>
      </c>
      <c r="S116" s="63">
        <v>95.77</v>
      </c>
      <c r="T116" s="63">
        <v>96.1</v>
      </c>
      <c r="U116" s="63">
        <v>95.935</v>
      </c>
      <c r="V116" s="63" t="s">
        <v>789</v>
      </c>
      <c r="W116" s="63" t="s">
        <v>790</v>
      </c>
      <c r="X116" s="63" t="s">
        <v>791</v>
      </c>
      <c r="Y116" s="20">
        <v>0.87</v>
      </c>
      <c r="Z116" s="20">
        <v>0.87</v>
      </c>
    </row>
    <row r="117" customHeight="1" spans="1:26">
      <c r="A117" s="60" t="s">
        <v>316</v>
      </c>
      <c r="B117" s="20">
        <v>1992</v>
      </c>
      <c r="C117" s="62">
        <v>685</v>
      </c>
      <c r="D117" s="62">
        <v>719</v>
      </c>
      <c r="E117" s="62">
        <v>703.02</v>
      </c>
      <c r="F117" s="63">
        <v>14.28</v>
      </c>
      <c r="G117" s="63">
        <v>14.98</v>
      </c>
      <c r="H117" s="63">
        <v>14.73</v>
      </c>
      <c r="I117" s="63">
        <v>0.1</v>
      </c>
      <c r="J117" s="63">
        <v>0.1</v>
      </c>
      <c r="K117" s="63">
        <v>0.1</v>
      </c>
      <c r="L117" s="68">
        <v>0.4</v>
      </c>
      <c r="M117" s="68">
        <v>0.44</v>
      </c>
      <c r="N117" s="68">
        <v>0.426666666666667</v>
      </c>
      <c r="O117" s="63">
        <v>1.5</v>
      </c>
      <c r="P117" s="62">
        <v>99.57</v>
      </c>
      <c r="Q117" s="62">
        <v>99.83</v>
      </c>
      <c r="R117" s="62">
        <v>99.6666666666667</v>
      </c>
      <c r="S117" s="63">
        <v>102.31</v>
      </c>
      <c r="T117" s="63">
        <v>102.77</v>
      </c>
      <c r="U117" s="63">
        <v>102.54</v>
      </c>
      <c r="V117" s="63" t="s">
        <v>789</v>
      </c>
      <c r="W117" s="63" t="s">
        <v>790</v>
      </c>
      <c r="X117" s="63" t="s">
        <v>791</v>
      </c>
      <c r="Y117" s="20">
        <v>0.86</v>
      </c>
      <c r="Z117" s="20">
        <v>0.86</v>
      </c>
    </row>
    <row r="118" customHeight="1" spans="1:26">
      <c r="A118" s="60" t="s">
        <v>318</v>
      </c>
      <c r="B118" s="20">
        <v>1991</v>
      </c>
      <c r="C118" s="62">
        <v>689</v>
      </c>
      <c r="D118" s="62">
        <v>711</v>
      </c>
      <c r="E118" s="62">
        <v>702.55</v>
      </c>
      <c r="F118" s="63">
        <v>13.83</v>
      </c>
      <c r="G118" s="63">
        <v>14.95</v>
      </c>
      <c r="H118" s="63">
        <v>14.37</v>
      </c>
      <c r="I118" s="63">
        <v>0.1</v>
      </c>
      <c r="J118" s="63">
        <v>0.2</v>
      </c>
      <c r="K118" s="63">
        <v>0.133333333333333</v>
      </c>
      <c r="L118" s="68">
        <v>0.37</v>
      </c>
      <c r="M118" s="68">
        <v>0.4</v>
      </c>
      <c r="N118" s="68">
        <v>0.383333333333333</v>
      </c>
      <c r="O118" s="63">
        <v>2.2</v>
      </c>
      <c r="P118" s="62">
        <v>99.45</v>
      </c>
      <c r="Q118" s="62">
        <v>99.66</v>
      </c>
      <c r="R118" s="62">
        <v>99.5483333333333</v>
      </c>
      <c r="S118" s="63">
        <v>102.66</v>
      </c>
      <c r="T118" s="63">
        <v>102.93</v>
      </c>
      <c r="U118" s="63">
        <v>102.795</v>
      </c>
      <c r="V118" s="63" t="s">
        <v>789</v>
      </c>
      <c r="W118" s="63" t="s">
        <v>790</v>
      </c>
      <c r="X118" s="63" t="s">
        <v>791</v>
      </c>
      <c r="Y118" s="20">
        <v>0.46</v>
      </c>
      <c r="Z118" s="20">
        <v>0.46</v>
      </c>
    </row>
    <row r="119" customHeight="1" spans="1:26">
      <c r="A119" s="60" t="s">
        <v>319</v>
      </c>
      <c r="B119" s="20">
        <v>1995</v>
      </c>
      <c r="C119" s="62">
        <v>688</v>
      </c>
      <c r="D119" s="62">
        <v>719</v>
      </c>
      <c r="E119" s="62">
        <v>704.975</v>
      </c>
      <c r="F119" s="63">
        <v>13.68</v>
      </c>
      <c r="G119" s="63">
        <v>14.7</v>
      </c>
      <c r="H119" s="63">
        <v>14.1533333333333</v>
      </c>
      <c r="I119" s="63">
        <v>0.1</v>
      </c>
      <c r="J119" s="63">
        <v>0.1</v>
      </c>
      <c r="K119" s="63">
        <v>0.1</v>
      </c>
      <c r="L119" s="68">
        <v>0.38</v>
      </c>
      <c r="M119" s="68">
        <v>0.42</v>
      </c>
      <c r="N119" s="68">
        <v>0.4</v>
      </c>
      <c r="O119" s="63">
        <v>0.8</v>
      </c>
      <c r="P119" s="62">
        <v>99.8</v>
      </c>
      <c r="Q119" s="62">
        <v>100.36</v>
      </c>
      <c r="R119" s="62">
        <v>100.04</v>
      </c>
      <c r="S119" s="63">
        <v>100.13</v>
      </c>
      <c r="T119" s="63">
        <v>101.64</v>
      </c>
      <c r="U119" s="63">
        <v>100.885</v>
      </c>
      <c r="V119" s="63" t="s">
        <v>789</v>
      </c>
      <c r="W119" s="63" t="s">
        <v>790</v>
      </c>
      <c r="X119" s="63" t="s">
        <v>791</v>
      </c>
      <c r="Y119" s="20">
        <v>0.46</v>
      </c>
      <c r="Z119" s="20">
        <v>0.46</v>
      </c>
    </row>
    <row r="120" customHeight="1" spans="1:26">
      <c r="A120" s="60" t="s">
        <v>321</v>
      </c>
      <c r="B120" s="20">
        <v>1994</v>
      </c>
      <c r="C120" s="62">
        <v>685</v>
      </c>
      <c r="D120" s="62">
        <v>715</v>
      </c>
      <c r="E120" s="62">
        <v>700.88</v>
      </c>
      <c r="F120" s="63">
        <v>13.8</v>
      </c>
      <c r="G120" s="63">
        <v>14.45</v>
      </c>
      <c r="H120" s="63">
        <v>14.1433333333333</v>
      </c>
      <c r="I120" s="63">
        <v>0.1</v>
      </c>
      <c r="J120" s="63">
        <v>0.2</v>
      </c>
      <c r="K120" s="63">
        <v>0.166666666666667</v>
      </c>
      <c r="L120" s="68">
        <v>0.4</v>
      </c>
      <c r="M120" s="68">
        <v>0.42</v>
      </c>
      <c r="N120" s="68">
        <v>0.41</v>
      </c>
      <c r="O120" s="63">
        <v>0.5</v>
      </c>
      <c r="P120" s="62">
        <v>99.72</v>
      </c>
      <c r="Q120" s="62">
        <v>100.33</v>
      </c>
      <c r="R120" s="62">
        <v>100.033333333333</v>
      </c>
      <c r="S120" s="63">
        <v>100</v>
      </c>
      <c r="T120" s="63">
        <v>100.71</v>
      </c>
      <c r="U120" s="63">
        <v>100.355</v>
      </c>
      <c r="V120" s="63" t="s">
        <v>789</v>
      </c>
      <c r="W120" s="63" t="s">
        <v>790</v>
      </c>
      <c r="X120" s="63" t="s">
        <v>791</v>
      </c>
      <c r="Y120" s="20">
        <v>0.49</v>
      </c>
      <c r="Z120" s="20">
        <v>0.49</v>
      </c>
    </row>
    <row r="121" customHeight="1" spans="1:26">
      <c r="A121" s="60" t="s">
        <v>322</v>
      </c>
      <c r="B121" s="20">
        <v>1995</v>
      </c>
      <c r="C121" s="62">
        <v>693</v>
      </c>
      <c r="D121" s="62">
        <v>718</v>
      </c>
      <c r="E121" s="62">
        <v>705.675</v>
      </c>
      <c r="F121" s="63">
        <v>12.73</v>
      </c>
      <c r="G121" s="63">
        <v>14.08</v>
      </c>
      <c r="H121" s="63">
        <v>13.53</v>
      </c>
      <c r="I121" s="63">
        <v>0.1</v>
      </c>
      <c r="J121" s="63">
        <v>0.2</v>
      </c>
      <c r="K121" s="63">
        <v>0.133333333333333</v>
      </c>
      <c r="L121" s="68">
        <v>0.4</v>
      </c>
      <c r="M121" s="68">
        <v>0.42</v>
      </c>
      <c r="N121" s="68">
        <v>0.41</v>
      </c>
      <c r="O121" s="63">
        <v>0.5</v>
      </c>
      <c r="P121" s="62">
        <v>100.43</v>
      </c>
      <c r="Q121" s="62">
        <v>101.16</v>
      </c>
      <c r="R121" s="62">
        <v>100.723333333333</v>
      </c>
      <c r="S121" s="63">
        <v>100.7</v>
      </c>
      <c r="T121" s="63">
        <v>100.72</v>
      </c>
      <c r="U121" s="63">
        <v>100.71</v>
      </c>
      <c r="V121" s="63" t="s">
        <v>789</v>
      </c>
      <c r="W121" s="63" t="s">
        <v>790</v>
      </c>
      <c r="X121" s="63" t="s">
        <v>791</v>
      </c>
      <c r="Y121" s="20">
        <v>0.49</v>
      </c>
      <c r="Z121" s="20">
        <v>0.49</v>
      </c>
    </row>
    <row r="122" s="31" customFormat="1" customHeight="1" spans="1:26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Height="1" spans="1:26">
      <c r="A123" s="60" t="s">
        <v>323</v>
      </c>
      <c r="B123" s="20">
        <v>1992</v>
      </c>
      <c r="C123" s="62">
        <v>685</v>
      </c>
      <c r="D123" s="62">
        <v>711</v>
      </c>
      <c r="E123" s="62">
        <v>701.725</v>
      </c>
      <c r="F123" s="63">
        <v>12.75</v>
      </c>
      <c r="G123" s="63">
        <v>13.23</v>
      </c>
      <c r="H123" s="63">
        <v>12.9366666666667</v>
      </c>
      <c r="I123" s="63">
        <v>0.1</v>
      </c>
      <c r="J123" s="63">
        <v>0.1</v>
      </c>
      <c r="K123" s="63">
        <v>0.1</v>
      </c>
      <c r="L123" s="68">
        <v>0.05</v>
      </c>
      <c r="M123" s="68">
        <v>0.483333333333333</v>
      </c>
      <c r="N123" s="68">
        <v>0.333333333333333</v>
      </c>
      <c r="O123" s="63">
        <v>0.8</v>
      </c>
      <c r="P123" s="62">
        <v>100.13</v>
      </c>
      <c r="Q123" s="62">
        <v>110.39</v>
      </c>
      <c r="R123" s="62">
        <v>106.545</v>
      </c>
      <c r="S123" s="63">
        <v>100.53</v>
      </c>
      <c r="T123" s="63">
        <v>100.98</v>
      </c>
      <c r="U123" s="63">
        <v>100.755</v>
      </c>
      <c r="V123" s="63" t="s">
        <v>789</v>
      </c>
      <c r="W123" s="63" t="s">
        <v>790</v>
      </c>
      <c r="X123" s="63" t="s">
        <v>791</v>
      </c>
      <c r="Y123" s="20">
        <v>0.56</v>
      </c>
      <c r="Z123" s="20">
        <v>0.56</v>
      </c>
    </row>
    <row r="124" customHeight="1" spans="1:26">
      <c r="A124" s="60" t="s">
        <v>324</v>
      </c>
      <c r="B124" s="20">
        <v>1994</v>
      </c>
      <c r="C124" s="62">
        <v>690</v>
      </c>
      <c r="D124" s="62">
        <v>715</v>
      </c>
      <c r="E124" s="62">
        <v>702.7</v>
      </c>
      <c r="F124" s="63">
        <v>12.53</v>
      </c>
      <c r="G124" s="63">
        <v>13.65</v>
      </c>
      <c r="H124" s="63">
        <v>13.0333333333333</v>
      </c>
      <c r="I124" s="63">
        <v>0.2</v>
      </c>
      <c r="J124" s="63">
        <v>0.2</v>
      </c>
      <c r="K124" s="63">
        <v>0.2</v>
      </c>
      <c r="L124" s="68">
        <v>0.483333333333333</v>
      </c>
      <c r="M124" s="68">
        <v>0.533333333333333</v>
      </c>
      <c r="N124" s="68">
        <v>0.511111111111111</v>
      </c>
      <c r="O124" s="63">
        <v>0.5</v>
      </c>
      <c r="P124" s="62">
        <v>97.79</v>
      </c>
      <c r="Q124" s="62">
        <v>102.51</v>
      </c>
      <c r="R124" s="62">
        <v>100.123333333333</v>
      </c>
      <c r="S124" s="63">
        <v>99.79</v>
      </c>
      <c r="T124" s="63">
        <v>100.37</v>
      </c>
      <c r="U124" s="63">
        <v>100.08</v>
      </c>
      <c r="V124" s="63" t="s">
        <v>789</v>
      </c>
      <c r="W124" s="63" t="s">
        <v>790</v>
      </c>
      <c r="X124" s="63" t="s">
        <v>791</v>
      </c>
      <c r="Y124" s="20">
        <v>0.56</v>
      </c>
      <c r="Z124" s="20">
        <v>0.56</v>
      </c>
    </row>
    <row r="125" customHeight="1" spans="1:26">
      <c r="A125" s="80" t="s">
        <v>325</v>
      </c>
      <c r="B125" s="20">
        <v>1987</v>
      </c>
      <c r="C125" s="62">
        <v>694</v>
      </c>
      <c r="D125" s="62">
        <v>719</v>
      </c>
      <c r="E125" s="62">
        <v>702.825</v>
      </c>
      <c r="F125" s="63">
        <v>13.78</v>
      </c>
      <c r="G125" s="63">
        <v>14.65</v>
      </c>
      <c r="H125" s="63">
        <v>14.1266666666667</v>
      </c>
      <c r="I125" s="63">
        <v>0</v>
      </c>
      <c r="J125" s="63">
        <v>0.1</v>
      </c>
      <c r="K125" s="63">
        <v>0.0333333333333333</v>
      </c>
      <c r="L125" s="68">
        <v>0.05</v>
      </c>
      <c r="M125" s="68">
        <v>0.55</v>
      </c>
      <c r="N125" s="68">
        <v>0.361111111111111</v>
      </c>
      <c r="O125" s="63">
        <v>0.4</v>
      </c>
      <c r="P125" s="62">
        <v>100.4</v>
      </c>
      <c r="Q125" s="62">
        <v>106.46</v>
      </c>
      <c r="R125" s="62">
        <v>102.56</v>
      </c>
      <c r="S125" s="63">
        <v>99.64</v>
      </c>
      <c r="T125" s="63">
        <v>101.29</v>
      </c>
      <c r="U125" s="63">
        <v>100.465</v>
      </c>
      <c r="V125" s="63" t="s">
        <v>789</v>
      </c>
      <c r="W125" s="63" t="s">
        <v>790</v>
      </c>
      <c r="X125" s="63" t="s">
        <v>791</v>
      </c>
      <c r="Y125" s="20">
        <v>0.53</v>
      </c>
      <c r="Z125" s="20">
        <v>0.53</v>
      </c>
    </row>
    <row r="126" customHeight="1" spans="1:26">
      <c r="A126" s="60" t="s">
        <v>326</v>
      </c>
      <c r="B126" s="20">
        <v>1993</v>
      </c>
      <c r="C126" s="62">
        <v>687</v>
      </c>
      <c r="D126" s="62">
        <v>715</v>
      </c>
      <c r="E126" s="62">
        <v>699.14</v>
      </c>
      <c r="F126" s="63">
        <v>12.78</v>
      </c>
      <c r="G126" s="63">
        <v>13.87</v>
      </c>
      <c r="H126" s="63">
        <v>13.4333333333333</v>
      </c>
      <c r="I126" s="63">
        <v>0.2</v>
      </c>
      <c r="J126" s="63">
        <v>0.3</v>
      </c>
      <c r="K126" s="63">
        <v>0.233333333333333</v>
      </c>
      <c r="L126" s="68">
        <v>0.483333333333333</v>
      </c>
      <c r="M126" s="68">
        <v>0.516666666666667</v>
      </c>
      <c r="N126" s="68">
        <v>0.5</v>
      </c>
      <c r="O126" s="63">
        <v>1.9</v>
      </c>
      <c r="P126" s="62">
        <v>101.08</v>
      </c>
      <c r="Q126" s="62">
        <v>101.51</v>
      </c>
      <c r="R126" s="62">
        <v>101.271666666667</v>
      </c>
      <c r="S126" s="63">
        <v>101.92</v>
      </c>
      <c r="T126" s="63">
        <v>104.14</v>
      </c>
      <c r="U126" s="63">
        <v>103.03</v>
      </c>
      <c r="V126" s="63" t="s">
        <v>789</v>
      </c>
      <c r="W126" s="63" t="s">
        <v>790</v>
      </c>
      <c r="X126" s="63" t="s">
        <v>791</v>
      </c>
      <c r="Y126" s="20">
        <v>0.57</v>
      </c>
      <c r="Z126" s="20">
        <v>0.57</v>
      </c>
    </row>
    <row r="127" customHeight="1" spans="1:26">
      <c r="A127" s="60" t="s">
        <v>327</v>
      </c>
      <c r="B127" s="20">
        <v>1990</v>
      </c>
      <c r="C127" s="62">
        <v>693</v>
      </c>
      <c r="D127" s="62">
        <v>717</v>
      </c>
      <c r="E127" s="62">
        <v>704.575</v>
      </c>
      <c r="F127" s="63">
        <v>14.35</v>
      </c>
      <c r="G127" s="63">
        <v>15.15</v>
      </c>
      <c r="H127" s="63">
        <v>14.7433333333333</v>
      </c>
      <c r="I127" s="63">
        <v>0.1</v>
      </c>
      <c r="J127" s="63">
        <v>0.1</v>
      </c>
      <c r="K127" s="63">
        <v>0.1</v>
      </c>
      <c r="L127" s="68">
        <v>0.483333333333333</v>
      </c>
      <c r="M127" s="68">
        <v>0.5</v>
      </c>
      <c r="N127" s="68">
        <v>0.494444444444444</v>
      </c>
      <c r="O127" s="63">
        <v>1.9</v>
      </c>
      <c r="P127" s="62">
        <v>98.33</v>
      </c>
      <c r="Q127" s="62">
        <v>99.34</v>
      </c>
      <c r="R127" s="62">
        <v>99.0316666666667</v>
      </c>
      <c r="S127" s="63">
        <v>103.14</v>
      </c>
      <c r="T127" s="63">
        <v>103.24</v>
      </c>
      <c r="U127" s="63">
        <v>103.19</v>
      </c>
      <c r="V127" s="63" t="s">
        <v>789</v>
      </c>
      <c r="W127" s="63" t="s">
        <v>790</v>
      </c>
      <c r="X127" s="63" t="s">
        <v>791</v>
      </c>
      <c r="Y127" s="20">
        <v>0.64</v>
      </c>
      <c r="Z127" s="20">
        <v>0.64</v>
      </c>
    </row>
    <row r="128" customHeight="1" spans="1:26">
      <c r="A128" s="60" t="s">
        <v>328</v>
      </c>
      <c r="B128" s="20">
        <v>1989</v>
      </c>
      <c r="C128" s="62">
        <v>688</v>
      </c>
      <c r="D128" s="62">
        <v>714</v>
      </c>
      <c r="E128" s="62">
        <v>702.5</v>
      </c>
      <c r="F128" s="63">
        <v>13.58</v>
      </c>
      <c r="G128" s="63">
        <v>14.37</v>
      </c>
      <c r="H128" s="63">
        <v>13.95</v>
      </c>
      <c r="I128" s="63">
        <v>0.2</v>
      </c>
      <c r="J128" s="63">
        <v>0.3</v>
      </c>
      <c r="K128" s="63">
        <v>0.233333333333333</v>
      </c>
      <c r="L128" s="68">
        <v>0.566666666666667</v>
      </c>
      <c r="M128" s="68">
        <v>0.633333333333333</v>
      </c>
      <c r="N128" s="68">
        <v>0.6</v>
      </c>
      <c r="O128" s="63">
        <v>3.1</v>
      </c>
      <c r="P128" s="62">
        <v>98.43</v>
      </c>
      <c r="Q128" s="62">
        <v>100.57</v>
      </c>
      <c r="R128" s="62">
        <v>99.935</v>
      </c>
      <c r="S128" s="63">
        <v>103.59</v>
      </c>
      <c r="T128" s="63">
        <v>103.68</v>
      </c>
      <c r="U128" s="63">
        <v>103.635</v>
      </c>
      <c r="V128" s="63" t="s">
        <v>789</v>
      </c>
      <c r="W128" s="63" t="s">
        <v>790</v>
      </c>
      <c r="X128" s="63" t="s">
        <v>791</v>
      </c>
      <c r="Y128" s="20">
        <v>0.67</v>
      </c>
      <c r="Z128" s="20">
        <v>0.67</v>
      </c>
    </row>
    <row r="129" customHeight="1" spans="1:26">
      <c r="A129" s="60" t="s">
        <v>329</v>
      </c>
      <c r="B129" s="20">
        <v>1994</v>
      </c>
      <c r="C129" s="62">
        <v>690</v>
      </c>
      <c r="D129" s="62">
        <v>714</v>
      </c>
      <c r="E129" s="62">
        <v>704.075</v>
      </c>
      <c r="F129" s="63">
        <v>12.65</v>
      </c>
      <c r="G129" s="63">
        <v>13.82</v>
      </c>
      <c r="H129" s="63">
        <v>13.2333333333333</v>
      </c>
      <c r="I129" s="63">
        <v>0.2</v>
      </c>
      <c r="J129" s="63">
        <v>0.3</v>
      </c>
      <c r="K129" s="63">
        <v>0.266666666666667</v>
      </c>
      <c r="L129" s="68">
        <v>0.6</v>
      </c>
      <c r="M129" s="68">
        <v>0.683333333333333</v>
      </c>
      <c r="N129" s="68">
        <v>0.644444444444444</v>
      </c>
      <c r="O129" s="63">
        <v>3.5</v>
      </c>
      <c r="P129" s="62">
        <v>98.72</v>
      </c>
      <c r="Q129" s="62">
        <v>100.67</v>
      </c>
      <c r="R129" s="62">
        <v>99.85</v>
      </c>
      <c r="S129" s="63">
        <v>103.87</v>
      </c>
      <c r="T129" s="63">
        <v>104.32</v>
      </c>
      <c r="U129" s="63">
        <v>104.095</v>
      </c>
      <c r="V129" s="63" t="s">
        <v>789</v>
      </c>
      <c r="W129" s="63" t="s">
        <v>790</v>
      </c>
      <c r="X129" s="63" t="s">
        <v>791</v>
      </c>
      <c r="Y129" s="20">
        <v>0.57</v>
      </c>
      <c r="Z129" s="20">
        <v>0.57</v>
      </c>
    </row>
    <row r="130" customHeight="1" spans="1:26">
      <c r="A130" s="60" t="s">
        <v>330</v>
      </c>
      <c r="B130" s="20">
        <v>1992</v>
      </c>
      <c r="C130" s="62">
        <v>690</v>
      </c>
      <c r="D130" s="62">
        <v>712</v>
      </c>
      <c r="E130" s="62">
        <v>701.575</v>
      </c>
      <c r="F130" s="63">
        <v>13.08</v>
      </c>
      <c r="G130" s="63">
        <v>14.42</v>
      </c>
      <c r="H130" s="63">
        <v>13.75</v>
      </c>
      <c r="I130" s="63">
        <v>0.3</v>
      </c>
      <c r="J130" s="63">
        <v>0.3</v>
      </c>
      <c r="K130" s="63">
        <v>0.3</v>
      </c>
      <c r="L130" s="68">
        <v>0.533333333333333</v>
      </c>
      <c r="M130" s="68">
        <v>0.6</v>
      </c>
      <c r="N130" s="68">
        <v>0.561111111111111</v>
      </c>
      <c r="O130" s="63">
        <v>3.7</v>
      </c>
      <c r="P130" s="62">
        <v>98.55</v>
      </c>
      <c r="Q130" s="62">
        <v>101.54</v>
      </c>
      <c r="R130" s="62">
        <v>100.718333333333</v>
      </c>
      <c r="S130" s="63">
        <v>103.98</v>
      </c>
      <c r="T130" s="63">
        <v>104.38</v>
      </c>
      <c r="U130" s="63">
        <v>104.18</v>
      </c>
      <c r="V130" s="63" t="s">
        <v>789</v>
      </c>
      <c r="W130" s="63" t="s">
        <v>790</v>
      </c>
      <c r="X130" s="63" t="s">
        <v>791</v>
      </c>
      <c r="Y130" s="20">
        <v>0.59</v>
      </c>
      <c r="Z130" s="20">
        <v>0.59</v>
      </c>
    </row>
    <row r="131" customHeight="1" spans="1:26">
      <c r="A131" s="60" t="s">
        <v>332</v>
      </c>
      <c r="B131" s="20">
        <v>1986</v>
      </c>
      <c r="C131" s="62">
        <v>692</v>
      </c>
      <c r="D131" s="62">
        <v>714</v>
      </c>
      <c r="E131" s="62">
        <v>703.85</v>
      </c>
      <c r="F131" s="63">
        <v>13.73</v>
      </c>
      <c r="G131" s="63">
        <v>14.03</v>
      </c>
      <c r="H131" s="63">
        <v>13.83</v>
      </c>
      <c r="I131" s="63">
        <v>0.1</v>
      </c>
      <c r="J131" s="63">
        <v>0.3</v>
      </c>
      <c r="K131" s="63">
        <v>0.2</v>
      </c>
      <c r="L131" s="68">
        <v>0.45</v>
      </c>
      <c r="M131" s="68">
        <v>5</v>
      </c>
      <c r="N131" s="68">
        <v>1.97777777777778</v>
      </c>
      <c r="O131" s="63">
        <v>2.3</v>
      </c>
      <c r="P131" s="62">
        <v>97.44</v>
      </c>
      <c r="Q131" s="62">
        <v>101.45</v>
      </c>
      <c r="R131" s="62">
        <v>99.595</v>
      </c>
      <c r="S131" s="63">
        <v>103.62</v>
      </c>
      <c r="T131" s="63">
        <v>103.66</v>
      </c>
      <c r="U131" s="63">
        <v>103.64</v>
      </c>
      <c r="V131" s="63" t="s">
        <v>789</v>
      </c>
      <c r="W131" s="63" t="s">
        <v>790</v>
      </c>
      <c r="X131" s="63" t="s">
        <v>791</v>
      </c>
      <c r="Y131" s="20">
        <v>0.66</v>
      </c>
      <c r="Z131" s="20">
        <v>0.66</v>
      </c>
    </row>
    <row r="132" customHeight="1" spans="1:26">
      <c r="A132" s="60" t="s">
        <v>333</v>
      </c>
      <c r="B132" s="20">
        <v>1993</v>
      </c>
      <c r="C132" s="62">
        <v>693</v>
      </c>
      <c r="D132" s="62">
        <v>716</v>
      </c>
      <c r="E132" s="62">
        <v>702.575</v>
      </c>
      <c r="F132" s="63">
        <v>12.85</v>
      </c>
      <c r="G132" s="63">
        <v>13.6</v>
      </c>
      <c r="H132" s="63">
        <v>13.35</v>
      </c>
      <c r="I132" s="63">
        <v>0.1</v>
      </c>
      <c r="J132" s="63">
        <v>0.3</v>
      </c>
      <c r="K132" s="63">
        <v>0.2</v>
      </c>
      <c r="L132" s="68">
        <v>0.5</v>
      </c>
      <c r="M132" s="68">
        <v>0.533333333333333</v>
      </c>
      <c r="N132" s="68">
        <v>0.511111111111111</v>
      </c>
      <c r="O132" s="63">
        <v>0.3</v>
      </c>
      <c r="P132" s="62">
        <v>100.45</v>
      </c>
      <c r="Q132" s="62">
        <v>101.07</v>
      </c>
      <c r="R132" s="62">
        <v>100.718333333333</v>
      </c>
      <c r="S132" s="63">
        <v>100.69</v>
      </c>
      <c r="T132" s="63">
        <v>100.96</v>
      </c>
      <c r="U132" s="63">
        <v>100.825</v>
      </c>
      <c r="V132" s="63" t="s">
        <v>789</v>
      </c>
      <c r="W132" s="63" t="s">
        <v>790</v>
      </c>
      <c r="X132" s="63" t="s">
        <v>791</v>
      </c>
      <c r="Y132" s="20">
        <v>0.73</v>
      </c>
      <c r="Z132" s="20">
        <v>0.73</v>
      </c>
    </row>
    <row r="133" customHeight="1" spans="1:26">
      <c r="A133" s="60" t="s">
        <v>334</v>
      </c>
      <c r="B133" s="20">
        <v>1990</v>
      </c>
      <c r="C133" s="62">
        <v>689</v>
      </c>
      <c r="D133" s="62">
        <v>711</v>
      </c>
      <c r="E133" s="62">
        <v>700.775</v>
      </c>
      <c r="F133" s="63">
        <v>12.5</v>
      </c>
      <c r="G133" s="63">
        <v>14.63</v>
      </c>
      <c r="H133" s="63">
        <v>13.6266666666667</v>
      </c>
      <c r="I133" s="63">
        <v>0.2</v>
      </c>
      <c r="J133" s="63">
        <v>0.2</v>
      </c>
      <c r="K133" s="63">
        <v>0.2</v>
      </c>
      <c r="L133" s="68">
        <v>0.516666666666667</v>
      </c>
      <c r="M133" s="68">
        <v>0.55</v>
      </c>
      <c r="N133" s="68">
        <v>0.533333333333333</v>
      </c>
      <c r="O133" s="63">
        <v>0.9</v>
      </c>
      <c r="P133" s="62">
        <v>93.17</v>
      </c>
      <c r="Q133" s="62">
        <v>99.97</v>
      </c>
      <c r="R133" s="62">
        <v>96.4766666666667</v>
      </c>
      <c r="S133" s="63">
        <v>101.46</v>
      </c>
      <c r="T133" s="63">
        <v>101.47</v>
      </c>
      <c r="U133" s="63">
        <v>101.465</v>
      </c>
      <c r="V133" s="63" t="s">
        <v>789</v>
      </c>
      <c r="W133" s="63" t="s">
        <v>790</v>
      </c>
      <c r="X133" s="63" t="s">
        <v>791</v>
      </c>
      <c r="Y133" s="20">
        <v>0.79</v>
      </c>
      <c r="Z133" s="20">
        <v>0.79</v>
      </c>
    </row>
    <row r="134" customHeight="1" spans="1:26">
      <c r="A134" s="60" t="s">
        <v>336</v>
      </c>
      <c r="B134" s="20">
        <v>1992</v>
      </c>
      <c r="C134" s="62">
        <v>691</v>
      </c>
      <c r="D134" s="62">
        <v>715</v>
      </c>
      <c r="E134" s="62">
        <v>702.575</v>
      </c>
      <c r="F134" s="63">
        <v>13.05</v>
      </c>
      <c r="G134" s="63">
        <v>13.55</v>
      </c>
      <c r="H134" s="63">
        <v>13.26</v>
      </c>
      <c r="I134" s="63">
        <v>0</v>
      </c>
      <c r="J134" s="63">
        <v>0.1</v>
      </c>
      <c r="K134" s="63">
        <v>0.0333333333333333</v>
      </c>
      <c r="L134" s="68">
        <v>0.566666666666667</v>
      </c>
      <c r="M134" s="68">
        <v>0.65</v>
      </c>
      <c r="N134" s="68">
        <v>0.616666666666667</v>
      </c>
      <c r="O134" s="63">
        <v>0.6</v>
      </c>
      <c r="P134" s="62">
        <v>95.92</v>
      </c>
      <c r="Q134" s="62">
        <v>97.06</v>
      </c>
      <c r="R134" s="62">
        <v>96.6216666666667</v>
      </c>
      <c r="S134" s="63">
        <v>100.26</v>
      </c>
      <c r="T134" s="63">
        <v>100.76</v>
      </c>
      <c r="U134" s="63">
        <v>100.51</v>
      </c>
      <c r="V134" s="63" t="s">
        <v>789</v>
      </c>
      <c r="W134" s="63" t="s">
        <v>790</v>
      </c>
      <c r="X134" s="63" t="s">
        <v>791</v>
      </c>
      <c r="Y134" s="20">
        <v>0.74</v>
      </c>
      <c r="Z134" s="20">
        <v>0.74</v>
      </c>
    </row>
    <row r="135" customHeight="1" spans="1:26">
      <c r="A135" s="60" t="s">
        <v>337</v>
      </c>
      <c r="B135" s="20">
        <v>1992</v>
      </c>
      <c r="C135" s="62">
        <v>690</v>
      </c>
      <c r="D135" s="62">
        <v>715</v>
      </c>
      <c r="E135" s="62">
        <v>701.675</v>
      </c>
      <c r="F135" s="63">
        <v>13.88</v>
      </c>
      <c r="G135" s="63">
        <v>14.53</v>
      </c>
      <c r="H135" s="63">
        <v>14.1633333333333</v>
      </c>
      <c r="I135" s="63">
        <v>0.1</v>
      </c>
      <c r="J135" s="63">
        <v>0.1</v>
      </c>
      <c r="K135" s="63">
        <v>0.1</v>
      </c>
      <c r="L135" s="68">
        <v>0.5</v>
      </c>
      <c r="M135" s="68">
        <v>0.533333333333333</v>
      </c>
      <c r="N135" s="68">
        <v>0.516666666666667</v>
      </c>
      <c r="O135" s="63">
        <v>1.6</v>
      </c>
      <c r="P135" s="62">
        <v>103.5</v>
      </c>
      <c r="Q135" s="62">
        <v>105.36</v>
      </c>
      <c r="R135" s="62">
        <v>104.226666666667</v>
      </c>
      <c r="S135" s="63">
        <v>102.55</v>
      </c>
      <c r="T135" s="63">
        <v>102.7</v>
      </c>
      <c r="U135" s="63">
        <v>102.625</v>
      </c>
      <c r="V135" s="63" t="s">
        <v>789</v>
      </c>
      <c r="W135" s="63" t="s">
        <v>790</v>
      </c>
      <c r="X135" s="63" t="s">
        <v>791</v>
      </c>
      <c r="Y135" s="20">
        <v>0.79</v>
      </c>
      <c r="Z135" s="20">
        <v>0.79</v>
      </c>
    </row>
    <row r="136" customHeight="1" spans="1:26">
      <c r="A136" s="60" t="s">
        <v>338</v>
      </c>
      <c r="B136" s="20">
        <v>1995</v>
      </c>
      <c r="C136" s="62">
        <v>692</v>
      </c>
      <c r="D136" s="62">
        <v>712</v>
      </c>
      <c r="E136" s="62">
        <v>702.825</v>
      </c>
      <c r="F136" s="63">
        <v>13.75</v>
      </c>
      <c r="G136" s="63">
        <v>14.12</v>
      </c>
      <c r="H136" s="63">
        <v>13.9066666666667</v>
      </c>
      <c r="I136" s="63">
        <v>0.1</v>
      </c>
      <c r="J136" s="63">
        <v>0.1</v>
      </c>
      <c r="K136" s="63">
        <v>0.1</v>
      </c>
      <c r="L136" s="68">
        <v>0.516666666666667</v>
      </c>
      <c r="M136" s="68">
        <v>0.55</v>
      </c>
      <c r="N136" s="68">
        <v>0.527777777777778</v>
      </c>
      <c r="O136" s="63">
        <v>1.4</v>
      </c>
      <c r="P136" s="62">
        <v>102.81</v>
      </c>
      <c r="Q136" s="62">
        <v>104.81</v>
      </c>
      <c r="R136" s="62">
        <v>104.183333333333</v>
      </c>
      <c r="S136" s="63">
        <v>102.13</v>
      </c>
      <c r="T136" s="63">
        <v>102.66</v>
      </c>
      <c r="U136" s="63">
        <v>102.395</v>
      </c>
      <c r="V136" s="63" t="s">
        <v>789</v>
      </c>
      <c r="W136" s="63" t="s">
        <v>790</v>
      </c>
      <c r="X136" s="63" t="s">
        <v>791</v>
      </c>
      <c r="Y136" s="20">
        <v>0.61</v>
      </c>
      <c r="Z136" s="20">
        <v>0.61</v>
      </c>
    </row>
    <row r="137" customHeight="1" spans="1:26">
      <c r="A137" s="60" t="s">
        <v>339</v>
      </c>
      <c r="B137" s="20">
        <v>1996</v>
      </c>
      <c r="C137" s="62">
        <v>693</v>
      </c>
      <c r="D137" s="62">
        <v>712</v>
      </c>
      <c r="E137" s="62">
        <v>702.025</v>
      </c>
      <c r="F137" s="63">
        <v>12.38</v>
      </c>
      <c r="G137" s="63">
        <v>14.03</v>
      </c>
      <c r="H137" s="63">
        <v>13.0533333333333</v>
      </c>
      <c r="I137" s="63">
        <v>0</v>
      </c>
      <c r="J137" s="63">
        <v>0.2</v>
      </c>
      <c r="K137" s="63">
        <v>0.1</v>
      </c>
      <c r="L137" s="68">
        <v>0.483333333333333</v>
      </c>
      <c r="M137" s="68">
        <v>0.533333333333333</v>
      </c>
      <c r="N137" s="68">
        <v>0.505555555555556</v>
      </c>
      <c r="O137" s="63">
        <v>1.8</v>
      </c>
      <c r="P137" s="62">
        <v>99.18</v>
      </c>
      <c r="Q137" s="62">
        <v>100.24</v>
      </c>
      <c r="R137" s="62">
        <v>99.6866666666667</v>
      </c>
      <c r="S137" s="63">
        <v>102.28</v>
      </c>
      <c r="T137" s="63">
        <v>102.64</v>
      </c>
      <c r="U137" s="63">
        <v>102.46</v>
      </c>
      <c r="V137" s="63" t="s">
        <v>789</v>
      </c>
      <c r="W137" s="63" t="s">
        <v>790</v>
      </c>
      <c r="X137" s="63" t="s">
        <v>791</v>
      </c>
      <c r="Y137" s="20">
        <v>0.66</v>
      </c>
      <c r="Z137" s="20">
        <v>0.66</v>
      </c>
    </row>
    <row r="138" customHeight="1" spans="1:26">
      <c r="A138" s="60" t="s">
        <v>341</v>
      </c>
      <c r="B138" s="20">
        <v>1994</v>
      </c>
      <c r="C138" s="62">
        <v>691</v>
      </c>
      <c r="D138" s="62">
        <v>715</v>
      </c>
      <c r="E138" s="62">
        <v>705.2</v>
      </c>
      <c r="F138" s="63">
        <v>13.33</v>
      </c>
      <c r="G138" s="63">
        <v>14.6</v>
      </c>
      <c r="H138" s="63">
        <v>13.7933333333333</v>
      </c>
      <c r="I138" s="63">
        <v>0.2</v>
      </c>
      <c r="J138" s="63">
        <v>0.3</v>
      </c>
      <c r="K138" s="63">
        <v>0.233333333333333</v>
      </c>
      <c r="L138" s="68">
        <v>0.533333333333333</v>
      </c>
      <c r="M138" s="68">
        <v>0.65</v>
      </c>
      <c r="N138" s="68">
        <v>0.605555555555556</v>
      </c>
      <c r="O138" s="63">
        <v>4.1</v>
      </c>
      <c r="P138" s="62">
        <v>97.71</v>
      </c>
      <c r="Q138" s="62">
        <v>100.54</v>
      </c>
      <c r="R138" s="62">
        <v>99.6533333333333</v>
      </c>
      <c r="S138" s="63">
        <v>104.31</v>
      </c>
      <c r="T138" s="63">
        <v>104.82</v>
      </c>
      <c r="U138" s="63">
        <v>104.565</v>
      </c>
      <c r="V138" s="63" t="s">
        <v>789</v>
      </c>
      <c r="W138" s="63" t="s">
        <v>790</v>
      </c>
      <c r="X138" s="63" t="s">
        <v>791</v>
      </c>
      <c r="Y138" s="20">
        <v>0.73</v>
      </c>
      <c r="Z138" s="20">
        <v>0.73</v>
      </c>
    </row>
    <row r="139" customHeight="1" spans="1:26">
      <c r="A139" s="60" t="s">
        <v>343</v>
      </c>
      <c r="B139" s="20">
        <v>1994</v>
      </c>
      <c r="C139" s="62">
        <v>692</v>
      </c>
      <c r="D139" s="62">
        <v>713</v>
      </c>
      <c r="E139" s="62">
        <v>702.375</v>
      </c>
      <c r="F139" s="63">
        <v>13.1</v>
      </c>
      <c r="G139" s="63">
        <v>13.5</v>
      </c>
      <c r="H139" s="63">
        <v>13.26</v>
      </c>
      <c r="I139" s="63">
        <v>0.3</v>
      </c>
      <c r="J139" s="63">
        <v>0.3</v>
      </c>
      <c r="K139" s="63">
        <v>0.3</v>
      </c>
      <c r="L139" s="68">
        <v>0.5</v>
      </c>
      <c r="M139" s="68">
        <v>0.616666666666667</v>
      </c>
      <c r="N139" s="68">
        <v>0.566666666666667</v>
      </c>
      <c r="O139" s="63">
        <v>2.8</v>
      </c>
      <c r="P139" s="62">
        <v>98.58</v>
      </c>
      <c r="Q139" s="62">
        <v>101.59</v>
      </c>
      <c r="R139" s="62">
        <v>100.031666666667</v>
      </c>
      <c r="S139" s="63">
        <v>103.78</v>
      </c>
      <c r="T139" s="63">
        <v>104.01</v>
      </c>
      <c r="U139" s="63">
        <v>103.895</v>
      </c>
      <c r="V139" s="63" t="s">
        <v>789</v>
      </c>
      <c r="W139" s="63" t="s">
        <v>790</v>
      </c>
      <c r="X139" s="63" t="s">
        <v>791</v>
      </c>
      <c r="Y139" s="20">
        <v>0.69</v>
      </c>
      <c r="Z139" s="20">
        <v>0.69</v>
      </c>
    </row>
    <row r="140" customHeight="1" spans="1:26">
      <c r="A140" s="60" t="s">
        <v>345</v>
      </c>
      <c r="B140" s="20">
        <v>1995</v>
      </c>
      <c r="C140" s="62">
        <v>690</v>
      </c>
      <c r="D140" s="62">
        <v>712</v>
      </c>
      <c r="E140" s="62">
        <v>701.175</v>
      </c>
      <c r="F140" s="63">
        <v>13.17</v>
      </c>
      <c r="G140" s="63">
        <v>13.53</v>
      </c>
      <c r="H140" s="63">
        <v>13.3433333333333</v>
      </c>
      <c r="I140" s="63">
        <v>0.3</v>
      </c>
      <c r="J140" s="63">
        <v>0.3</v>
      </c>
      <c r="K140" s="63">
        <v>0.3</v>
      </c>
      <c r="L140" s="68">
        <v>0.516666666666667</v>
      </c>
      <c r="M140" s="68">
        <v>0.533333333333333</v>
      </c>
      <c r="N140" s="68">
        <v>0.527777777777778</v>
      </c>
      <c r="O140" s="63">
        <v>2.7</v>
      </c>
      <c r="P140" s="62">
        <v>98.27</v>
      </c>
      <c r="Q140" s="62">
        <v>100.72</v>
      </c>
      <c r="R140" s="62">
        <v>99.37</v>
      </c>
      <c r="S140" s="63">
        <v>103.73</v>
      </c>
      <c r="T140" s="63">
        <v>104.01</v>
      </c>
      <c r="U140" s="63">
        <v>103.87</v>
      </c>
      <c r="V140" s="63" t="s">
        <v>789</v>
      </c>
      <c r="W140" s="63" t="s">
        <v>790</v>
      </c>
      <c r="X140" s="63" t="s">
        <v>791</v>
      </c>
      <c r="Y140" s="20">
        <v>0.64</v>
      </c>
      <c r="Z140" s="20">
        <v>0.64</v>
      </c>
    </row>
    <row r="141" customHeight="1" spans="1:26">
      <c r="A141" s="20" t="s">
        <v>792</v>
      </c>
      <c r="Y141" s="20">
        <v>0.64</v>
      </c>
      <c r="Z141" s="20">
        <v>0.64</v>
      </c>
    </row>
    <row r="142" customHeight="1" spans="1:26">
      <c r="A142" s="20" t="s">
        <v>793</v>
      </c>
      <c r="Y142" s="20">
        <v>0.6</v>
      </c>
      <c r="Z142" s="20">
        <v>0.6</v>
      </c>
    </row>
    <row r="143" customHeight="1" spans="1:26">
      <c r="A143" s="20" t="s">
        <v>794</v>
      </c>
      <c r="Y143" s="20">
        <v>0.63</v>
      </c>
      <c r="Z143" s="20">
        <v>0.63</v>
      </c>
    </row>
    <row r="144" customHeight="1" spans="1:26">
      <c r="A144" s="20" t="s">
        <v>795</v>
      </c>
      <c r="Y144" s="20">
        <v>0.67</v>
      </c>
      <c r="Z144" s="20">
        <v>0.67</v>
      </c>
    </row>
    <row r="145" customFormat="1" customHeight="1" spans="1:26">
      <c r="A145" s="20" t="s">
        <v>796</v>
      </c>
      <c r="Y145" s="20">
        <v>0.6</v>
      </c>
      <c r="Z145" s="20">
        <v>0.6</v>
      </c>
    </row>
    <row r="146" s="31" customFormat="1" customHeight="1" spans="1:26">
      <c r="A146" s="81"/>
      <c r="Y146" s="81"/>
      <c r="Z146" s="81"/>
    </row>
    <row r="147" customHeight="1" spans="1:26">
      <c r="A147" s="60" t="s">
        <v>347</v>
      </c>
      <c r="B147" s="20">
        <v>1992</v>
      </c>
      <c r="C147" s="62">
        <v>693</v>
      </c>
      <c r="D147" s="62">
        <v>713</v>
      </c>
      <c r="E147" s="62">
        <v>703.375</v>
      </c>
      <c r="F147" s="63">
        <v>11.23</v>
      </c>
      <c r="G147" s="63">
        <v>13.28</v>
      </c>
      <c r="H147" s="63">
        <v>12.1866666666667</v>
      </c>
      <c r="I147" s="63">
        <v>0.3</v>
      </c>
      <c r="J147" s="63">
        <v>0.3</v>
      </c>
      <c r="K147" s="63">
        <v>0.3</v>
      </c>
      <c r="L147" s="68">
        <v>0.483333333333333</v>
      </c>
      <c r="M147" s="68">
        <v>0.5</v>
      </c>
      <c r="N147" s="68">
        <v>0.494444444444444</v>
      </c>
      <c r="O147" s="63">
        <v>0.7</v>
      </c>
      <c r="P147" s="62">
        <v>98.64</v>
      </c>
      <c r="Q147" s="62">
        <v>100.33</v>
      </c>
      <c r="R147" s="62">
        <v>99.3833333333333</v>
      </c>
      <c r="S147" s="63">
        <v>101.42</v>
      </c>
      <c r="T147" s="63">
        <v>101.76</v>
      </c>
      <c r="U147" s="63">
        <v>101.59</v>
      </c>
      <c r="V147" s="63" t="s">
        <v>789</v>
      </c>
      <c r="W147" s="63" t="s">
        <v>790</v>
      </c>
      <c r="X147" s="63" t="s">
        <v>791</v>
      </c>
      <c r="Y147" s="20">
        <v>0.46</v>
      </c>
      <c r="Z147" s="20">
        <v>0.46</v>
      </c>
    </row>
    <row r="148" customHeight="1" spans="1:26">
      <c r="A148" s="60" t="s">
        <v>351</v>
      </c>
      <c r="B148" s="20">
        <v>1993</v>
      </c>
      <c r="C148" s="62">
        <v>693</v>
      </c>
      <c r="D148" s="62">
        <v>712</v>
      </c>
      <c r="E148" s="62">
        <v>703.9</v>
      </c>
      <c r="F148" s="63">
        <v>11.7</v>
      </c>
      <c r="G148" s="63">
        <v>12.53</v>
      </c>
      <c r="H148" s="63">
        <v>12.2433333333333</v>
      </c>
      <c r="I148" s="63">
        <v>0.3</v>
      </c>
      <c r="J148" s="63">
        <v>0.3</v>
      </c>
      <c r="K148" s="63">
        <v>0.3</v>
      </c>
      <c r="L148" s="68">
        <v>0.533333333333333</v>
      </c>
      <c r="M148" s="68">
        <v>0.616666666666667</v>
      </c>
      <c r="N148" s="68">
        <v>0.566666666666667</v>
      </c>
      <c r="O148" s="63">
        <v>0.8</v>
      </c>
      <c r="P148" s="62">
        <v>97.76</v>
      </c>
      <c r="Q148" s="62">
        <v>100.22</v>
      </c>
      <c r="R148" s="62">
        <v>99.04</v>
      </c>
      <c r="S148" s="63">
        <v>101.68</v>
      </c>
      <c r="T148" s="63">
        <v>101.79</v>
      </c>
      <c r="U148" s="63">
        <v>101.735</v>
      </c>
      <c r="V148" s="63" t="s">
        <v>789</v>
      </c>
      <c r="W148" s="63" t="s">
        <v>790</v>
      </c>
      <c r="X148" s="63" t="s">
        <v>791</v>
      </c>
      <c r="Y148" s="20">
        <v>0.46</v>
      </c>
      <c r="Z148" s="20">
        <v>0.46</v>
      </c>
    </row>
    <row r="149" customHeight="1" spans="1:26">
      <c r="A149" s="60" t="s">
        <v>352</v>
      </c>
      <c r="B149" s="20">
        <v>1992</v>
      </c>
      <c r="C149" s="62">
        <v>695</v>
      </c>
      <c r="D149" s="62">
        <v>710</v>
      </c>
      <c r="E149" s="62">
        <v>702.425</v>
      </c>
      <c r="F149" s="63">
        <v>11.43</v>
      </c>
      <c r="G149" s="63">
        <v>12.93</v>
      </c>
      <c r="H149" s="63">
        <v>11.98</v>
      </c>
      <c r="I149" s="63">
        <v>0.3</v>
      </c>
      <c r="J149" s="63">
        <v>0.3</v>
      </c>
      <c r="K149" s="63">
        <v>0.3</v>
      </c>
      <c r="L149" s="68">
        <v>0.5</v>
      </c>
      <c r="M149" s="68">
        <v>0.633333333333333</v>
      </c>
      <c r="N149" s="68">
        <v>0.55</v>
      </c>
      <c r="O149" s="63">
        <v>2.4</v>
      </c>
      <c r="P149" s="62">
        <v>90.78</v>
      </c>
      <c r="Q149" s="62">
        <v>95.83</v>
      </c>
      <c r="R149" s="62">
        <v>93.04</v>
      </c>
      <c r="S149" s="63">
        <v>103.25</v>
      </c>
      <c r="T149" s="63">
        <v>103.31</v>
      </c>
      <c r="U149" s="63">
        <v>103.28</v>
      </c>
      <c r="V149" s="63" t="s">
        <v>789</v>
      </c>
      <c r="W149" s="63" t="s">
        <v>790</v>
      </c>
      <c r="X149" s="63" t="s">
        <v>791</v>
      </c>
      <c r="Y149" s="20">
        <v>0.74</v>
      </c>
      <c r="Z149" s="20">
        <v>0.74</v>
      </c>
    </row>
    <row r="150" customHeight="1" spans="1:26">
      <c r="A150" s="60" t="s">
        <v>354</v>
      </c>
      <c r="B150" s="20">
        <v>1992</v>
      </c>
      <c r="C150" s="62">
        <v>693</v>
      </c>
      <c r="D150" s="62">
        <v>718</v>
      </c>
      <c r="E150" s="62">
        <v>703.833333333333</v>
      </c>
      <c r="F150" s="63">
        <v>12.9</v>
      </c>
      <c r="G150" s="63">
        <v>13.17</v>
      </c>
      <c r="H150" s="63">
        <v>13</v>
      </c>
      <c r="I150" s="63">
        <v>0.2</v>
      </c>
      <c r="J150" s="63">
        <v>0.3</v>
      </c>
      <c r="K150" s="63">
        <v>0.266666666666667</v>
      </c>
      <c r="L150" s="68">
        <v>0.466666666666667</v>
      </c>
      <c r="M150" s="68">
        <v>0.5</v>
      </c>
      <c r="N150" s="68">
        <v>0.477777777777778</v>
      </c>
      <c r="O150" s="63">
        <v>2.3</v>
      </c>
      <c r="P150" s="62">
        <v>93.82</v>
      </c>
      <c r="Q150" s="62">
        <v>95.45</v>
      </c>
      <c r="R150" s="62">
        <v>95.1033333333333</v>
      </c>
      <c r="S150" s="63">
        <v>103</v>
      </c>
      <c r="T150" s="63">
        <v>103.21</v>
      </c>
      <c r="U150" s="63">
        <v>103.105</v>
      </c>
      <c r="V150" s="63" t="s">
        <v>789</v>
      </c>
      <c r="W150" s="63" t="s">
        <v>790</v>
      </c>
      <c r="X150" s="63" t="s">
        <v>791</v>
      </c>
      <c r="Y150" s="20">
        <v>0.71</v>
      </c>
      <c r="Z150" s="20">
        <v>0.71</v>
      </c>
    </row>
    <row r="151" s="3" customFormat="1" customHeight="1" spans="1:26">
      <c r="A151" s="25" t="s">
        <v>357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="3" customFormat="1" customHeight="1" spans="1:26">
      <c r="A152" s="60" t="s">
        <v>361</v>
      </c>
      <c r="B152" s="20">
        <v>1990</v>
      </c>
      <c r="C152" s="62">
        <v>695</v>
      </c>
      <c r="D152" s="62">
        <v>714</v>
      </c>
      <c r="E152" s="62">
        <v>703.025</v>
      </c>
      <c r="F152" s="63">
        <v>12.78</v>
      </c>
      <c r="G152" s="63">
        <v>13.45</v>
      </c>
      <c r="H152" s="63">
        <v>13.07</v>
      </c>
      <c r="I152" s="63">
        <v>0.1</v>
      </c>
      <c r="J152" s="63">
        <v>0.2</v>
      </c>
      <c r="K152" s="63">
        <v>0.133333333333333</v>
      </c>
      <c r="L152" s="68">
        <v>0.433333333333333</v>
      </c>
      <c r="M152" s="68">
        <v>0.5</v>
      </c>
      <c r="N152" s="68">
        <v>0.466666666666667</v>
      </c>
      <c r="O152" s="63">
        <v>6.7</v>
      </c>
      <c r="P152" s="62">
        <v>96.49</v>
      </c>
      <c r="Q152" s="62">
        <v>100.8</v>
      </c>
      <c r="R152" s="62">
        <v>98.5816666666667</v>
      </c>
      <c r="S152" s="63">
        <v>107.29</v>
      </c>
      <c r="T152" s="63">
        <v>107.75</v>
      </c>
      <c r="U152" s="63">
        <v>107.52</v>
      </c>
      <c r="V152" s="63" t="s">
        <v>789</v>
      </c>
      <c r="W152" s="63" t="s">
        <v>790</v>
      </c>
      <c r="X152" s="63" t="s">
        <v>791</v>
      </c>
      <c r="Y152" s="25"/>
      <c r="Z152" s="25"/>
    </row>
    <row r="153" s="3" customFormat="1" customHeight="1" spans="1:26">
      <c r="A153" s="60" t="s">
        <v>367</v>
      </c>
      <c r="B153" s="20">
        <v>1989</v>
      </c>
      <c r="C153" s="62">
        <v>689</v>
      </c>
      <c r="D153" s="62">
        <v>717</v>
      </c>
      <c r="E153" s="62">
        <v>702.25</v>
      </c>
      <c r="F153" s="63">
        <v>11.1</v>
      </c>
      <c r="G153" s="63">
        <v>11.5</v>
      </c>
      <c r="H153" s="63">
        <v>11.3</v>
      </c>
      <c r="I153" s="63">
        <v>0.3</v>
      </c>
      <c r="J153" s="63">
        <v>0.3</v>
      </c>
      <c r="K153" s="63">
        <v>0.3</v>
      </c>
      <c r="L153" s="68">
        <v>0.483333333333333</v>
      </c>
      <c r="M153" s="68">
        <v>0.516666666666667</v>
      </c>
      <c r="N153" s="68">
        <v>0.5</v>
      </c>
      <c r="O153" s="63">
        <v>6.9</v>
      </c>
      <c r="P153" s="62">
        <v>93.03</v>
      </c>
      <c r="Q153" s="62">
        <v>97.17</v>
      </c>
      <c r="R153" s="62">
        <v>95.7283333333333</v>
      </c>
      <c r="S153" s="63">
        <v>107.67</v>
      </c>
      <c r="T153" s="63">
        <v>107.72</v>
      </c>
      <c r="U153" s="63">
        <v>107.695</v>
      </c>
      <c r="V153" s="63" t="s">
        <v>789</v>
      </c>
      <c r="W153" s="63" t="s">
        <v>790</v>
      </c>
      <c r="X153" s="63" t="s">
        <v>791</v>
      </c>
      <c r="Y153" s="25">
        <v>0.63</v>
      </c>
      <c r="Z153" s="25">
        <v>0.63</v>
      </c>
    </row>
    <row r="154" s="3" customFormat="1" customHeight="1" spans="1:26">
      <c r="A154" s="60" t="s">
        <v>369</v>
      </c>
      <c r="B154" s="20">
        <v>1991</v>
      </c>
      <c r="C154" s="62">
        <v>697</v>
      </c>
      <c r="D154" s="62">
        <v>716</v>
      </c>
      <c r="E154" s="62">
        <v>706.45</v>
      </c>
      <c r="F154" s="63">
        <v>12.25</v>
      </c>
      <c r="G154" s="63">
        <v>12.78</v>
      </c>
      <c r="H154" s="63">
        <v>12.4766666666667</v>
      </c>
      <c r="I154" s="63">
        <v>0.1</v>
      </c>
      <c r="J154" s="63">
        <v>0.2</v>
      </c>
      <c r="K154" s="63">
        <v>0.133333333333333</v>
      </c>
      <c r="L154" s="68">
        <v>0.466666666666667</v>
      </c>
      <c r="M154" s="68">
        <v>0.5</v>
      </c>
      <c r="N154" s="68">
        <v>0.483333333333333</v>
      </c>
      <c r="O154" s="63">
        <v>0.7</v>
      </c>
      <c r="P154" s="62">
        <v>99.96</v>
      </c>
      <c r="Q154" s="62">
        <v>100.23</v>
      </c>
      <c r="R154" s="62">
        <v>100.066666666667</v>
      </c>
      <c r="S154" s="63">
        <v>101.85</v>
      </c>
      <c r="T154" s="63">
        <v>101.91</v>
      </c>
      <c r="U154" s="63">
        <v>101.88</v>
      </c>
      <c r="V154" s="63" t="s">
        <v>789</v>
      </c>
      <c r="W154" s="63" t="s">
        <v>790</v>
      </c>
      <c r="X154" s="63" t="s">
        <v>791</v>
      </c>
      <c r="Y154" s="25">
        <v>0.57</v>
      </c>
      <c r="Z154" s="25">
        <v>0.57</v>
      </c>
    </row>
    <row r="155" s="3" customFormat="1" customHeight="1" spans="1:26">
      <c r="A155" s="60" t="s">
        <v>518</v>
      </c>
      <c r="B155" s="20">
        <v>1988</v>
      </c>
      <c r="C155" s="62">
        <v>687</v>
      </c>
      <c r="D155" s="62">
        <v>713</v>
      </c>
      <c r="E155" s="62">
        <v>701.4</v>
      </c>
      <c r="F155" s="63">
        <v>11.35</v>
      </c>
      <c r="G155" s="63">
        <v>12.88</v>
      </c>
      <c r="H155" s="63">
        <v>12.3533333333333</v>
      </c>
      <c r="I155" s="63">
        <v>0</v>
      </c>
      <c r="J155" s="63">
        <v>0.1</v>
      </c>
      <c r="K155" s="63">
        <v>0.0333333333333333</v>
      </c>
      <c r="L155" s="68">
        <v>0.416666666666667</v>
      </c>
      <c r="M155" s="68">
        <v>0.45</v>
      </c>
      <c r="N155" s="68">
        <v>0.438888888888889</v>
      </c>
      <c r="O155" s="63">
        <v>2.3</v>
      </c>
      <c r="P155" s="62">
        <v>99.9</v>
      </c>
      <c r="Q155" s="62">
        <v>100.31</v>
      </c>
      <c r="R155" s="62">
        <v>100.2</v>
      </c>
      <c r="S155" s="63">
        <v>102.67</v>
      </c>
      <c r="T155" s="63">
        <v>102.72</v>
      </c>
      <c r="U155" s="63">
        <v>102.695</v>
      </c>
      <c r="V155" s="63" t="s">
        <v>789</v>
      </c>
      <c r="W155" s="63" t="s">
        <v>790</v>
      </c>
      <c r="X155" s="63" t="s">
        <v>791</v>
      </c>
      <c r="Y155" s="25">
        <v>0.59</v>
      </c>
      <c r="Z155" s="25">
        <v>0.59</v>
      </c>
    </row>
    <row r="156" s="3" customFormat="1" customHeight="1" spans="1:26">
      <c r="A156" s="60" t="s">
        <v>375</v>
      </c>
      <c r="B156" s="20">
        <v>1991</v>
      </c>
      <c r="C156" s="62">
        <v>694</v>
      </c>
      <c r="D156" s="62">
        <v>715</v>
      </c>
      <c r="E156" s="62">
        <v>702.525</v>
      </c>
      <c r="F156" s="63">
        <v>11.23</v>
      </c>
      <c r="G156" s="63">
        <v>12.4</v>
      </c>
      <c r="H156" s="63">
        <v>11.96</v>
      </c>
      <c r="I156" s="63">
        <v>0.1</v>
      </c>
      <c r="J156" s="63">
        <v>0.2</v>
      </c>
      <c r="K156" s="63">
        <v>0.166666666666667</v>
      </c>
      <c r="L156" s="68">
        <v>0.466666666666667</v>
      </c>
      <c r="M156" s="68">
        <v>0.5</v>
      </c>
      <c r="N156" s="68">
        <v>0.483333333333333</v>
      </c>
      <c r="O156" s="63">
        <v>2</v>
      </c>
      <c r="P156" s="62">
        <v>100.16</v>
      </c>
      <c r="Q156" s="62">
        <v>100.33</v>
      </c>
      <c r="R156" s="62">
        <v>100.248333333333</v>
      </c>
      <c r="S156" s="63">
        <v>102.54</v>
      </c>
      <c r="T156" s="63">
        <v>102.71</v>
      </c>
      <c r="U156" s="63">
        <v>102.625</v>
      </c>
      <c r="V156" s="63" t="s">
        <v>789</v>
      </c>
      <c r="W156" s="63" t="s">
        <v>790</v>
      </c>
      <c r="X156" s="63" t="s">
        <v>791</v>
      </c>
      <c r="Y156" s="82">
        <v>0.6</v>
      </c>
      <c r="Z156" s="82">
        <v>0.6</v>
      </c>
    </row>
  </sheetData>
  <mergeCells count="82">
    <mergeCell ref="A1:Z1"/>
    <mergeCell ref="C3:E3"/>
    <mergeCell ref="F3:H3"/>
    <mergeCell ref="I3:K3"/>
    <mergeCell ref="L3:N3"/>
    <mergeCell ref="P3:R3"/>
    <mergeCell ref="S3:U3"/>
    <mergeCell ref="V3:X3"/>
    <mergeCell ref="Y3:Z3"/>
    <mergeCell ref="C6:E6"/>
    <mergeCell ref="F6:H6"/>
    <mergeCell ref="I6:K6"/>
    <mergeCell ref="L6:N6"/>
    <mergeCell ref="P6:R6"/>
    <mergeCell ref="S6:U6"/>
    <mergeCell ref="C7:E7"/>
    <mergeCell ref="F7:H7"/>
    <mergeCell ref="I7:K7"/>
    <mergeCell ref="L7:N7"/>
    <mergeCell ref="P7:R7"/>
    <mergeCell ref="S7:U7"/>
    <mergeCell ref="C8:E8"/>
    <mergeCell ref="F8:H8"/>
    <mergeCell ref="I8:K8"/>
    <mergeCell ref="L8:N8"/>
    <mergeCell ref="P8:R8"/>
    <mergeCell ref="S8:U8"/>
    <mergeCell ref="C9:E9"/>
    <mergeCell ref="F9:H9"/>
    <mergeCell ref="I9:K9"/>
    <mergeCell ref="L9:N9"/>
    <mergeCell ref="P9:R9"/>
    <mergeCell ref="S9:U9"/>
    <mergeCell ref="C10:E10"/>
    <mergeCell ref="F10:H10"/>
    <mergeCell ref="I10:K10"/>
    <mergeCell ref="L10:N10"/>
    <mergeCell ref="P10:R10"/>
    <mergeCell ref="S10:U10"/>
    <mergeCell ref="C11:E11"/>
    <mergeCell ref="F11:H11"/>
    <mergeCell ref="I11:K11"/>
    <mergeCell ref="L11:N11"/>
    <mergeCell ref="P11:R11"/>
    <mergeCell ref="S11:U11"/>
    <mergeCell ref="A14:Z14"/>
    <mergeCell ref="A18:B18"/>
    <mergeCell ref="C18:Z18"/>
    <mergeCell ref="C19:E19"/>
    <mergeCell ref="F19:H19"/>
    <mergeCell ref="I19:K19"/>
    <mergeCell ref="L19:N19"/>
    <mergeCell ref="S19:U19"/>
    <mergeCell ref="V19:X19"/>
    <mergeCell ref="S20:U20"/>
    <mergeCell ref="P21:R21"/>
    <mergeCell ref="S21:U21"/>
    <mergeCell ref="V21:W21"/>
    <mergeCell ref="Y21:Z21"/>
    <mergeCell ref="A3:A5"/>
    <mergeCell ref="A19:A22"/>
    <mergeCell ref="B4:B5"/>
    <mergeCell ref="B19:B20"/>
    <mergeCell ref="B21:B22"/>
    <mergeCell ref="O4:O5"/>
    <mergeCell ref="O19:O20"/>
    <mergeCell ref="X21:X22"/>
    <mergeCell ref="Y4:Y5"/>
    <mergeCell ref="Y19:Y20"/>
    <mergeCell ref="Z4:Z5"/>
    <mergeCell ref="Z19:Z20"/>
    <mergeCell ref="C4:E5"/>
    <mergeCell ref="F4:H5"/>
    <mergeCell ref="I4:K5"/>
    <mergeCell ref="L4:N5"/>
    <mergeCell ref="P4:R5"/>
    <mergeCell ref="S4:U5"/>
    <mergeCell ref="P19:R20"/>
    <mergeCell ref="C20:E21"/>
    <mergeCell ref="F20:H21"/>
    <mergeCell ref="I20:K21"/>
    <mergeCell ref="L20:N21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zoomScale="90" zoomScaleNormal="90" workbookViewId="0">
      <pane xSplit="1" ySplit="7" topLeftCell="D117" activePane="bottomRight" state="frozen"/>
      <selection/>
      <selection pane="topRight"/>
      <selection pane="bottomLeft"/>
      <selection pane="bottomRight" activeCell="J103" sqref="J103"/>
    </sheetView>
  </sheetViews>
  <sheetFormatPr defaultColWidth="9.10185185185185" defaultRowHeight="15" customHeight="1"/>
  <cols>
    <col min="1" max="2" width="10" style="3" customWidth="1"/>
    <col min="3" max="3" width="16.6666666666667" style="3" customWidth="1"/>
    <col min="4" max="4" width="17.3333333333333" style="3" customWidth="1"/>
    <col min="5" max="5" width="9.10185185185185" style="3" customWidth="1"/>
    <col min="6" max="6" width="5.33333333333333" style="3" customWidth="1"/>
    <col min="7" max="7" width="9.28703703703704" style="3" customWidth="1"/>
    <col min="8" max="16" width="5.88888888888889" style="4" customWidth="1"/>
    <col min="17" max="17" width="7.55555555555556" style="3" customWidth="1"/>
    <col min="18" max="16384" width="9.10185185185185" style="3"/>
  </cols>
  <sheetData>
    <row r="1" customHeight="1" spans="1:16">
      <c r="A1" s="5" t="s">
        <v>376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1" customHeight="1" spans="1:16">
      <c r="A3" s="6" t="s">
        <v>120</v>
      </c>
      <c r="B3" s="7" t="s">
        <v>121</v>
      </c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27"/>
    </row>
    <row r="4" customFormat="1" customHeight="1" spans="1:16">
      <c r="A4" s="6" t="s">
        <v>122</v>
      </c>
      <c r="B4" s="7" t="s">
        <v>377</v>
      </c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27"/>
    </row>
    <row r="5" customHeight="1" spans="1:16">
      <c r="A5" s="8" t="s">
        <v>380</v>
      </c>
      <c r="B5" s="9" t="s">
        <v>797</v>
      </c>
      <c r="C5" s="10"/>
      <c r="D5" s="8" t="s">
        <v>798</v>
      </c>
      <c r="E5" s="11" t="s">
        <v>799</v>
      </c>
      <c r="F5" s="12" t="s">
        <v>800</v>
      </c>
      <c r="G5" s="13"/>
      <c r="H5" s="14" t="s">
        <v>801</v>
      </c>
      <c r="I5" s="12"/>
      <c r="J5" s="13"/>
      <c r="K5" s="14" t="s">
        <v>802</v>
      </c>
      <c r="L5" s="12"/>
      <c r="M5" s="13"/>
      <c r="N5" s="14" t="s">
        <v>803</v>
      </c>
      <c r="O5" s="12"/>
      <c r="P5" s="13"/>
    </row>
    <row r="6" ht="30" customHeight="1" spans="1:16">
      <c r="A6" s="15"/>
      <c r="B6" s="15" t="s">
        <v>804</v>
      </c>
      <c r="C6" s="9" t="s">
        <v>805</v>
      </c>
      <c r="D6" s="16"/>
      <c r="E6" s="17"/>
      <c r="F6" s="12" t="s">
        <v>806</v>
      </c>
      <c r="G6" s="18" t="s">
        <v>807</v>
      </c>
      <c r="H6" s="14" t="s">
        <v>808</v>
      </c>
      <c r="I6" s="12"/>
      <c r="J6" s="12"/>
      <c r="K6" s="14" t="s">
        <v>809</v>
      </c>
      <c r="L6" s="12"/>
      <c r="M6" s="12"/>
      <c r="N6" s="14" t="s">
        <v>810</v>
      </c>
      <c r="O6" s="12"/>
      <c r="P6" s="13"/>
    </row>
    <row r="7" ht="45.75" customHeight="1" spans="1:16">
      <c r="A7" s="16"/>
      <c r="B7" s="16"/>
      <c r="C7" s="16" t="s">
        <v>811</v>
      </c>
      <c r="D7" s="19" t="s">
        <v>811</v>
      </c>
      <c r="E7" s="18" t="s">
        <v>812</v>
      </c>
      <c r="F7" s="17" t="s">
        <v>813</v>
      </c>
      <c r="G7" s="17" t="s">
        <v>814</v>
      </c>
      <c r="H7" s="17" t="s">
        <v>764</v>
      </c>
      <c r="I7" s="17" t="s">
        <v>765</v>
      </c>
      <c r="J7" s="17" t="s">
        <v>783</v>
      </c>
      <c r="K7" s="17" t="s">
        <v>764</v>
      </c>
      <c r="L7" s="17" t="s">
        <v>765</v>
      </c>
      <c r="M7" s="17" t="s">
        <v>783</v>
      </c>
      <c r="N7" s="17" t="s">
        <v>764</v>
      </c>
      <c r="O7" s="17" t="s">
        <v>765</v>
      </c>
      <c r="P7" s="17" t="s">
        <v>783</v>
      </c>
    </row>
    <row r="8" customHeight="1" spans="1:16">
      <c r="A8" s="20" t="s">
        <v>397</v>
      </c>
      <c r="B8" s="20" t="s">
        <v>815</v>
      </c>
      <c r="C8" s="20" t="s">
        <v>811</v>
      </c>
      <c r="D8" s="20" t="s">
        <v>811</v>
      </c>
      <c r="E8" s="20" t="s">
        <v>812</v>
      </c>
      <c r="F8" s="20" t="s">
        <v>813</v>
      </c>
      <c r="G8" s="20" t="s">
        <v>814</v>
      </c>
      <c r="H8" s="21">
        <v>17.6</v>
      </c>
      <c r="I8" s="21">
        <v>17.6</v>
      </c>
      <c r="J8" s="21">
        <v>17.6</v>
      </c>
      <c r="K8" s="21">
        <v>8.6</v>
      </c>
      <c r="L8" s="21">
        <v>8.6</v>
      </c>
      <c r="M8" s="21">
        <v>8.6</v>
      </c>
      <c r="N8" s="21">
        <v>6</v>
      </c>
      <c r="O8" s="21">
        <v>6</v>
      </c>
      <c r="P8" s="21">
        <v>6</v>
      </c>
    </row>
    <row r="9" customHeight="1" spans="1:16">
      <c r="A9" s="20" t="s">
        <v>406</v>
      </c>
      <c r="B9" s="20" t="s">
        <v>815</v>
      </c>
      <c r="C9" s="20" t="s">
        <v>811</v>
      </c>
      <c r="D9" s="20" t="s">
        <v>811</v>
      </c>
      <c r="E9" s="20" t="s">
        <v>812</v>
      </c>
      <c r="F9" s="20" t="s">
        <v>813</v>
      </c>
      <c r="G9" s="20" t="s">
        <v>814</v>
      </c>
      <c r="H9" s="21">
        <v>17.6</v>
      </c>
      <c r="I9" s="21">
        <v>17.6</v>
      </c>
      <c r="J9" s="21">
        <v>17.6</v>
      </c>
      <c r="K9" s="21">
        <v>8.6</v>
      </c>
      <c r="L9" s="21">
        <v>8.6</v>
      </c>
      <c r="M9" s="21">
        <v>8.6</v>
      </c>
      <c r="N9" s="21">
        <v>5.9</v>
      </c>
      <c r="O9" s="21">
        <v>5.9</v>
      </c>
      <c r="P9" s="21">
        <v>5.9</v>
      </c>
    </row>
    <row r="10" customHeight="1" spans="1:16">
      <c r="A10" s="20" t="s">
        <v>407</v>
      </c>
      <c r="B10" s="20" t="s">
        <v>815</v>
      </c>
      <c r="C10" s="20" t="s">
        <v>811</v>
      </c>
      <c r="D10" s="20" t="s">
        <v>811</v>
      </c>
      <c r="E10" s="20" t="s">
        <v>812</v>
      </c>
      <c r="F10" s="20" t="s">
        <v>813</v>
      </c>
      <c r="G10" s="20" t="s">
        <v>814</v>
      </c>
      <c r="H10" s="21">
        <v>18.1</v>
      </c>
      <c r="I10" s="21">
        <v>18.1</v>
      </c>
      <c r="J10" s="21">
        <v>18.1</v>
      </c>
      <c r="K10" s="21">
        <v>8.8</v>
      </c>
      <c r="L10" s="21">
        <v>8.8</v>
      </c>
      <c r="M10" s="21">
        <v>8.8</v>
      </c>
      <c r="N10" s="21">
        <v>5.7</v>
      </c>
      <c r="O10" s="21">
        <v>5.7</v>
      </c>
      <c r="P10" s="21">
        <v>5.7</v>
      </c>
    </row>
    <row r="11" customHeight="1" spans="1:16">
      <c r="A11" s="20" t="s">
        <v>408</v>
      </c>
      <c r="B11" s="20" t="s">
        <v>815</v>
      </c>
      <c r="C11" s="20" t="s">
        <v>811</v>
      </c>
      <c r="D11" s="20" t="s">
        <v>811</v>
      </c>
      <c r="E11" s="20" t="s">
        <v>812</v>
      </c>
      <c r="F11" s="20" t="s">
        <v>813</v>
      </c>
      <c r="G11" s="20" t="s">
        <v>814</v>
      </c>
      <c r="H11" s="21">
        <v>17.6</v>
      </c>
      <c r="I11" s="21">
        <v>17.6</v>
      </c>
      <c r="J11" s="21">
        <v>17.6</v>
      </c>
      <c r="K11" s="21">
        <v>8.6</v>
      </c>
      <c r="L11" s="21">
        <v>8.6</v>
      </c>
      <c r="M11" s="21">
        <v>8.6</v>
      </c>
      <c r="N11" s="21">
        <v>5.9</v>
      </c>
      <c r="O11" s="21">
        <v>5.9</v>
      </c>
      <c r="P11" s="21">
        <v>5.9</v>
      </c>
    </row>
    <row r="12" customHeight="1" spans="1:16">
      <c r="A12" s="20" t="s">
        <v>409</v>
      </c>
      <c r="B12" s="20" t="s">
        <v>815</v>
      </c>
      <c r="C12" s="20" t="s">
        <v>811</v>
      </c>
      <c r="D12" s="20" t="s">
        <v>811</v>
      </c>
      <c r="E12" s="20" t="s">
        <v>812</v>
      </c>
      <c r="F12" s="20" t="s">
        <v>813</v>
      </c>
      <c r="G12" s="20" t="s">
        <v>814</v>
      </c>
      <c r="H12" s="21">
        <v>18.1</v>
      </c>
      <c r="I12" s="21">
        <v>18.1</v>
      </c>
      <c r="J12" s="21">
        <v>18.1</v>
      </c>
      <c r="K12" s="21">
        <v>8.8</v>
      </c>
      <c r="L12" s="21">
        <v>8.8</v>
      </c>
      <c r="M12" s="21">
        <v>8.8</v>
      </c>
      <c r="N12" s="21">
        <v>5.7</v>
      </c>
      <c r="O12" s="21">
        <v>5.7</v>
      </c>
      <c r="P12" s="21">
        <v>5.7</v>
      </c>
    </row>
    <row r="13" customHeight="1" spans="1:16">
      <c r="A13" s="20" t="s">
        <v>11</v>
      </c>
      <c r="B13" s="20" t="s">
        <v>815</v>
      </c>
      <c r="C13" s="20" t="s">
        <v>811</v>
      </c>
      <c r="D13" s="20" t="s">
        <v>811</v>
      </c>
      <c r="E13" s="20" t="s">
        <v>812</v>
      </c>
      <c r="F13" s="20" t="s">
        <v>813</v>
      </c>
      <c r="G13" s="20" t="s">
        <v>814</v>
      </c>
      <c r="H13" s="21">
        <v>17.6</v>
      </c>
      <c r="I13" s="21">
        <v>17.6</v>
      </c>
      <c r="J13" s="21">
        <v>17.6</v>
      </c>
      <c r="K13" s="21">
        <v>8.5</v>
      </c>
      <c r="L13" s="21">
        <v>8.5</v>
      </c>
      <c r="M13" s="21">
        <v>8.5</v>
      </c>
      <c r="N13" s="21">
        <v>5.9</v>
      </c>
      <c r="O13" s="21">
        <v>6</v>
      </c>
      <c r="P13" s="21">
        <v>5.966</v>
      </c>
    </row>
    <row r="14" customHeight="1" spans="1:16">
      <c r="A14" s="20" t="s">
        <v>24</v>
      </c>
      <c r="B14" s="20" t="s">
        <v>815</v>
      </c>
      <c r="C14" s="20" t="s">
        <v>811</v>
      </c>
      <c r="D14" s="20" t="s">
        <v>811</v>
      </c>
      <c r="E14" s="20" t="s">
        <v>812</v>
      </c>
      <c r="F14" s="20" t="s">
        <v>813</v>
      </c>
      <c r="G14" s="20" t="s">
        <v>814</v>
      </c>
      <c r="H14" s="21">
        <v>17.6</v>
      </c>
      <c r="I14" s="21">
        <v>17.6</v>
      </c>
      <c r="J14" s="21">
        <v>17.6</v>
      </c>
      <c r="K14" s="21">
        <v>8.6</v>
      </c>
      <c r="L14" s="21">
        <v>8.6</v>
      </c>
      <c r="M14" s="21">
        <v>8.6</v>
      </c>
      <c r="N14" s="21">
        <v>5.9</v>
      </c>
      <c r="O14" s="21">
        <v>5.9</v>
      </c>
      <c r="P14" s="21">
        <v>5.9</v>
      </c>
    </row>
    <row r="15" customHeight="1" spans="1:16">
      <c r="A15" s="20" t="s">
        <v>34</v>
      </c>
      <c r="B15" s="20" t="s">
        <v>815</v>
      </c>
      <c r="C15" s="20" t="s">
        <v>811</v>
      </c>
      <c r="D15" s="20" t="s">
        <v>811</v>
      </c>
      <c r="E15" s="20" t="s">
        <v>812</v>
      </c>
      <c r="F15" s="20" t="s">
        <v>813</v>
      </c>
      <c r="G15" s="20" t="s">
        <v>814</v>
      </c>
      <c r="H15" s="21">
        <v>17.6</v>
      </c>
      <c r="I15" s="21">
        <v>17.6</v>
      </c>
      <c r="J15" s="21">
        <v>17.6</v>
      </c>
      <c r="K15" s="21">
        <v>8.6</v>
      </c>
      <c r="L15" s="21">
        <v>8.6</v>
      </c>
      <c r="M15" s="21">
        <v>8.6</v>
      </c>
      <c r="N15" s="21">
        <v>5.9</v>
      </c>
      <c r="O15" s="21">
        <v>5.9</v>
      </c>
      <c r="P15" s="21">
        <v>5.9</v>
      </c>
    </row>
    <row r="16" customHeight="1" spans="1:16">
      <c r="A16" s="20" t="s">
        <v>43</v>
      </c>
      <c r="B16" s="20" t="s">
        <v>815</v>
      </c>
      <c r="C16" s="20" t="s">
        <v>811</v>
      </c>
      <c r="D16" s="20" t="s">
        <v>811</v>
      </c>
      <c r="E16" s="20" t="s">
        <v>812</v>
      </c>
      <c r="F16" s="20" t="s">
        <v>813</v>
      </c>
      <c r="G16" s="20" t="s">
        <v>814</v>
      </c>
      <c r="H16" s="21">
        <v>17.6</v>
      </c>
      <c r="I16" s="21">
        <v>17.6</v>
      </c>
      <c r="J16" s="21">
        <v>17.6</v>
      </c>
      <c r="K16" s="21">
        <v>8.6</v>
      </c>
      <c r="L16" s="21">
        <v>8.6</v>
      </c>
      <c r="M16" s="21">
        <v>8.6</v>
      </c>
      <c r="N16" s="21">
        <v>5.9</v>
      </c>
      <c r="O16" s="21">
        <v>5.9</v>
      </c>
      <c r="P16" s="21">
        <v>5.9</v>
      </c>
    </row>
    <row r="17" customHeight="1" spans="1:16">
      <c r="A17" s="20" t="s">
        <v>52</v>
      </c>
      <c r="B17" s="20" t="s">
        <v>815</v>
      </c>
      <c r="C17" s="20" t="s">
        <v>811</v>
      </c>
      <c r="D17" s="20" t="s">
        <v>811</v>
      </c>
      <c r="E17" s="20" t="s">
        <v>812</v>
      </c>
      <c r="F17" s="20" t="s">
        <v>813</v>
      </c>
      <c r="G17" s="20" t="s">
        <v>814</v>
      </c>
      <c r="H17" s="21">
        <v>17.6</v>
      </c>
      <c r="I17" s="21">
        <v>17.6</v>
      </c>
      <c r="J17" s="21">
        <v>17.6</v>
      </c>
      <c r="K17" s="21">
        <v>8.6</v>
      </c>
      <c r="L17" s="21">
        <v>8.6</v>
      </c>
      <c r="M17" s="21">
        <v>8.6</v>
      </c>
      <c r="N17" s="21">
        <v>5.9</v>
      </c>
      <c r="O17" s="21">
        <v>5.9</v>
      </c>
      <c r="P17" s="21">
        <v>5.9</v>
      </c>
    </row>
    <row r="18" customHeight="1" spans="1:16">
      <c r="A18" s="20" t="s">
        <v>61</v>
      </c>
      <c r="B18" s="20" t="s">
        <v>815</v>
      </c>
      <c r="C18" s="20" t="s">
        <v>811</v>
      </c>
      <c r="D18" s="20" t="s">
        <v>811</v>
      </c>
      <c r="E18" s="20" t="s">
        <v>812</v>
      </c>
      <c r="F18" s="20" t="s">
        <v>813</v>
      </c>
      <c r="G18" s="20" t="s">
        <v>814</v>
      </c>
      <c r="H18" s="21">
        <v>18.1</v>
      </c>
      <c r="I18" s="21">
        <v>18.1</v>
      </c>
      <c r="J18" s="21">
        <v>18.1</v>
      </c>
      <c r="K18" s="21">
        <v>8.8</v>
      </c>
      <c r="L18" s="21">
        <v>8.8</v>
      </c>
      <c r="M18" s="21">
        <v>8.8</v>
      </c>
      <c r="N18" s="21">
        <v>5.7</v>
      </c>
      <c r="O18" s="21">
        <v>5.7</v>
      </c>
      <c r="P18" s="21">
        <v>5.7</v>
      </c>
    </row>
    <row r="19" customFormat="1" customHeight="1" spans="1:16">
      <c r="A19" s="20" t="s">
        <v>65</v>
      </c>
      <c r="B19" s="20" t="s">
        <v>815</v>
      </c>
      <c r="C19" s="20" t="s">
        <v>811</v>
      </c>
      <c r="D19" s="20" t="s">
        <v>811</v>
      </c>
      <c r="E19" s="20" t="s">
        <v>812</v>
      </c>
      <c r="F19" s="20" t="s">
        <v>813</v>
      </c>
      <c r="G19" s="20" t="s">
        <v>814</v>
      </c>
      <c r="H19" s="21">
        <v>17.6</v>
      </c>
      <c r="I19" s="21">
        <v>17.6</v>
      </c>
      <c r="J19" s="21">
        <v>17.6</v>
      </c>
      <c r="K19" s="21">
        <v>8.5</v>
      </c>
      <c r="L19" s="21">
        <v>8.5</v>
      </c>
      <c r="M19" s="21">
        <v>8.5</v>
      </c>
      <c r="N19" s="21">
        <v>5.9</v>
      </c>
      <c r="O19" s="21">
        <v>6</v>
      </c>
      <c r="P19" s="21">
        <v>5.966</v>
      </c>
    </row>
    <row r="20" customFormat="1" customHeight="1" spans="1:16">
      <c r="A20" s="20" t="s">
        <v>76</v>
      </c>
      <c r="B20" s="20" t="s">
        <v>815</v>
      </c>
      <c r="C20" s="20" t="s">
        <v>811</v>
      </c>
      <c r="D20" s="20" t="s">
        <v>811</v>
      </c>
      <c r="E20" s="20" t="s">
        <v>812</v>
      </c>
      <c r="F20" s="20" t="s">
        <v>813</v>
      </c>
      <c r="G20" s="20" t="s">
        <v>814</v>
      </c>
      <c r="H20" s="21">
        <v>18.1</v>
      </c>
      <c r="I20" s="21">
        <v>18.1</v>
      </c>
      <c r="J20" s="21">
        <v>18.1</v>
      </c>
      <c r="K20" s="21">
        <v>8.8</v>
      </c>
      <c r="L20" s="21">
        <v>8.8</v>
      </c>
      <c r="M20" s="21">
        <v>8.8</v>
      </c>
      <c r="N20" s="21">
        <v>5.7</v>
      </c>
      <c r="O20" s="21">
        <v>5.7</v>
      </c>
      <c r="P20" s="21">
        <v>5.7</v>
      </c>
    </row>
    <row r="21" customFormat="1" customHeight="1" spans="1:16">
      <c r="A21" s="20" t="s">
        <v>83</v>
      </c>
      <c r="B21" s="20" t="s">
        <v>815</v>
      </c>
      <c r="C21" s="20" t="s">
        <v>811</v>
      </c>
      <c r="D21" s="20" t="s">
        <v>811</v>
      </c>
      <c r="E21" s="20" t="s">
        <v>812</v>
      </c>
      <c r="F21" s="20" t="s">
        <v>813</v>
      </c>
      <c r="G21" s="20" t="s">
        <v>814</v>
      </c>
      <c r="H21" s="21">
        <v>17.6</v>
      </c>
      <c r="I21" s="21">
        <v>17.6</v>
      </c>
      <c r="J21" s="21">
        <v>17.6</v>
      </c>
      <c r="K21" s="21">
        <v>8.6</v>
      </c>
      <c r="L21" s="21">
        <v>8.6</v>
      </c>
      <c r="M21" s="21">
        <v>8.6</v>
      </c>
      <c r="N21" s="21">
        <v>5.9</v>
      </c>
      <c r="O21" s="21">
        <v>5.9</v>
      </c>
      <c r="P21" s="21">
        <v>5.9</v>
      </c>
    </row>
    <row r="22" customFormat="1" customHeight="1" spans="1:16">
      <c r="A22" s="20" t="s">
        <v>92</v>
      </c>
      <c r="B22" s="20" t="s">
        <v>815</v>
      </c>
      <c r="C22" s="20" t="s">
        <v>811</v>
      </c>
      <c r="D22" s="20" t="s">
        <v>811</v>
      </c>
      <c r="E22" s="20" t="s">
        <v>812</v>
      </c>
      <c r="F22" s="20" t="s">
        <v>813</v>
      </c>
      <c r="G22" s="20" t="s">
        <v>814</v>
      </c>
      <c r="H22" s="21">
        <v>17.6</v>
      </c>
      <c r="I22" s="21">
        <v>17.6</v>
      </c>
      <c r="J22" s="21">
        <v>17.6</v>
      </c>
      <c r="K22" s="21">
        <v>8.5</v>
      </c>
      <c r="L22" s="21">
        <v>8.6</v>
      </c>
      <c r="M22" s="21">
        <v>8.533</v>
      </c>
      <c r="N22" s="21">
        <v>6</v>
      </c>
      <c r="O22" s="21">
        <v>6</v>
      </c>
      <c r="P22" s="21">
        <v>6</v>
      </c>
    </row>
    <row r="23" customFormat="1" customHeight="1" spans="1:16">
      <c r="A23" s="20" t="s">
        <v>97</v>
      </c>
      <c r="B23" s="20" t="s">
        <v>815</v>
      </c>
      <c r="C23" s="20" t="s">
        <v>811</v>
      </c>
      <c r="D23" s="20" t="s">
        <v>811</v>
      </c>
      <c r="E23" s="20" t="s">
        <v>812</v>
      </c>
      <c r="F23" s="20" t="s">
        <v>813</v>
      </c>
      <c r="G23" s="20" t="s">
        <v>814</v>
      </c>
      <c r="H23" s="21">
        <v>18.1</v>
      </c>
      <c r="I23" s="21">
        <v>18.1</v>
      </c>
      <c r="J23" s="21">
        <v>18.1</v>
      </c>
      <c r="K23" s="21">
        <v>8.8</v>
      </c>
      <c r="L23" s="21">
        <v>8.8</v>
      </c>
      <c r="M23" s="21">
        <v>8.8</v>
      </c>
      <c r="N23" s="21">
        <v>5.7</v>
      </c>
      <c r="O23" s="21">
        <v>5.7</v>
      </c>
      <c r="P23" s="21">
        <v>5.7</v>
      </c>
    </row>
    <row r="24" s="1" customFormat="1" customHeight="1" spans="1:16">
      <c r="A24" s="22"/>
      <c r="B24" s="22"/>
      <c r="C24" s="22"/>
      <c r="D24" s="22"/>
      <c r="E24" s="22"/>
      <c r="F24" s="22"/>
      <c r="G24" s="22"/>
      <c r="H24" s="23"/>
      <c r="I24" s="23"/>
      <c r="J24" s="23"/>
      <c r="K24" s="23"/>
      <c r="L24" s="23"/>
      <c r="M24" s="23"/>
      <c r="N24" s="23"/>
      <c r="O24" s="23"/>
      <c r="P24" s="23"/>
    </row>
    <row r="25" customHeight="1" spans="1:16">
      <c r="A25" s="20" t="s">
        <v>104</v>
      </c>
      <c r="B25" s="20" t="s">
        <v>815</v>
      </c>
      <c r="C25" s="20" t="s">
        <v>811</v>
      </c>
      <c r="D25" s="20" t="s">
        <v>811</v>
      </c>
      <c r="E25" s="20" t="s">
        <v>812</v>
      </c>
      <c r="F25" s="20" t="s">
        <v>813</v>
      </c>
      <c r="G25" s="20" t="s">
        <v>814</v>
      </c>
      <c r="H25" s="21">
        <v>17.6</v>
      </c>
      <c r="I25" s="21">
        <v>17.6</v>
      </c>
      <c r="J25" s="21">
        <v>17.6</v>
      </c>
      <c r="K25" s="21">
        <v>8.6</v>
      </c>
      <c r="L25" s="21">
        <v>8.6</v>
      </c>
      <c r="M25" s="21">
        <v>8.6</v>
      </c>
      <c r="N25" s="21">
        <v>5.9</v>
      </c>
      <c r="O25" s="21">
        <v>5.9</v>
      </c>
      <c r="P25" s="21">
        <v>6</v>
      </c>
    </row>
    <row r="26" customHeight="1" spans="1:16">
      <c r="A26" s="20" t="s">
        <v>110</v>
      </c>
      <c r="B26" s="20" t="s">
        <v>815</v>
      </c>
      <c r="C26" s="20" t="s">
        <v>811</v>
      </c>
      <c r="D26" s="20" t="s">
        <v>811</v>
      </c>
      <c r="E26" s="20" t="s">
        <v>812</v>
      </c>
      <c r="F26" s="20" t="s">
        <v>813</v>
      </c>
      <c r="G26" s="20" t="s">
        <v>814</v>
      </c>
      <c r="H26" s="21">
        <v>18.1</v>
      </c>
      <c r="I26" s="21">
        <v>18.1</v>
      </c>
      <c r="J26" s="21">
        <v>18.1</v>
      </c>
      <c r="K26" s="21">
        <v>8.8</v>
      </c>
      <c r="L26" s="21">
        <v>8.8</v>
      </c>
      <c r="M26" s="21">
        <v>8.8</v>
      </c>
      <c r="N26" s="21">
        <v>5.7</v>
      </c>
      <c r="O26" s="21">
        <v>5.7</v>
      </c>
      <c r="P26" s="21">
        <v>5.7</v>
      </c>
    </row>
    <row r="27" s="1" customFormat="1" customHeight="1" spans="1:16">
      <c r="A27" s="22"/>
      <c r="B27" s="22"/>
      <c r="C27" s="22"/>
      <c r="D27" s="22"/>
      <c r="E27" s="22"/>
      <c r="F27" s="22"/>
      <c r="G27" s="22"/>
      <c r="H27" s="23"/>
      <c r="I27" s="23"/>
      <c r="J27" s="23"/>
      <c r="K27" s="23"/>
      <c r="L27" s="23"/>
      <c r="M27" s="23"/>
      <c r="N27" s="23"/>
      <c r="O27" s="23"/>
      <c r="P27" s="23"/>
    </row>
    <row r="28" customHeight="1" spans="1:16">
      <c r="A28" s="20" t="s">
        <v>114</v>
      </c>
      <c r="B28" s="20" t="s">
        <v>815</v>
      </c>
      <c r="C28" s="20" t="s">
        <v>811</v>
      </c>
      <c r="D28" s="20" t="s">
        <v>811</v>
      </c>
      <c r="E28" s="20" t="s">
        <v>812</v>
      </c>
      <c r="F28" s="20" t="s">
        <v>813</v>
      </c>
      <c r="G28" s="20" t="s">
        <v>814</v>
      </c>
      <c r="H28" s="21">
        <v>17.6</v>
      </c>
      <c r="I28" s="21">
        <v>17.6</v>
      </c>
      <c r="J28" s="21">
        <v>17.6</v>
      </c>
      <c r="K28" s="21">
        <v>8.6</v>
      </c>
      <c r="L28" s="21">
        <v>8.6</v>
      </c>
      <c r="M28" s="21">
        <v>8.6</v>
      </c>
      <c r="N28" s="21">
        <v>6</v>
      </c>
      <c r="O28" s="21">
        <v>6</v>
      </c>
      <c r="P28" s="21">
        <v>6</v>
      </c>
    </row>
    <row r="29" s="1" customFormat="1" customHeight="1" spans="1:16">
      <c r="A29" s="22"/>
      <c r="B29" s="22"/>
      <c r="C29" s="22"/>
      <c r="D29" s="22"/>
      <c r="E29" s="22"/>
      <c r="F29" s="22"/>
      <c r="G29" s="22"/>
      <c r="H29" s="23"/>
      <c r="I29" s="23"/>
      <c r="J29" s="23"/>
      <c r="K29" s="23"/>
      <c r="L29" s="23"/>
      <c r="M29" s="23"/>
      <c r="N29" s="23"/>
      <c r="O29" s="23"/>
      <c r="P29" s="23"/>
    </row>
    <row r="30" customHeight="1" spans="1:16">
      <c r="A30" s="20" t="s">
        <v>124</v>
      </c>
      <c r="B30" s="20" t="s">
        <v>815</v>
      </c>
      <c r="C30" s="20" t="s">
        <v>811</v>
      </c>
      <c r="D30" s="20" t="s">
        <v>811</v>
      </c>
      <c r="E30" s="20" t="s">
        <v>812</v>
      </c>
      <c r="F30" s="20" t="s">
        <v>813</v>
      </c>
      <c r="G30" s="20" t="s">
        <v>814</v>
      </c>
      <c r="H30" s="21">
        <v>17.6</v>
      </c>
      <c r="I30" s="21">
        <v>17.6</v>
      </c>
      <c r="J30" s="21">
        <v>17.6</v>
      </c>
      <c r="K30" s="21">
        <v>8.6</v>
      </c>
      <c r="L30" s="21">
        <v>8.6</v>
      </c>
      <c r="M30" s="21">
        <v>8.6</v>
      </c>
      <c r="N30" s="21">
        <v>6</v>
      </c>
      <c r="O30" s="21">
        <v>6</v>
      </c>
      <c r="P30" s="21">
        <v>6</v>
      </c>
    </row>
    <row r="31" customHeight="1" spans="1:16">
      <c r="A31" s="20" t="s">
        <v>127</v>
      </c>
      <c r="B31" s="20" t="s">
        <v>815</v>
      </c>
      <c r="C31" s="20" t="s">
        <v>811</v>
      </c>
      <c r="D31" s="20" t="s">
        <v>811</v>
      </c>
      <c r="E31" s="20" t="s">
        <v>812</v>
      </c>
      <c r="F31" s="20" t="s">
        <v>813</v>
      </c>
      <c r="G31" s="20" t="s">
        <v>814</v>
      </c>
      <c r="H31" s="21">
        <v>17.6</v>
      </c>
      <c r="I31" s="21">
        <v>17.6</v>
      </c>
      <c r="J31" s="21">
        <v>17.6</v>
      </c>
      <c r="K31" s="21">
        <v>8.6</v>
      </c>
      <c r="L31" s="21">
        <v>8.6</v>
      </c>
      <c r="M31" s="21">
        <v>8.6</v>
      </c>
      <c r="N31" s="21">
        <v>6</v>
      </c>
      <c r="O31" s="21">
        <v>6</v>
      </c>
      <c r="P31" s="21">
        <v>6</v>
      </c>
    </row>
    <row r="32" customHeight="1" spans="1:16">
      <c r="A32" s="20" t="s">
        <v>131</v>
      </c>
      <c r="B32" s="20" t="s">
        <v>815</v>
      </c>
      <c r="C32" s="20" t="s">
        <v>811</v>
      </c>
      <c r="D32" s="20" t="s">
        <v>811</v>
      </c>
      <c r="E32" s="20" t="s">
        <v>812</v>
      </c>
      <c r="F32" s="20" t="s">
        <v>813</v>
      </c>
      <c r="G32" s="20" t="s">
        <v>814</v>
      </c>
      <c r="H32" s="21">
        <v>17.6</v>
      </c>
      <c r="I32" s="21">
        <v>17.6</v>
      </c>
      <c r="J32" s="21">
        <v>17.6</v>
      </c>
      <c r="K32" s="21">
        <v>8.6</v>
      </c>
      <c r="L32" s="21">
        <v>8.6</v>
      </c>
      <c r="M32" s="21">
        <v>8.6</v>
      </c>
      <c r="N32" s="21">
        <v>5.9</v>
      </c>
      <c r="O32" s="21">
        <v>6</v>
      </c>
      <c r="P32" s="21">
        <v>5.966</v>
      </c>
    </row>
    <row r="33" customHeight="1" spans="1:16">
      <c r="A33" s="20" t="s">
        <v>138</v>
      </c>
      <c r="B33" s="20" t="s">
        <v>815</v>
      </c>
      <c r="C33" s="20" t="s">
        <v>811</v>
      </c>
      <c r="D33" s="20" t="s">
        <v>811</v>
      </c>
      <c r="E33" s="20" t="s">
        <v>812</v>
      </c>
      <c r="F33" s="20" t="s">
        <v>813</v>
      </c>
      <c r="G33" s="20" t="s">
        <v>814</v>
      </c>
      <c r="H33" s="21">
        <v>17.6</v>
      </c>
      <c r="I33" s="21">
        <v>17.6</v>
      </c>
      <c r="J33" s="21">
        <v>17.6</v>
      </c>
      <c r="K33" s="21">
        <v>8.6</v>
      </c>
      <c r="L33" s="21">
        <v>8.6</v>
      </c>
      <c r="M33" s="21">
        <v>8.6</v>
      </c>
      <c r="N33" s="21">
        <v>6</v>
      </c>
      <c r="O33" s="21">
        <v>6</v>
      </c>
      <c r="P33" s="21">
        <v>6</v>
      </c>
    </row>
    <row r="34" customHeight="1" spans="1:16">
      <c r="A34" s="20" t="s">
        <v>140</v>
      </c>
      <c r="B34" s="20" t="s">
        <v>815</v>
      </c>
      <c r="C34" s="20" t="s">
        <v>811</v>
      </c>
      <c r="D34" s="20" t="s">
        <v>811</v>
      </c>
      <c r="E34" s="20" t="s">
        <v>812</v>
      </c>
      <c r="F34" s="20" t="s">
        <v>813</v>
      </c>
      <c r="G34" s="20" t="s">
        <v>814</v>
      </c>
      <c r="H34" s="21">
        <v>17.6</v>
      </c>
      <c r="I34" s="21">
        <v>17.6</v>
      </c>
      <c r="J34" s="21">
        <v>17.6</v>
      </c>
      <c r="K34" s="21">
        <v>8.6</v>
      </c>
      <c r="L34" s="21">
        <v>8.6</v>
      </c>
      <c r="M34" s="21">
        <v>8.6</v>
      </c>
      <c r="N34" s="21">
        <v>6</v>
      </c>
      <c r="O34" s="21">
        <v>6</v>
      </c>
      <c r="P34" s="21">
        <v>6</v>
      </c>
    </row>
    <row r="35" customHeight="1" spans="1:16">
      <c r="A35" s="20" t="s">
        <v>144</v>
      </c>
      <c r="B35" s="20" t="s">
        <v>815</v>
      </c>
      <c r="C35" s="20" t="s">
        <v>811</v>
      </c>
      <c r="D35" s="20" t="s">
        <v>811</v>
      </c>
      <c r="E35" s="20" t="s">
        <v>812</v>
      </c>
      <c r="F35" s="20" t="s">
        <v>813</v>
      </c>
      <c r="G35" s="20" t="s">
        <v>814</v>
      </c>
      <c r="H35" s="21">
        <v>17.6</v>
      </c>
      <c r="I35" s="21">
        <v>17.6</v>
      </c>
      <c r="J35" s="21">
        <v>17.6</v>
      </c>
      <c r="K35" s="21">
        <v>8.5</v>
      </c>
      <c r="L35" s="21">
        <v>8.5</v>
      </c>
      <c r="M35" s="21">
        <v>8.5</v>
      </c>
      <c r="N35" s="21">
        <v>6</v>
      </c>
      <c r="O35" s="21">
        <v>6</v>
      </c>
      <c r="P35" s="21">
        <v>6</v>
      </c>
    </row>
    <row r="36" customHeight="1" spans="1:16">
      <c r="A36" s="20" t="s">
        <v>150</v>
      </c>
      <c r="B36" s="20" t="s">
        <v>815</v>
      </c>
      <c r="C36" s="20" t="s">
        <v>811</v>
      </c>
      <c r="D36" s="20" t="s">
        <v>811</v>
      </c>
      <c r="E36" s="20" t="s">
        <v>812</v>
      </c>
      <c r="F36" s="20" t="s">
        <v>813</v>
      </c>
      <c r="G36" s="20" t="s">
        <v>814</v>
      </c>
      <c r="H36" s="21">
        <v>17.6</v>
      </c>
      <c r="I36" s="21">
        <v>17.6</v>
      </c>
      <c r="J36" s="21">
        <v>17.6</v>
      </c>
      <c r="K36" s="21">
        <v>8.5</v>
      </c>
      <c r="L36" s="21">
        <v>8.5</v>
      </c>
      <c r="M36" s="21">
        <v>8.5</v>
      </c>
      <c r="N36" s="21">
        <v>6</v>
      </c>
      <c r="O36" s="21">
        <v>6</v>
      </c>
      <c r="P36" s="21">
        <v>6</v>
      </c>
    </row>
    <row r="37" customHeight="1" spans="1:16">
      <c r="A37" s="20" t="s">
        <v>152</v>
      </c>
      <c r="B37" s="20" t="s">
        <v>815</v>
      </c>
      <c r="C37" s="20" t="s">
        <v>811</v>
      </c>
      <c r="D37" s="20" t="s">
        <v>811</v>
      </c>
      <c r="E37" s="20" t="s">
        <v>812</v>
      </c>
      <c r="F37" s="20" t="s">
        <v>813</v>
      </c>
      <c r="G37" s="20" t="s">
        <v>814</v>
      </c>
      <c r="H37" s="21">
        <v>17.6</v>
      </c>
      <c r="I37" s="21">
        <v>17.6</v>
      </c>
      <c r="J37" s="21">
        <v>17.6</v>
      </c>
      <c r="K37" s="21">
        <v>8.5</v>
      </c>
      <c r="L37" s="21">
        <v>8.5</v>
      </c>
      <c r="M37" s="21">
        <v>8.5</v>
      </c>
      <c r="N37" s="21">
        <v>6</v>
      </c>
      <c r="O37" s="21">
        <v>6</v>
      </c>
      <c r="P37" s="21">
        <v>6</v>
      </c>
    </row>
    <row r="38" customHeight="1" spans="1:16">
      <c r="A38" s="20" t="s">
        <v>155</v>
      </c>
      <c r="B38" s="20" t="s">
        <v>815</v>
      </c>
      <c r="C38" s="20" t="s">
        <v>811</v>
      </c>
      <c r="D38" s="20" t="s">
        <v>811</v>
      </c>
      <c r="E38" s="20" t="s">
        <v>812</v>
      </c>
      <c r="F38" s="20" t="s">
        <v>813</v>
      </c>
      <c r="G38" s="20" t="s">
        <v>814</v>
      </c>
      <c r="H38" s="21">
        <v>17.6</v>
      </c>
      <c r="I38" s="21">
        <v>17.6</v>
      </c>
      <c r="J38" s="21">
        <v>17.6</v>
      </c>
      <c r="K38" s="21">
        <v>8.5</v>
      </c>
      <c r="L38" s="21">
        <v>8.5</v>
      </c>
      <c r="M38" s="21">
        <v>8.5</v>
      </c>
      <c r="N38" s="21">
        <v>6</v>
      </c>
      <c r="O38" s="21">
        <v>6</v>
      </c>
      <c r="P38" s="21">
        <v>6</v>
      </c>
    </row>
    <row r="39" customHeight="1" spans="1:16">
      <c r="A39" s="24" t="s">
        <v>159</v>
      </c>
      <c r="B39" s="20" t="s">
        <v>815</v>
      </c>
      <c r="C39" s="20" t="s">
        <v>811</v>
      </c>
      <c r="D39" s="20" t="s">
        <v>811</v>
      </c>
      <c r="E39" s="20" t="s">
        <v>812</v>
      </c>
      <c r="F39" s="20" t="s">
        <v>813</v>
      </c>
      <c r="G39" s="20" t="s">
        <v>814</v>
      </c>
      <c r="H39" s="21">
        <v>17.6</v>
      </c>
      <c r="I39" s="21">
        <v>17.6</v>
      </c>
      <c r="J39" s="21">
        <v>17.6</v>
      </c>
      <c r="K39" s="21">
        <v>8.5</v>
      </c>
      <c r="L39" s="21">
        <v>8.5</v>
      </c>
      <c r="M39" s="21">
        <v>8.5</v>
      </c>
      <c r="N39" s="21">
        <v>6</v>
      </c>
      <c r="O39" s="21">
        <v>6</v>
      </c>
      <c r="P39" s="21">
        <v>6</v>
      </c>
    </row>
    <row r="40" customHeight="1" spans="1:16">
      <c r="A40" s="24" t="s">
        <v>165</v>
      </c>
      <c r="B40" s="20" t="s">
        <v>815</v>
      </c>
      <c r="C40" s="20" t="s">
        <v>811</v>
      </c>
      <c r="D40" s="20" t="s">
        <v>811</v>
      </c>
      <c r="E40" s="20" t="s">
        <v>812</v>
      </c>
      <c r="F40" s="20" t="s">
        <v>813</v>
      </c>
      <c r="G40" s="20" t="s">
        <v>814</v>
      </c>
      <c r="H40" s="21">
        <v>17.6</v>
      </c>
      <c r="I40" s="21">
        <v>17.6</v>
      </c>
      <c r="J40" s="21">
        <v>17.6</v>
      </c>
      <c r="K40" s="21" t="s">
        <v>816</v>
      </c>
      <c r="L40" s="21" t="s">
        <v>816</v>
      </c>
      <c r="M40" s="21" t="s">
        <v>816</v>
      </c>
      <c r="N40" s="21" t="s">
        <v>817</v>
      </c>
      <c r="O40" s="21">
        <v>6</v>
      </c>
      <c r="P40" s="21" t="s">
        <v>818</v>
      </c>
    </row>
    <row r="41" customHeight="1" spans="1:16">
      <c r="A41" s="24" t="s">
        <v>169</v>
      </c>
      <c r="B41" s="20" t="s">
        <v>815</v>
      </c>
      <c r="C41" s="20" t="s">
        <v>811</v>
      </c>
      <c r="D41" s="20" t="s">
        <v>811</v>
      </c>
      <c r="E41" s="20" t="s">
        <v>812</v>
      </c>
      <c r="F41" s="20" t="s">
        <v>813</v>
      </c>
      <c r="G41" s="20" t="s">
        <v>814</v>
      </c>
      <c r="H41" s="21">
        <v>17.6</v>
      </c>
      <c r="I41" s="21">
        <v>17.6</v>
      </c>
      <c r="J41" s="21">
        <v>17.6</v>
      </c>
      <c r="K41" s="21">
        <v>8.5</v>
      </c>
      <c r="L41" s="21">
        <v>8.6</v>
      </c>
      <c r="M41" s="21">
        <v>8.533</v>
      </c>
      <c r="N41" s="21">
        <v>6</v>
      </c>
      <c r="O41" s="21">
        <v>6</v>
      </c>
      <c r="P41" s="21">
        <v>6</v>
      </c>
    </row>
    <row r="42" s="2" customFormat="1" customHeight="1" spans="1:16">
      <c r="A42" s="24" t="s">
        <v>171</v>
      </c>
      <c r="B42" s="20" t="s">
        <v>815</v>
      </c>
      <c r="C42" s="20" t="s">
        <v>811</v>
      </c>
      <c r="D42" s="20" t="s">
        <v>811</v>
      </c>
      <c r="E42" s="20" t="s">
        <v>812</v>
      </c>
      <c r="F42" s="20" t="s">
        <v>813</v>
      </c>
      <c r="G42" s="20" t="s">
        <v>814</v>
      </c>
      <c r="H42" s="21">
        <v>17.6</v>
      </c>
      <c r="I42" s="21">
        <v>17.6</v>
      </c>
      <c r="J42" s="21">
        <v>17.6</v>
      </c>
      <c r="K42" s="21">
        <v>8.6</v>
      </c>
      <c r="L42" s="21">
        <v>8.6</v>
      </c>
      <c r="M42" s="21">
        <v>8.6</v>
      </c>
      <c r="N42" s="21" t="s">
        <v>817</v>
      </c>
      <c r="O42" s="21">
        <v>6</v>
      </c>
      <c r="P42" s="21">
        <v>5.933</v>
      </c>
    </row>
    <row r="43" customHeight="1" spans="1:16">
      <c r="A43" s="24" t="s">
        <v>177</v>
      </c>
      <c r="B43" s="20" t="s">
        <v>815</v>
      </c>
      <c r="C43" s="20" t="s">
        <v>811</v>
      </c>
      <c r="D43" s="20" t="s">
        <v>811</v>
      </c>
      <c r="E43" s="20" t="s">
        <v>812</v>
      </c>
      <c r="F43" s="20" t="s">
        <v>813</v>
      </c>
      <c r="G43" s="20" t="s">
        <v>814</v>
      </c>
      <c r="H43" s="21">
        <v>17.6</v>
      </c>
      <c r="I43" s="21">
        <v>17.6</v>
      </c>
      <c r="J43" s="21">
        <v>17.6</v>
      </c>
      <c r="K43" s="21">
        <v>8.6</v>
      </c>
      <c r="L43" s="21">
        <v>8.6</v>
      </c>
      <c r="M43" s="21">
        <v>8.6</v>
      </c>
      <c r="N43" s="21">
        <v>6</v>
      </c>
      <c r="O43" s="21">
        <v>6</v>
      </c>
      <c r="P43" s="21">
        <v>6</v>
      </c>
    </row>
    <row r="44" customHeight="1" spans="1:16">
      <c r="A44" s="24" t="s">
        <v>181</v>
      </c>
      <c r="B44" s="20" t="s">
        <v>815</v>
      </c>
      <c r="C44" s="20" t="s">
        <v>811</v>
      </c>
      <c r="D44" s="20" t="s">
        <v>811</v>
      </c>
      <c r="E44" s="20" t="s">
        <v>812</v>
      </c>
      <c r="F44" s="20" t="s">
        <v>813</v>
      </c>
      <c r="G44" s="20" t="s">
        <v>814</v>
      </c>
      <c r="H44" s="21">
        <v>17.6</v>
      </c>
      <c r="I44" s="21">
        <v>17.6</v>
      </c>
      <c r="J44" s="21">
        <v>17.6</v>
      </c>
      <c r="K44" s="21">
        <v>8.6</v>
      </c>
      <c r="L44" s="21">
        <v>8.6</v>
      </c>
      <c r="M44" s="21">
        <v>8.6</v>
      </c>
      <c r="N44" s="21">
        <v>6</v>
      </c>
      <c r="O44" s="21">
        <v>6</v>
      </c>
      <c r="P44" s="21">
        <v>6</v>
      </c>
    </row>
    <row r="45" customHeight="1" spans="1:16">
      <c r="A45" s="24" t="s">
        <v>182</v>
      </c>
      <c r="B45" s="20" t="s">
        <v>815</v>
      </c>
      <c r="C45" s="20" t="s">
        <v>811</v>
      </c>
      <c r="D45" s="20" t="s">
        <v>811</v>
      </c>
      <c r="E45" s="20" t="s">
        <v>812</v>
      </c>
      <c r="F45" s="20" t="s">
        <v>813</v>
      </c>
      <c r="G45" s="20" t="s">
        <v>814</v>
      </c>
      <c r="H45" s="21">
        <v>17.6</v>
      </c>
      <c r="I45" s="21">
        <v>17.6</v>
      </c>
      <c r="J45" s="21">
        <v>17.6</v>
      </c>
      <c r="K45" s="21">
        <v>8.6</v>
      </c>
      <c r="L45" s="21">
        <v>8.6</v>
      </c>
      <c r="M45" s="21">
        <v>8.6</v>
      </c>
      <c r="N45" s="21">
        <v>6</v>
      </c>
      <c r="O45" s="21">
        <v>6</v>
      </c>
      <c r="P45" s="21">
        <v>6</v>
      </c>
    </row>
    <row r="46" customHeight="1" spans="1:16">
      <c r="A46" s="24" t="s">
        <v>185</v>
      </c>
      <c r="B46" s="20" t="s">
        <v>815</v>
      </c>
      <c r="C46" s="20" t="s">
        <v>811</v>
      </c>
      <c r="D46" s="20" t="s">
        <v>811</v>
      </c>
      <c r="E46" s="20" t="s">
        <v>812</v>
      </c>
      <c r="F46" s="20" t="s">
        <v>813</v>
      </c>
      <c r="G46" s="20" t="s">
        <v>814</v>
      </c>
      <c r="H46" s="21">
        <v>17.6</v>
      </c>
      <c r="I46" s="21">
        <v>17.6</v>
      </c>
      <c r="J46" s="21">
        <v>17.6</v>
      </c>
      <c r="K46" s="21">
        <v>8.5</v>
      </c>
      <c r="L46" s="21">
        <v>8.6</v>
      </c>
      <c r="M46" s="21">
        <v>8.533</v>
      </c>
      <c r="N46" s="21">
        <v>6</v>
      </c>
      <c r="O46" s="21">
        <v>6</v>
      </c>
      <c r="P46" s="21">
        <v>6</v>
      </c>
    </row>
    <row r="47" customHeight="1" spans="1:16">
      <c r="A47" s="24" t="s">
        <v>189</v>
      </c>
      <c r="B47" s="20" t="s">
        <v>815</v>
      </c>
      <c r="C47" s="20" t="s">
        <v>811</v>
      </c>
      <c r="D47" s="20" t="s">
        <v>811</v>
      </c>
      <c r="E47" s="20" t="s">
        <v>812</v>
      </c>
      <c r="F47" s="20" t="s">
        <v>813</v>
      </c>
      <c r="G47" s="20" t="s">
        <v>814</v>
      </c>
      <c r="H47" s="21">
        <v>17.6</v>
      </c>
      <c r="I47" s="21">
        <v>17.6</v>
      </c>
      <c r="J47" s="21">
        <v>17.6</v>
      </c>
      <c r="K47" s="21">
        <v>8.6</v>
      </c>
      <c r="L47" s="21">
        <v>8.6</v>
      </c>
      <c r="M47" s="21">
        <v>8.6</v>
      </c>
      <c r="N47" s="21">
        <v>6</v>
      </c>
      <c r="O47" s="21">
        <v>6</v>
      </c>
      <c r="P47" s="21">
        <v>6</v>
      </c>
    </row>
    <row r="48" customHeight="1" spans="1:16">
      <c r="A48" s="24" t="s">
        <v>192</v>
      </c>
      <c r="B48" s="20" t="s">
        <v>815</v>
      </c>
      <c r="C48" s="20" t="s">
        <v>811</v>
      </c>
      <c r="D48" s="20" t="s">
        <v>811</v>
      </c>
      <c r="E48" s="20" t="s">
        <v>812</v>
      </c>
      <c r="F48" s="20" t="s">
        <v>813</v>
      </c>
      <c r="G48" s="20" t="s">
        <v>814</v>
      </c>
      <c r="H48" s="21">
        <v>17.6</v>
      </c>
      <c r="I48" s="21">
        <v>17.6</v>
      </c>
      <c r="J48" s="21">
        <v>17.6</v>
      </c>
      <c r="K48" s="21">
        <v>8.5</v>
      </c>
      <c r="L48" s="21">
        <v>8.6</v>
      </c>
      <c r="M48" s="21">
        <v>8.533</v>
      </c>
      <c r="N48" s="21">
        <v>6</v>
      </c>
      <c r="O48" s="21">
        <v>6</v>
      </c>
      <c r="P48" s="21">
        <v>6</v>
      </c>
    </row>
    <row r="49" customHeight="1" spans="1:16">
      <c r="A49" s="24" t="s">
        <v>196</v>
      </c>
      <c r="B49" s="20" t="s">
        <v>815</v>
      </c>
      <c r="C49" s="20" t="s">
        <v>811</v>
      </c>
      <c r="D49" s="20" t="s">
        <v>811</v>
      </c>
      <c r="E49" s="20" t="s">
        <v>812</v>
      </c>
      <c r="F49" s="20" t="s">
        <v>813</v>
      </c>
      <c r="G49" s="20" t="s">
        <v>814</v>
      </c>
      <c r="H49" s="21">
        <v>17.6</v>
      </c>
      <c r="I49" s="21">
        <v>17.6</v>
      </c>
      <c r="J49" s="21">
        <v>17.6</v>
      </c>
      <c r="K49" s="21">
        <v>8.5</v>
      </c>
      <c r="L49" s="21">
        <v>8.5</v>
      </c>
      <c r="M49" s="21">
        <v>8.5</v>
      </c>
      <c r="N49" s="21">
        <v>6</v>
      </c>
      <c r="O49" s="21">
        <v>6</v>
      </c>
      <c r="P49" s="21">
        <v>6</v>
      </c>
    </row>
    <row r="50" customHeight="1" spans="1:16">
      <c r="A50" s="24" t="s">
        <v>197</v>
      </c>
      <c r="B50" s="20" t="s">
        <v>815</v>
      </c>
      <c r="C50" s="20" t="s">
        <v>811</v>
      </c>
      <c r="D50" s="20" t="s">
        <v>811</v>
      </c>
      <c r="E50" s="20" t="s">
        <v>812</v>
      </c>
      <c r="F50" s="20" t="s">
        <v>813</v>
      </c>
      <c r="G50" s="20" t="s">
        <v>814</v>
      </c>
      <c r="H50" s="21">
        <v>17.6</v>
      </c>
      <c r="I50" s="21">
        <v>17.6</v>
      </c>
      <c r="J50" s="21">
        <v>17.6</v>
      </c>
      <c r="K50" s="21" t="s">
        <v>816</v>
      </c>
      <c r="L50" s="21" t="s">
        <v>816</v>
      </c>
      <c r="M50" s="21" t="s">
        <v>816</v>
      </c>
      <c r="N50" s="21" t="s">
        <v>817</v>
      </c>
      <c r="O50" s="21">
        <v>6</v>
      </c>
      <c r="P50" s="21" t="s">
        <v>818</v>
      </c>
    </row>
    <row r="51" customHeight="1" spans="1:16">
      <c r="A51" s="25" t="s">
        <v>200</v>
      </c>
      <c r="B51" s="20" t="s">
        <v>815</v>
      </c>
      <c r="C51" s="20" t="s">
        <v>811</v>
      </c>
      <c r="D51" s="20" t="s">
        <v>811</v>
      </c>
      <c r="E51" s="20" t="s">
        <v>812</v>
      </c>
      <c r="F51" s="20" t="s">
        <v>813</v>
      </c>
      <c r="G51" s="20" t="s">
        <v>814</v>
      </c>
      <c r="H51" s="21">
        <v>17.6</v>
      </c>
      <c r="I51" s="21">
        <v>17.6</v>
      </c>
      <c r="J51" s="21">
        <v>17.6</v>
      </c>
      <c r="K51" s="21">
        <v>8.5</v>
      </c>
      <c r="L51" s="21">
        <v>8.6</v>
      </c>
      <c r="M51" s="21">
        <v>8.533</v>
      </c>
      <c r="N51" s="21">
        <v>5.9</v>
      </c>
      <c r="O51" s="21">
        <v>5.9</v>
      </c>
      <c r="P51" s="21">
        <v>5.9</v>
      </c>
    </row>
    <row r="52" customHeight="1" spans="1:16">
      <c r="A52" s="25" t="s">
        <v>203</v>
      </c>
      <c r="B52" s="20" t="s">
        <v>815</v>
      </c>
      <c r="C52" s="20" t="s">
        <v>811</v>
      </c>
      <c r="D52" s="20" t="s">
        <v>811</v>
      </c>
      <c r="E52" s="20" t="s">
        <v>812</v>
      </c>
      <c r="F52" s="20" t="s">
        <v>813</v>
      </c>
      <c r="G52" s="20" t="s">
        <v>814</v>
      </c>
      <c r="H52" s="21">
        <v>17.6</v>
      </c>
      <c r="I52" s="21">
        <v>17.6</v>
      </c>
      <c r="J52" s="21">
        <v>17.6</v>
      </c>
      <c r="K52" s="21">
        <v>8.5</v>
      </c>
      <c r="L52" s="21">
        <v>8.6</v>
      </c>
      <c r="M52" s="21">
        <v>8.566</v>
      </c>
      <c r="N52" s="21">
        <v>6</v>
      </c>
      <c r="O52" s="21">
        <v>6</v>
      </c>
      <c r="P52" s="21">
        <v>6</v>
      </c>
    </row>
    <row r="53" customHeight="1" spans="1:16">
      <c r="A53" s="25" t="s">
        <v>206</v>
      </c>
      <c r="B53" s="20" t="s">
        <v>815</v>
      </c>
      <c r="C53" s="20" t="s">
        <v>811</v>
      </c>
      <c r="D53" s="20" t="s">
        <v>811</v>
      </c>
      <c r="E53" s="20" t="s">
        <v>812</v>
      </c>
      <c r="F53" s="20" t="s">
        <v>813</v>
      </c>
      <c r="G53" s="20" t="s">
        <v>814</v>
      </c>
      <c r="H53" s="21">
        <v>17.6</v>
      </c>
      <c r="I53" s="21">
        <v>17.6</v>
      </c>
      <c r="J53" s="21">
        <v>17.6</v>
      </c>
      <c r="K53" s="21">
        <v>8.5</v>
      </c>
      <c r="L53" s="21">
        <v>8.5</v>
      </c>
      <c r="M53" s="21">
        <v>8.5</v>
      </c>
      <c r="N53" s="21">
        <v>6</v>
      </c>
      <c r="O53" s="21">
        <v>6</v>
      </c>
      <c r="P53" s="21">
        <v>6</v>
      </c>
    </row>
    <row r="54" customHeight="1" spans="1:16">
      <c r="A54" s="25" t="s">
        <v>210</v>
      </c>
      <c r="B54" s="20" t="s">
        <v>815</v>
      </c>
      <c r="C54" s="20" t="s">
        <v>811</v>
      </c>
      <c r="D54" s="20" t="s">
        <v>811</v>
      </c>
      <c r="E54" s="20" t="s">
        <v>812</v>
      </c>
      <c r="F54" s="20" t="s">
        <v>813</v>
      </c>
      <c r="G54" s="20" t="s">
        <v>814</v>
      </c>
      <c r="H54" s="21">
        <v>17.6</v>
      </c>
      <c r="I54" s="21">
        <v>17.6</v>
      </c>
      <c r="J54" s="21">
        <v>17.6</v>
      </c>
      <c r="K54" s="21">
        <v>8.5</v>
      </c>
      <c r="L54" s="21">
        <v>8.5</v>
      </c>
      <c r="M54" s="21">
        <v>8.5</v>
      </c>
      <c r="N54" s="21">
        <v>6</v>
      </c>
      <c r="O54" s="21">
        <v>6</v>
      </c>
      <c r="P54" s="21">
        <v>6</v>
      </c>
    </row>
    <row r="55" customHeight="1" spans="1:16">
      <c r="A55" s="25" t="s">
        <v>213</v>
      </c>
      <c r="B55" s="20" t="s">
        <v>815</v>
      </c>
      <c r="C55" s="20" t="s">
        <v>811</v>
      </c>
      <c r="D55" s="20" t="s">
        <v>811</v>
      </c>
      <c r="E55" s="20" t="s">
        <v>812</v>
      </c>
      <c r="F55" s="20" t="s">
        <v>813</v>
      </c>
      <c r="G55" s="20" t="s">
        <v>814</v>
      </c>
      <c r="H55" s="21">
        <v>17.6</v>
      </c>
      <c r="I55" s="21">
        <v>17.6</v>
      </c>
      <c r="J55" s="21">
        <v>17.6</v>
      </c>
      <c r="K55" s="21">
        <v>8.5</v>
      </c>
      <c r="L55" s="21">
        <v>8.5</v>
      </c>
      <c r="M55" s="21">
        <v>8.5</v>
      </c>
      <c r="N55" s="21">
        <v>6</v>
      </c>
      <c r="O55" s="21">
        <v>6</v>
      </c>
      <c r="P55" s="21">
        <v>6</v>
      </c>
    </row>
    <row r="56" customHeight="1" spans="1:16">
      <c r="A56" s="24" t="s">
        <v>221</v>
      </c>
      <c r="B56" s="20" t="s">
        <v>815</v>
      </c>
      <c r="C56" s="20" t="s">
        <v>811</v>
      </c>
      <c r="D56" s="20" t="s">
        <v>811</v>
      </c>
      <c r="E56" s="20" t="s">
        <v>812</v>
      </c>
      <c r="F56" s="20" t="s">
        <v>813</v>
      </c>
      <c r="G56" s="20" t="s">
        <v>814</v>
      </c>
      <c r="H56" s="21">
        <v>17.6</v>
      </c>
      <c r="I56" s="21">
        <v>17.6</v>
      </c>
      <c r="J56" s="21">
        <v>17.6</v>
      </c>
      <c r="K56" s="21">
        <v>8.5</v>
      </c>
      <c r="L56" s="21">
        <v>8.5</v>
      </c>
      <c r="M56" s="21">
        <v>8.5</v>
      </c>
      <c r="N56" s="21">
        <v>6</v>
      </c>
      <c r="O56" s="21">
        <v>6</v>
      </c>
      <c r="P56" s="21">
        <v>6</v>
      </c>
    </row>
    <row r="57" customHeight="1" spans="1:16">
      <c r="A57" s="24" t="s">
        <v>223</v>
      </c>
      <c r="B57" s="20" t="s">
        <v>815</v>
      </c>
      <c r="C57" s="20" t="s">
        <v>811</v>
      </c>
      <c r="D57" s="20" t="s">
        <v>811</v>
      </c>
      <c r="E57" s="20" t="s">
        <v>812</v>
      </c>
      <c r="F57" s="20" t="s">
        <v>813</v>
      </c>
      <c r="G57" s="20" t="s">
        <v>814</v>
      </c>
      <c r="H57" s="21">
        <v>17.6</v>
      </c>
      <c r="I57" s="21">
        <v>17.6</v>
      </c>
      <c r="J57" s="21">
        <v>17.6</v>
      </c>
      <c r="K57" s="21">
        <v>8.5</v>
      </c>
      <c r="L57" s="21">
        <v>8.5</v>
      </c>
      <c r="M57" s="21">
        <v>8.5</v>
      </c>
      <c r="N57" s="21">
        <v>6</v>
      </c>
      <c r="O57" s="21">
        <v>6</v>
      </c>
      <c r="P57" s="21">
        <v>6</v>
      </c>
    </row>
    <row r="58" s="1" customFormat="1" customHeight="1" spans="1:16">
      <c r="A58" s="26"/>
      <c r="B58" s="22"/>
      <c r="C58" s="22"/>
      <c r="D58" s="22"/>
      <c r="E58" s="22"/>
      <c r="F58" s="22"/>
      <c r="G58" s="22"/>
      <c r="H58" s="23"/>
      <c r="I58" s="23"/>
      <c r="J58" s="23"/>
      <c r="K58" s="23"/>
      <c r="L58" s="23"/>
      <c r="M58" s="23"/>
      <c r="N58" s="23"/>
      <c r="O58" s="23"/>
      <c r="P58" s="23"/>
    </row>
    <row r="59" customHeight="1" spans="1:16">
      <c r="A59" s="24" t="s">
        <v>226</v>
      </c>
      <c r="B59" s="20" t="s">
        <v>815</v>
      </c>
      <c r="C59" s="20" t="s">
        <v>811</v>
      </c>
      <c r="D59" s="20" t="s">
        <v>811</v>
      </c>
      <c r="E59" s="20" t="s">
        <v>812</v>
      </c>
      <c r="F59" s="20" t="s">
        <v>813</v>
      </c>
      <c r="G59" s="20" t="s">
        <v>814</v>
      </c>
      <c r="H59" s="21">
        <v>17.6</v>
      </c>
      <c r="I59" s="21">
        <v>17.6</v>
      </c>
      <c r="J59" s="21">
        <v>17.6</v>
      </c>
      <c r="K59" s="21">
        <v>8.6</v>
      </c>
      <c r="L59" s="21">
        <v>8.6</v>
      </c>
      <c r="M59" s="21">
        <v>8.6</v>
      </c>
      <c r="N59" s="21">
        <v>5.9</v>
      </c>
      <c r="O59" s="21">
        <v>6</v>
      </c>
      <c r="P59" s="21">
        <v>5.933</v>
      </c>
    </row>
    <row r="60" customHeight="1" spans="1:16">
      <c r="A60" s="24" t="s">
        <v>228</v>
      </c>
      <c r="B60" s="20" t="s">
        <v>815</v>
      </c>
      <c r="C60" s="20" t="s">
        <v>811</v>
      </c>
      <c r="D60" s="20" t="s">
        <v>811</v>
      </c>
      <c r="E60" s="20" t="s">
        <v>812</v>
      </c>
      <c r="F60" s="20" t="s">
        <v>813</v>
      </c>
      <c r="G60" s="20" t="s">
        <v>814</v>
      </c>
      <c r="H60" s="21">
        <v>17.6</v>
      </c>
      <c r="I60" s="21">
        <v>17.6</v>
      </c>
      <c r="J60" s="21">
        <v>17.6</v>
      </c>
      <c r="K60" s="21">
        <v>8.5</v>
      </c>
      <c r="L60" s="21">
        <v>8.5</v>
      </c>
      <c r="M60" s="21">
        <v>8.5</v>
      </c>
      <c r="N60" s="21">
        <v>5.9</v>
      </c>
      <c r="O60" s="21">
        <v>6</v>
      </c>
      <c r="P60" s="21">
        <v>5.966</v>
      </c>
    </row>
    <row r="61" customHeight="1" spans="1:16">
      <c r="A61" s="24" t="s">
        <v>230</v>
      </c>
      <c r="B61" s="20" t="s">
        <v>815</v>
      </c>
      <c r="C61" s="20" t="s">
        <v>811</v>
      </c>
      <c r="D61" s="20" t="s">
        <v>811</v>
      </c>
      <c r="E61" s="20" t="s">
        <v>812</v>
      </c>
      <c r="F61" s="20" t="s">
        <v>813</v>
      </c>
      <c r="G61" s="20" t="s">
        <v>814</v>
      </c>
      <c r="H61" s="21">
        <v>17.6</v>
      </c>
      <c r="I61" s="21">
        <v>17.6</v>
      </c>
      <c r="J61" s="21">
        <v>17.6</v>
      </c>
      <c r="K61" s="21">
        <v>8.6</v>
      </c>
      <c r="L61" s="21">
        <v>8.6</v>
      </c>
      <c r="M61" s="21">
        <v>8.6</v>
      </c>
      <c r="N61" s="21">
        <v>5.9</v>
      </c>
      <c r="O61" s="21">
        <v>5.9</v>
      </c>
      <c r="P61" s="21">
        <v>5.9</v>
      </c>
    </row>
    <row r="62" customHeight="1" spans="1:16">
      <c r="A62" s="24" t="s">
        <v>233</v>
      </c>
      <c r="B62" s="20" t="s">
        <v>815</v>
      </c>
      <c r="C62" s="20" t="s">
        <v>811</v>
      </c>
      <c r="D62" s="20" t="s">
        <v>811</v>
      </c>
      <c r="E62" s="20" t="s">
        <v>812</v>
      </c>
      <c r="F62" s="20" t="s">
        <v>813</v>
      </c>
      <c r="G62" s="20" t="s">
        <v>814</v>
      </c>
      <c r="H62" s="21">
        <v>17.6</v>
      </c>
      <c r="I62" s="21">
        <v>17.6</v>
      </c>
      <c r="J62" s="21">
        <v>17.6</v>
      </c>
      <c r="K62" s="21">
        <v>8.5</v>
      </c>
      <c r="L62" s="21">
        <v>8.6</v>
      </c>
      <c r="M62" s="21">
        <v>8.566</v>
      </c>
      <c r="N62" s="21">
        <v>5.9</v>
      </c>
      <c r="O62" s="21">
        <v>6</v>
      </c>
      <c r="P62" s="21">
        <v>5.933</v>
      </c>
    </row>
    <row r="63" customHeight="1" spans="1:16">
      <c r="A63" s="24" t="s">
        <v>237</v>
      </c>
      <c r="B63" s="20" t="s">
        <v>815</v>
      </c>
      <c r="C63" s="20" t="s">
        <v>811</v>
      </c>
      <c r="D63" s="20" t="s">
        <v>811</v>
      </c>
      <c r="E63" s="20" t="s">
        <v>812</v>
      </c>
      <c r="F63" s="20" t="s">
        <v>813</v>
      </c>
      <c r="G63" s="20" t="s">
        <v>814</v>
      </c>
      <c r="H63" s="21">
        <v>17.6</v>
      </c>
      <c r="I63" s="21">
        <v>17.6</v>
      </c>
      <c r="J63" s="21">
        <v>17.6</v>
      </c>
      <c r="K63" s="21">
        <v>8.5</v>
      </c>
      <c r="L63" s="21">
        <v>8.5</v>
      </c>
      <c r="M63" s="21">
        <v>8.5</v>
      </c>
      <c r="N63" s="21">
        <v>6</v>
      </c>
      <c r="O63" s="21">
        <v>6</v>
      </c>
      <c r="P63" s="21">
        <v>6</v>
      </c>
    </row>
    <row r="64" customHeight="1" spans="1:16">
      <c r="A64" s="24" t="s">
        <v>819</v>
      </c>
      <c r="B64" s="20" t="s">
        <v>815</v>
      </c>
      <c r="C64" s="20" t="s">
        <v>811</v>
      </c>
      <c r="D64" s="20" t="s">
        <v>811</v>
      </c>
      <c r="E64" s="20" t="s">
        <v>812</v>
      </c>
      <c r="F64" s="20" t="s">
        <v>813</v>
      </c>
      <c r="G64" s="20" t="s">
        <v>814</v>
      </c>
      <c r="H64" s="21">
        <v>17.6</v>
      </c>
      <c r="I64" s="21">
        <v>17.6</v>
      </c>
      <c r="J64" s="21">
        <v>17.6</v>
      </c>
      <c r="K64" s="21">
        <v>8.5</v>
      </c>
      <c r="L64" s="21">
        <v>8.5</v>
      </c>
      <c r="M64" s="21">
        <v>8.5</v>
      </c>
      <c r="N64" s="21">
        <v>6</v>
      </c>
      <c r="O64" s="21">
        <v>6</v>
      </c>
      <c r="P64" s="21">
        <v>6</v>
      </c>
    </row>
    <row r="65" customHeight="1" spans="1:16">
      <c r="A65" s="24" t="s">
        <v>242</v>
      </c>
      <c r="B65" s="20" t="s">
        <v>815</v>
      </c>
      <c r="C65" s="20" t="s">
        <v>811</v>
      </c>
      <c r="D65" s="20" t="s">
        <v>811</v>
      </c>
      <c r="E65" s="20" t="s">
        <v>812</v>
      </c>
      <c r="F65" s="20" t="s">
        <v>813</v>
      </c>
      <c r="G65" s="20" t="s">
        <v>814</v>
      </c>
      <c r="H65" s="21">
        <v>17.6</v>
      </c>
      <c r="I65" s="21">
        <v>17.6</v>
      </c>
      <c r="J65" s="21">
        <v>17.6</v>
      </c>
      <c r="K65" s="21">
        <v>8.6</v>
      </c>
      <c r="L65" s="21">
        <v>8.6</v>
      </c>
      <c r="M65" s="21">
        <v>8.6</v>
      </c>
      <c r="N65" s="21">
        <v>6</v>
      </c>
      <c r="O65" s="21">
        <v>6</v>
      </c>
      <c r="P65" s="21">
        <v>6</v>
      </c>
    </row>
    <row r="66" customHeight="1" spans="1:16">
      <c r="A66" s="24" t="s">
        <v>244</v>
      </c>
      <c r="B66" s="20" t="s">
        <v>815</v>
      </c>
      <c r="C66" s="20" t="s">
        <v>811</v>
      </c>
      <c r="D66" s="20" t="s">
        <v>811</v>
      </c>
      <c r="E66" s="20" t="s">
        <v>812</v>
      </c>
      <c r="F66" s="20" t="s">
        <v>813</v>
      </c>
      <c r="G66" s="20" t="s">
        <v>814</v>
      </c>
      <c r="H66" s="21">
        <v>17.6</v>
      </c>
      <c r="I66" s="21">
        <v>17.6</v>
      </c>
      <c r="J66" s="21">
        <v>17.6</v>
      </c>
      <c r="K66" s="21">
        <v>8.5</v>
      </c>
      <c r="L66" s="21">
        <v>8.5</v>
      </c>
      <c r="M66" s="21">
        <v>8.5</v>
      </c>
      <c r="N66" s="21">
        <v>6</v>
      </c>
      <c r="O66" s="21">
        <v>6</v>
      </c>
      <c r="P66" s="21">
        <v>6</v>
      </c>
    </row>
    <row r="67" customHeight="1" spans="1:16">
      <c r="A67" s="24" t="s">
        <v>246</v>
      </c>
      <c r="B67" s="20" t="s">
        <v>815</v>
      </c>
      <c r="C67" s="20" t="s">
        <v>811</v>
      </c>
      <c r="D67" s="20" t="s">
        <v>811</v>
      </c>
      <c r="E67" s="20" t="s">
        <v>812</v>
      </c>
      <c r="F67" s="20" t="s">
        <v>813</v>
      </c>
      <c r="G67" s="20" t="s">
        <v>814</v>
      </c>
      <c r="H67" s="21">
        <v>17.6</v>
      </c>
      <c r="I67" s="21">
        <v>17.6</v>
      </c>
      <c r="J67" s="21">
        <v>17.6</v>
      </c>
      <c r="K67" s="21">
        <v>8.5</v>
      </c>
      <c r="L67" s="21">
        <v>8.5</v>
      </c>
      <c r="M67" s="21">
        <v>8.5</v>
      </c>
      <c r="N67" s="21">
        <v>6</v>
      </c>
      <c r="O67" s="21">
        <v>6</v>
      </c>
      <c r="P67" s="21">
        <v>6</v>
      </c>
    </row>
    <row r="68" customHeight="1" spans="1:16">
      <c r="A68" s="24" t="s">
        <v>248</v>
      </c>
      <c r="B68" s="20" t="s">
        <v>815</v>
      </c>
      <c r="C68" s="20" t="s">
        <v>811</v>
      </c>
      <c r="D68" s="20" t="s">
        <v>811</v>
      </c>
      <c r="E68" s="20" t="s">
        <v>812</v>
      </c>
      <c r="F68" s="20" t="s">
        <v>813</v>
      </c>
      <c r="G68" s="20" t="s">
        <v>814</v>
      </c>
      <c r="H68" s="21">
        <v>17.6</v>
      </c>
      <c r="I68" s="21">
        <v>17.6</v>
      </c>
      <c r="J68" s="21">
        <v>17.6</v>
      </c>
      <c r="K68" s="21">
        <v>8.5</v>
      </c>
      <c r="L68" s="21">
        <v>8.5</v>
      </c>
      <c r="M68" s="21">
        <v>8.5</v>
      </c>
      <c r="N68" s="21">
        <v>6</v>
      </c>
      <c r="O68" s="21">
        <v>6</v>
      </c>
      <c r="P68" s="21">
        <v>6</v>
      </c>
    </row>
    <row r="69" customHeight="1" spans="1:16">
      <c r="A69" s="24" t="s">
        <v>252</v>
      </c>
      <c r="B69" s="20" t="s">
        <v>815</v>
      </c>
      <c r="C69" s="20" t="s">
        <v>811</v>
      </c>
      <c r="D69" s="20" t="s">
        <v>811</v>
      </c>
      <c r="E69" s="20" t="s">
        <v>812</v>
      </c>
      <c r="F69" s="20" t="s">
        <v>813</v>
      </c>
      <c r="G69" s="20" t="s">
        <v>814</v>
      </c>
      <c r="H69" s="21">
        <v>17.6</v>
      </c>
      <c r="I69" s="21">
        <v>17.6</v>
      </c>
      <c r="J69" s="21">
        <v>17.6</v>
      </c>
      <c r="K69" s="21">
        <v>8.5</v>
      </c>
      <c r="L69" s="21">
        <v>8.5</v>
      </c>
      <c r="M69" s="21">
        <v>8.5</v>
      </c>
      <c r="N69" s="21">
        <v>6</v>
      </c>
      <c r="O69" s="21">
        <v>6</v>
      </c>
      <c r="P69" s="21">
        <v>6</v>
      </c>
    </row>
    <row r="70" customHeight="1" spans="1:16">
      <c r="A70" s="24" t="s">
        <v>257</v>
      </c>
      <c r="B70" s="20" t="s">
        <v>815</v>
      </c>
      <c r="C70" s="20" t="s">
        <v>811</v>
      </c>
      <c r="D70" s="20" t="s">
        <v>811</v>
      </c>
      <c r="E70" s="20" t="s">
        <v>812</v>
      </c>
      <c r="F70" s="20" t="s">
        <v>813</v>
      </c>
      <c r="G70" s="20" t="s">
        <v>814</v>
      </c>
      <c r="H70" s="21">
        <v>17.6</v>
      </c>
      <c r="I70" s="21">
        <v>17.6</v>
      </c>
      <c r="J70" s="21">
        <v>17.6</v>
      </c>
      <c r="K70" s="21">
        <v>8.5</v>
      </c>
      <c r="L70" s="21">
        <v>8.5</v>
      </c>
      <c r="M70" s="21">
        <v>8.5</v>
      </c>
      <c r="N70" s="21">
        <v>6</v>
      </c>
      <c r="O70" s="21">
        <v>6</v>
      </c>
      <c r="P70" s="21">
        <v>6</v>
      </c>
    </row>
    <row r="71" customHeight="1" spans="1:16">
      <c r="A71" s="24" t="s">
        <v>259</v>
      </c>
      <c r="B71" s="20" t="s">
        <v>815</v>
      </c>
      <c r="C71" s="20" t="s">
        <v>811</v>
      </c>
      <c r="D71" s="20" t="s">
        <v>811</v>
      </c>
      <c r="E71" s="20" t="s">
        <v>812</v>
      </c>
      <c r="F71" s="20" t="s">
        <v>813</v>
      </c>
      <c r="G71" s="20" t="s">
        <v>814</v>
      </c>
      <c r="H71" s="21">
        <v>17.6</v>
      </c>
      <c r="I71" s="21">
        <v>17.6</v>
      </c>
      <c r="J71" s="21">
        <v>17.6</v>
      </c>
      <c r="K71" s="21">
        <v>8.5</v>
      </c>
      <c r="L71" s="21">
        <v>8.5</v>
      </c>
      <c r="M71" s="21">
        <v>8.5</v>
      </c>
      <c r="N71" s="21">
        <v>6</v>
      </c>
      <c r="O71" s="21">
        <v>6</v>
      </c>
      <c r="P71" s="21">
        <v>6</v>
      </c>
    </row>
    <row r="72" customHeight="1" spans="1:16">
      <c r="A72" s="24" t="s">
        <v>261</v>
      </c>
      <c r="B72" s="20" t="s">
        <v>815</v>
      </c>
      <c r="C72" s="20" t="s">
        <v>811</v>
      </c>
      <c r="D72" s="20" t="s">
        <v>811</v>
      </c>
      <c r="E72" s="20" t="s">
        <v>812</v>
      </c>
      <c r="F72" s="20" t="s">
        <v>813</v>
      </c>
      <c r="G72" s="20" t="s">
        <v>814</v>
      </c>
      <c r="H72" s="21">
        <v>17.6</v>
      </c>
      <c r="I72" s="21">
        <v>17.6</v>
      </c>
      <c r="J72" s="21">
        <v>17.6</v>
      </c>
      <c r="K72" s="21">
        <v>8.5</v>
      </c>
      <c r="L72" s="21">
        <v>8.5</v>
      </c>
      <c r="M72" s="21">
        <v>8.5</v>
      </c>
      <c r="N72" s="21">
        <v>6</v>
      </c>
      <c r="O72" s="21">
        <v>6</v>
      </c>
      <c r="P72" s="21">
        <v>6</v>
      </c>
    </row>
    <row r="73" customHeight="1" spans="1:16">
      <c r="A73" s="24" t="s">
        <v>264</v>
      </c>
      <c r="B73" s="20" t="s">
        <v>815</v>
      </c>
      <c r="C73" s="20" t="s">
        <v>811</v>
      </c>
      <c r="D73" s="20" t="s">
        <v>811</v>
      </c>
      <c r="E73" s="20" t="s">
        <v>812</v>
      </c>
      <c r="F73" s="20" t="s">
        <v>813</v>
      </c>
      <c r="G73" s="20" t="s">
        <v>814</v>
      </c>
      <c r="H73" s="21">
        <v>17.6</v>
      </c>
      <c r="I73" s="21">
        <v>17.6</v>
      </c>
      <c r="J73" s="21">
        <v>17.6</v>
      </c>
      <c r="K73" s="21">
        <v>8.5</v>
      </c>
      <c r="L73" s="21">
        <v>8.5</v>
      </c>
      <c r="M73" s="21">
        <v>8.5</v>
      </c>
      <c r="N73" s="21">
        <v>6</v>
      </c>
      <c r="O73" s="21">
        <v>6</v>
      </c>
      <c r="P73" s="21">
        <v>6</v>
      </c>
    </row>
    <row r="74" customHeight="1" spans="1:16">
      <c r="A74" s="24" t="s">
        <v>266</v>
      </c>
      <c r="B74" s="20" t="s">
        <v>815</v>
      </c>
      <c r="C74" s="20" t="s">
        <v>811</v>
      </c>
      <c r="D74" s="20" t="s">
        <v>811</v>
      </c>
      <c r="E74" s="20" t="s">
        <v>812</v>
      </c>
      <c r="F74" s="20" t="s">
        <v>813</v>
      </c>
      <c r="G74" s="20" t="s">
        <v>814</v>
      </c>
      <c r="H74" s="21">
        <v>17.6</v>
      </c>
      <c r="I74" s="21">
        <v>17.6</v>
      </c>
      <c r="J74" s="21">
        <v>17.6</v>
      </c>
      <c r="K74" s="21">
        <v>8.5</v>
      </c>
      <c r="L74" s="21">
        <v>8.5</v>
      </c>
      <c r="M74" s="21">
        <v>8.5</v>
      </c>
      <c r="N74" s="21">
        <v>6</v>
      </c>
      <c r="O74" s="21">
        <v>6</v>
      </c>
      <c r="P74" s="21">
        <v>6</v>
      </c>
    </row>
    <row r="75" customHeight="1" spans="1:16">
      <c r="A75" s="24" t="s">
        <v>268</v>
      </c>
      <c r="B75" s="20" t="s">
        <v>815</v>
      </c>
      <c r="C75" s="20" t="s">
        <v>811</v>
      </c>
      <c r="D75" s="20" t="s">
        <v>811</v>
      </c>
      <c r="E75" s="20" t="s">
        <v>812</v>
      </c>
      <c r="F75" s="20" t="s">
        <v>813</v>
      </c>
      <c r="G75" s="20" t="s">
        <v>814</v>
      </c>
      <c r="H75" s="21">
        <v>17.6</v>
      </c>
      <c r="I75" s="21">
        <v>17.6</v>
      </c>
      <c r="J75" s="21">
        <v>17.6</v>
      </c>
      <c r="K75" s="21">
        <v>8.6</v>
      </c>
      <c r="L75" s="21">
        <v>8.6</v>
      </c>
      <c r="M75" s="21">
        <v>8.6</v>
      </c>
      <c r="N75" s="21">
        <v>6</v>
      </c>
      <c r="O75" s="21">
        <v>6</v>
      </c>
      <c r="P75" s="21">
        <v>6</v>
      </c>
    </row>
    <row r="76" customHeight="1" spans="1:16">
      <c r="A76" s="24" t="s">
        <v>270</v>
      </c>
      <c r="B76" s="20" t="s">
        <v>815</v>
      </c>
      <c r="C76" s="20" t="s">
        <v>811</v>
      </c>
      <c r="D76" s="20" t="s">
        <v>811</v>
      </c>
      <c r="E76" s="20" t="s">
        <v>812</v>
      </c>
      <c r="F76" s="20" t="s">
        <v>813</v>
      </c>
      <c r="G76" s="20" t="s">
        <v>814</v>
      </c>
      <c r="H76" s="21">
        <v>17.6</v>
      </c>
      <c r="I76" s="21">
        <v>17.6</v>
      </c>
      <c r="J76" s="21">
        <v>17.6</v>
      </c>
      <c r="K76" s="21">
        <v>8.6</v>
      </c>
      <c r="L76" s="21">
        <v>8.6</v>
      </c>
      <c r="M76" s="21">
        <v>8.6</v>
      </c>
      <c r="N76" s="21">
        <v>6</v>
      </c>
      <c r="O76" s="21">
        <v>6</v>
      </c>
      <c r="P76" s="21">
        <v>6</v>
      </c>
    </row>
    <row r="77" customHeight="1" spans="1:16">
      <c r="A77" s="24" t="s">
        <v>272</v>
      </c>
      <c r="B77" s="20" t="s">
        <v>815</v>
      </c>
      <c r="C77" s="20" t="s">
        <v>811</v>
      </c>
      <c r="D77" s="20" t="s">
        <v>811</v>
      </c>
      <c r="E77" s="20" t="s">
        <v>812</v>
      </c>
      <c r="F77" s="20" t="s">
        <v>813</v>
      </c>
      <c r="G77" s="20" t="s">
        <v>814</v>
      </c>
      <c r="H77" s="21">
        <v>17.6</v>
      </c>
      <c r="I77" s="21">
        <v>17.6</v>
      </c>
      <c r="J77" s="21">
        <v>17.6</v>
      </c>
      <c r="K77" s="21">
        <v>8.6</v>
      </c>
      <c r="L77" s="21">
        <v>8.6</v>
      </c>
      <c r="M77" s="21">
        <v>8.6</v>
      </c>
      <c r="N77" s="21">
        <v>6</v>
      </c>
      <c r="O77" s="21">
        <v>6</v>
      </c>
      <c r="P77" s="21">
        <v>6</v>
      </c>
    </row>
    <row r="78" customHeight="1" spans="1:16">
      <c r="A78" s="24" t="s">
        <v>275</v>
      </c>
      <c r="B78" s="20" t="s">
        <v>815</v>
      </c>
      <c r="C78" s="20" t="s">
        <v>811</v>
      </c>
      <c r="D78" s="20" t="s">
        <v>811</v>
      </c>
      <c r="E78" s="20" t="s">
        <v>812</v>
      </c>
      <c r="F78" s="20" t="s">
        <v>813</v>
      </c>
      <c r="G78" s="20" t="s">
        <v>814</v>
      </c>
      <c r="H78" s="21">
        <v>17.6</v>
      </c>
      <c r="I78" s="21">
        <v>17.6</v>
      </c>
      <c r="J78" s="21">
        <v>17.6</v>
      </c>
      <c r="K78" s="21">
        <v>8.6</v>
      </c>
      <c r="L78" s="21">
        <v>8.6</v>
      </c>
      <c r="M78" s="21">
        <v>8.6</v>
      </c>
      <c r="N78" s="21">
        <v>6</v>
      </c>
      <c r="O78" s="21">
        <v>6</v>
      </c>
      <c r="P78" s="21">
        <v>6</v>
      </c>
    </row>
    <row r="79" customHeight="1" spans="1:16">
      <c r="A79" s="24" t="s">
        <v>276</v>
      </c>
      <c r="B79" s="20" t="s">
        <v>815</v>
      </c>
      <c r="C79" s="20" t="s">
        <v>811</v>
      </c>
      <c r="D79" s="20" t="s">
        <v>811</v>
      </c>
      <c r="E79" s="20" t="s">
        <v>812</v>
      </c>
      <c r="F79" s="20" t="s">
        <v>813</v>
      </c>
      <c r="G79" s="20" t="s">
        <v>814</v>
      </c>
      <c r="H79" s="21">
        <v>17.6</v>
      </c>
      <c r="I79" s="21">
        <v>17.6</v>
      </c>
      <c r="J79" s="21">
        <v>17.6</v>
      </c>
      <c r="K79" s="21">
        <v>8.5</v>
      </c>
      <c r="L79" s="21">
        <v>8.5</v>
      </c>
      <c r="M79" s="21">
        <v>8.5</v>
      </c>
      <c r="N79" s="21">
        <v>6</v>
      </c>
      <c r="O79" s="21">
        <v>6</v>
      </c>
      <c r="P79" s="21">
        <v>6</v>
      </c>
    </row>
    <row r="80" customHeight="1" spans="1:16">
      <c r="A80" s="24" t="s">
        <v>278</v>
      </c>
      <c r="B80" s="20" t="s">
        <v>815</v>
      </c>
      <c r="C80" s="20" t="s">
        <v>811</v>
      </c>
      <c r="D80" s="20" t="s">
        <v>811</v>
      </c>
      <c r="E80" s="20" t="s">
        <v>812</v>
      </c>
      <c r="F80" s="20" t="s">
        <v>813</v>
      </c>
      <c r="G80" s="20" t="s">
        <v>814</v>
      </c>
      <c r="H80" s="21">
        <v>18.1</v>
      </c>
      <c r="I80" s="21">
        <v>18.1</v>
      </c>
      <c r="J80" s="21">
        <v>18</v>
      </c>
      <c r="K80" s="21">
        <v>8.7</v>
      </c>
      <c r="L80" s="21">
        <v>8.8</v>
      </c>
      <c r="M80" s="21">
        <v>8.733</v>
      </c>
      <c r="N80" s="21">
        <v>5.8</v>
      </c>
      <c r="O80" s="21">
        <v>5.8</v>
      </c>
      <c r="P80" s="21">
        <v>5.8</v>
      </c>
    </row>
    <row r="81" customHeight="1" spans="1:16">
      <c r="A81" s="24" t="s">
        <v>281</v>
      </c>
      <c r="B81" s="20" t="s">
        <v>815</v>
      </c>
      <c r="C81" s="20" t="s">
        <v>811</v>
      </c>
      <c r="D81" s="20" t="s">
        <v>811</v>
      </c>
      <c r="E81" s="20" t="s">
        <v>812</v>
      </c>
      <c r="F81" s="20" t="s">
        <v>813</v>
      </c>
      <c r="G81" s="20" t="s">
        <v>814</v>
      </c>
      <c r="H81" s="21">
        <v>17.6</v>
      </c>
      <c r="I81" s="21">
        <v>17.6</v>
      </c>
      <c r="J81" s="21">
        <v>17.6</v>
      </c>
      <c r="K81" s="21">
        <v>8.5</v>
      </c>
      <c r="L81" s="21">
        <v>8.5</v>
      </c>
      <c r="M81" s="21">
        <v>8.5</v>
      </c>
      <c r="N81" s="21">
        <v>6</v>
      </c>
      <c r="O81" s="21">
        <v>6</v>
      </c>
      <c r="P81" s="21">
        <v>6</v>
      </c>
    </row>
    <row r="82" customHeight="1" spans="1:16">
      <c r="A82" s="24" t="s">
        <v>283</v>
      </c>
      <c r="B82" s="20" t="s">
        <v>815</v>
      </c>
      <c r="C82" s="20" t="s">
        <v>811</v>
      </c>
      <c r="D82" s="20" t="s">
        <v>811</v>
      </c>
      <c r="E82" s="20" t="s">
        <v>812</v>
      </c>
      <c r="F82" s="20" t="s">
        <v>813</v>
      </c>
      <c r="G82" s="20" t="s">
        <v>814</v>
      </c>
      <c r="H82" s="21">
        <v>17.6</v>
      </c>
      <c r="I82" s="21">
        <v>17.6</v>
      </c>
      <c r="J82" s="21">
        <v>17.6</v>
      </c>
      <c r="K82" s="21">
        <v>8.5</v>
      </c>
      <c r="L82" s="21">
        <v>8.5</v>
      </c>
      <c r="M82" s="21">
        <v>8.5</v>
      </c>
      <c r="N82" s="21">
        <v>6</v>
      </c>
      <c r="O82" s="21">
        <v>6</v>
      </c>
      <c r="P82" s="21">
        <v>6</v>
      </c>
    </row>
    <row r="83" customHeight="1" spans="1:16">
      <c r="A83" s="24" t="s">
        <v>284</v>
      </c>
      <c r="B83" s="20" t="s">
        <v>815</v>
      </c>
      <c r="C83" s="20" t="s">
        <v>811</v>
      </c>
      <c r="D83" s="20" t="s">
        <v>811</v>
      </c>
      <c r="E83" s="20" t="s">
        <v>812</v>
      </c>
      <c r="F83" s="20" t="s">
        <v>813</v>
      </c>
      <c r="G83" s="20" t="s">
        <v>814</v>
      </c>
      <c r="H83" s="21">
        <v>17.6</v>
      </c>
      <c r="I83" s="21">
        <v>17.6</v>
      </c>
      <c r="J83" s="21">
        <v>17.6</v>
      </c>
      <c r="K83" s="21">
        <v>8.6</v>
      </c>
      <c r="L83" s="21">
        <v>8.6</v>
      </c>
      <c r="M83" s="21">
        <v>8.6</v>
      </c>
      <c r="N83" s="21">
        <v>6</v>
      </c>
      <c r="O83" s="21">
        <v>6</v>
      </c>
      <c r="P83" s="21">
        <v>6</v>
      </c>
    </row>
    <row r="84" customHeight="1" spans="1:16">
      <c r="A84" s="24" t="s">
        <v>287</v>
      </c>
      <c r="B84" s="20" t="s">
        <v>815</v>
      </c>
      <c r="C84" s="20" t="s">
        <v>811</v>
      </c>
      <c r="D84" s="20" t="s">
        <v>811</v>
      </c>
      <c r="E84" s="20" t="s">
        <v>812</v>
      </c>
      <c r="F84" s="20" t="s">
        <v>813</v>
      </c>
      <c r="G84" s="20" t="s">
        <v>814</v>
      </c>
      <c r="H84" s="21">
        <v>17.6</v>
      </c>
      <c r="I84" s="21">
        <v>17.6</v>
      </c>
      <c r="J84" s="21">
        <v>17.6</v>
      </c>
      <c r="K84" s="21">
        <v>8.6</v>
      </c>
      <c r="L84" s="21">
        <v>8.6</v>
      </c>
      <c r="M84" s="21">
        <v>8.6</v>
      </c>
      <c r="N84" s="21">
        <v>6</v>
      </c>
      <c r="O84" s="21">
        <v>6</v>
      </c>
      <c r="P84" s="21">
        <v>6</v>
      </c>
    </row>
    <row r="85" customHeight="1" spans="1:16">
      <c r="A85" s="24" t="s">
        <v>291</v>
      </c>
      <c r="B85" s="20" t="s">
        <v>815</v>
      </c>
      <c r="C85" s="20" t="s">
        <v>811</v>
      </c>
      <c r="D85" s="20" t="s">
        <v>811</v>
      </c>
      <c r="E85" s="20" t="s">
        <v>812</v>
      </c>
      <c r="F85" s="20" t="s">
        <v>813</v>
      </c>
      <c r="G85" s="20" t="s">
        <v>814</v>
      </c>
      <c r="H85" s="21">
        <v>17.6</v>
      </c>
      <c r="I85" s="21">
        <v>17.6</v>
      </c>
      <c r="J85" s="21">
        <v>17.6</v>
      </c>
      <c r="K85" s="21">
        <v>8.5</v>
      </c>
      <c r="L85" s="21">
        <v>8.5</v>
      </c>
      <c r="M85" s="21">
        <v>8.5</v>
      </c>
      <c r="N85" s="21">
        <v>6</v>
      </c>
      <c r="O85" s="21">
        <v>6</v>
      </c>
      <c r="P85" s="21">
        <v>6</v>
      </c>
    </row>
    <row r="86" customHeight="1" spans="1:16">
      <c r="A86" s="24" t="s">
        <v>292</v>
      </c>
      <c r="B86" s="20" t="s">
        <v>815</v>
      </c>
      <c r="C86" s="20" t="s">
        <v>811</v>
      </c>
      <c r="D86" s="20" t="s">
        <v>811</v>
      </c>
      <c r="E86" s="20" t="s">
        <v>812</v>
      </c>
      <c r="F86" s="20" t="s">
        <v>813</v>
      </c>
      <c r="G86" s="20" t="s">
        <v>814</v>
      </c>
      <c r="H86" s="21">
        <v>17.6</v>
      </c>
      <c r="I86" s="21">
        <v>17.6</v>
      </c>
      <c r="J86" s="21">
        <v>17.6</v>
      </c>
      <c r="K86" s="21">
        <v>8.5</v>
      </c>
      <c r="L86" s="21">
        <v>8.5</v>
      </c>
      <c r="M86" s="21">
        <v>8.5</v>
      </c>
      <c r="N86" s="21">
        <v>6</v>
      </c>
      <c r="O86" s="21">
        <v>6</v>
      </c>
      <c r="P86" s="21">
        <v>6</v>
      </c>
    </row>
    <row r="87" customHeight="1" spans="1:16">
      <c r="A87" s="24" t="s">
        <v>293</v>
      </c>
      <c r="B87" s="20" t="s">
        <v>815</v>
      </c>
      <c r="C87" s="20" t="s">
        <v>811</v>
      </c>
      <c r="D87" s="20" t="s">
        <v>811</v>
      </c>
      <c r="E87" s="20" t="s">
        <v>812</v>
      </c>
      <c r="F87" s="20" t="s">
        <v>813</v>
      </c>
      <c r="G87" s="20" t="s">
        <v>814</v>
      </c>
      <c r="H87" s="21">
        <v>17.6</v>
      </c>
      <c r="I87" s="21">
        <v>17.6</v>
      </c>
      <c r="J87" s="21">
        <v>17.6</v>
      </c>
      <c r="K87" s="21">
        <v>8.5</v>
      </c>
      <c r="L87" s="21">
        <v>8.5</v>
      </c>
      <c r="M87" s="21">
        <v>8.5</v>
      </c>
      <c r="N87" s="21">
        <v>6</v>
      </c>
      <c r="O87" s="21">
        <v>6</v>
      </c>
      <c r="P87" s="21">
        <v>6</v>
      </c>
    </row>
    <row r="88" customHeight="1" spans="1:16">
      <c r="A88" s="24" t="s">
        <v>296</v>
      </c>
      <c r="B88" s="20" t="s">
        <v>815</v>
      </c>
      <c r="C88" s="20" t="s">
        <v>811</v>
      </c>
      <c r="D88" s="20" t="s">
        <v>811</v>
      </c>
      <c r="E88" s="20" t="s">
        <v>812</v>
      </c>
      <c r="F88" s="20" t="s">
        <v>813</v>
      </c>
      <c r="G88" s="20" t="s">
        <v>814</v>
      </c>
      <c r="H88" s="21">
        <v>17.6</v>
      </c>
      <c r="I88" s="21">
        <v>17.6</v>
      </c>
      <c r="J88" s="21">
        <v>17.6</v>
      </c>
      <c r="K88" s="21">
        <v>8.5</v>
      </c>
      <c r="L88" s="21">
        <v>8.5</v>
      </c>
      <c r="M88" s="21">
        <v>8.5</v>
      </c>
      <c r="N88" s="21">
        <v>6</v>
      </c>
      <c r="O88" s="21">
        <v>6</v>
      </c>
      <c r="P88" s="21">
        <v>6</v>
      </c>
    </row>
    <row r="89" customHeight="1" spans="1:16">
      <c r="A89" s="24" t="s">
        <v>298</v>
      </c>
      <c r="B89" s="20" t="s">
        <v>815</v>
      </c>
      <c r="C89" s="20" t="s">
        <v>811</v>
      </c>
      <c r="D89" s="20" t="s">
        <v>811</v>
      </c>
      <c r="E89" s="20" t="s">
        <v>812</v>
      </c>
      <c r="F89" s="20" t="s">
        <v>813</v>
      </c>
      <c r="G89" s="20" t="s">
        <v>814</v>
      </c>
      <c r="H89" s="21">
        <v>17.6</v>
      </c>
      <c r="I89" s="21">
        <v>17.6</v>
      </c>
      <c r="J89" s="21">
        <v>17.6</v>
      </c>
      <c r="K89" s="21">
        <v>8.5</v>
      </c>
      <c r="L89" s="21">
        <v>8.5</v>
      </c>
      <c r="M89" s="21">
        <v>8.5</v>
      </c>
      <c r="N89" s="21">
        <v>6</v>
      </c>
      <c r="O89" s="21">
        <v>6</v>
      </c>
      <c r="P89" s="21">
        <v>6</v>
      </c>
    </row>
    <row r="90" customHeight="1" spans="1:16">
      <c r="A90" s="24" t="s">
        <v>299</v>
      </c>
      <c r="B90" s="20" t="s">
        <v>815</v>
      </c>
      <c r="C90" s="20" t="s">
        <v>811</v>
      </c>
      <c r="D90" s="20" t="s">
        <v>811</v>
      </c>
      <c r="E90" s="20" t="s">
        <v>812</v>
      </c>
      <c r="F90" s="20" t="s">
        <v>813</v>
      </c>
      <c r="G90" s="20" t="s">
        <v>814</v>
      </c>
      <c r="H90" s="21">
        <v>17.6</v>
      </c>
      <c r="I90" s="21">
        <v>17.6</v>
      </c>
      <c r="J90" s="21">
        <v>17.6</v>
      </c>
      <c r="K90" s="21">
        <v>8.5</v>
      </c>
      <c r="L90" s="21">
        <v>8.5</v>
      </c>
      <c r="M90" s="21">
        <v>8.5</v>
      </c>
      <c r="N90" s="21">
        <v>6</v>
      </c>
      <c r="O90" s="21">
        <v>6</v>
      </c>
      <c r="P90" s="21">
        <v>6</v>
      </c>
    </row>
    <row r="91" customHeight="1" spans="1:16">
      <c r="A91" s="24" t="s">
        <v>300</v>
      </c>
      <c r="B91" s="20" t="s">
        <v>815</v>
      </c>
      <c r="C91" s="20" t="s">
        <v>811</v>
      </c>
      <c r="D91" s="20" t="s">
        <v>811</v>
      </c>
      <c r="E91" s="20" t="s">
        <v>812</v>
      </c>
      <c r="F91" s="20" t="s">
        <v>813</v>
      </c>
      <c r="G91" s="20" t="s">
        <v>814</v>
      </c>
      <c r="H91" s="21">
        <v>17.6</v>
      </c>
      <c r="I91" s="21">
        <v>17.6</v>
      </c>
      <c r="J91" s="21">
        <v>17.6</v>
      </c>
      <c r="K91" s="21">
        <v>8.5</v>
      </c>
      <c r="L91" s="21">
        <v>8.5</v>
      </c>
      <c r="M91" s="21">
        <v>8.5</v>
      </c>
      <c r="N91" s="21">
        <v>6</v>
      </c>
      <c r="O91" s="21">
        <v>6</v>
      </c>
      <c r="P91" s="21">
        <v>6</v>
      </c>
    </row>
    <row r="92" customHeight="1" spans="1:16">
      <c r="A92" s="24" t="s">
        <v>302</v>
      </c>
      <c r="B92" s="20" t="s">
        <v>815</v>
      </c>
      <c r="C92" s="20" t="s">
        <v>811</v>
      </c>
      <c r="D92" s="20" t="s">
        <v>811</v>
      </c>
      <c r="E92" s="20" t="s">
        <v>812</v>
      </c>
      <c r="F92" s="20" t="s">
        <v>813</v>
      </c>
      <c r="G92" s="20" t="s">
        <v>814</v>
      </c>
      <c r="H92" s="21">
        <v>18.1</v>
      </c>
      <c r="I92" s="21">
        <v>18.1</v>
      </c>
      <c r="J92" s="21">
        <v>18.1</v>
      </c>
      <c r="K92" s="21">
        <v>8.8</v>
      </c>
      <c r="L92" s="21">
        <v>8.8</v>
      </c>
      <c r="M92" s="21">
        <v>8.8</v>
      </c>
      <c r="N92" s="21">
        <v>5.8</v>
      </c>
      <c r="O92" s="21">
        <v>5.8</v>
      </c>
      <c r="P92" s="21">
        <v>5.8</v>
      </c>
    </row>
    <row r="93" customHeight="1" spans="1:16">
      <c r="A93" s="24" t="s">
        <v>304</v>
      </c>
      <c r="B93" s="20" t="s">
        <v>815</v>
      </c>
      <c r="C93" s="20" t="s">
        <v>811</v>
      </c>
      <c r="D93" s="20" t="s">
        <v>811</v>
      </c>
      <c r="E93" s="20" t="s">
        <v>812</v>
      </c>
      <c r="F93" s="20" t="s">
        <v>813</v>
      </c>
      <c r="G93" s="20" t="s">
        <v>814</v>
      </c>
      <c r="H93" s="21">
        <v>17.6</v>
      </c>
      <c r="I93" s="21">
        <v>17.6</v>
      </c>
      <c r="J93" s="21">
        <v>17.6</v>
      </c>
      <c r="K93" s="21">
        <v>8.5</v>
      </c>
      <c r="L93" s="21">
        <v>8.6</v>
      </c>
      <c r="M93" s="21">
        <v>8.533</v>
      </c>
      <c r="N93" s="21">
        <v>6</v>
      </c>
      <c r="O93" s="21">
        <v>6</v>
      </c>
      <c r="P93" s="21">
        <v>6</v>
      </c>
    </row>
    <row r="94" s="1" customFormat="1" customHeight="1" spans="8:16">
      <c r="H94" s="28"/>
      <c r="I94" s="28"/>
      <c r="J94" s="28"/>
      <c r="K94" s="28"/>
      <c r="L94" s="28"/>
      <c r="M94" s="28"/>
      <c r="N94" s="28"/>
      <c r="O94" s="28"/>
      <c r="P94" s="28"/>
    </row>
    <row r="95" customHeight="1" spans="1:16">
      <c r="A95" s="25" t="s">
        <v>305</v>
      </c>
      <c r="B95" s="20" t="s">
        <v>815</v>
      </c>
      <c r="C95" s="20" t="s">
        <v>811</v>
      </c>
      <c r="D95" s="20" t="s">
        <v>811</v>
      </c>
      <c r="E95" s="20" t="s">
        <v>812</v>
      </c>
      <c r="F95" s="20" t="s">
        <v>813</v>
      </c>
      <c r="G95" s="20" t="s">
        <v>814</v>
      </c>
      <c r="H95" s="21">
        <v>17.6</v>
      </c>
      <c r="I95" s="21">
        <v>17.6</v>
      </c>
      <c r="J95" s="21">
        <v>17.6</v>
      </c>
      <c r="K95" s="21">
        <v>8.5</v>
      </c>
      <c r="L95" s="21">
        <v>8.6</v>
      </c>
      <c r="M95" s="21">
        <v>8.6</v>
      </c>
      <c r="N95" s="21">
        <v>6</v>
      </c>
      <c r="O95" s="21">
        <v>6</v>
      </c>
      <c r="P95" s="21">
        <v>6</v>
      </c>
    </row>
    <row r="96" customHeight="1" spans="1:16">
      <c r="A96" s="25" t="s">
        <v>307</v>
      </c>
      <c r="B96" s="20" t="s">
        <v>815</v>
      </c>
      <c r="C96" s="20" t="s">
        <v>811</v>
      </c>
      <c r="D96" s="20" t="s">
        <v>811</v>
      </c>
      <c r="E96" s="20" t="s">
        <v>812</v>
      </c>
      <c r="F96" s="20" t="s">
        <v>813</v>
      </c>
      <c r="G96" s="20" t="s">
        <v>814</v>
      </c>
      <c r="H96" s="21">
        <v>17.6</v>
      </c>
      <c r="I96" s="21">
        <v>17.6</v>
      </c>
      <c r="J96" s="21">
        <v>17.6</v>
      </c>
      <c r="K96" s="21">
        <v>8.5</v>
      </c>
      <c r="L96" s="21">
        <v>8.5</v>
      </c>
      <c r="M96" s="21">
        <v>8.5</v>
      </c>
      <c r="N96" s="21">
        <v>6</v>
      </c>
      <c r="O96" s="21">
        <v>6</v>
      </c>
      <c r="P96" s="21">
        <v>6</v>
      </c>
    </row>
    <row r="97" customHeight="1" spans="1:16">
      <c r="A97" s="25" t="s">
        <v>311</v>
      </c>
      <c r="B97" s="20" t="s">
        <v>815</v>
      </c>
      <c r="C97" s="20" t="s">
        <v>811</v>
      </c>
      <c r="D97" s="20" t="s">
        <v>811</v>
      </c>
      <c r="E97" s="20" t="s">
        <v>812</v>
      </c>
      <c r="F97" s="20" t="s">
        <v>813</v>
      </c>
      <c r="G97" s="20" t="s">
        <v>814</v>
      </c>
      <c r="H97" s="21">
        <v>17.6</v>
      </c>
      <c r="I97" s="21">
        <v>17.6</v>
      </c>
      <c r="J97" s="21">
        <v>17.6</v>
      </c>
      <c r="K97" s="21">
        <v>8.5</v>
      </c>
      <c r="L97" s="21">
        <v>8.5</v>
      </c>
      <c r="M97" s="21">
        <v>8.5</v>
      </c>
      <c r="N97" s="21">
        <v>6</v>
      </c>
      <c r="O97" s="21">
        <v>6</v>
      </c>
      <c r="P97" s="21">
        <v>6</v>
      </c>
    </row>
    <row r="98" customHeight="1" spans="1:16">
      <c r="A98" s="25" t="s">
        <v>312</v>
      </c>
      <c r="B98" s="20" t="s">
        <v>815</v>
      </c>
      <c r="C98" s="20" t="s">
        <v>811</v>
      </c>
      <c r="D98" s="20" t="s">
        <v>811</v>
      </c>
      <c r="E98" s="20" t="s">
        <v>812</v>
      </c>
      <c r="F98" s="20" t="s">
        <v>813</v>
      </c>
      <c r="G98" s="20" t="s">
        <v>814</v>
      </c>
      <c r="H98" s="21">
        <v>17.6</v>
      </c>
      <c r="I98" s="21">
        <v>17.6</v>
      </c>
      <c r="J98" s="21">
        <v>17.6</v>
      </c>
      <c r="K98" s="21">
        <v>8.5</v>
      </c>
      <c r="L98" s="21">
        <v>8.5</v>
      </c>
      <c r="M98" s="21">
        <v>8.5</v>
      </c>
      <c r="N98" s="21">
        <v>6</v>
      </c>
      <c r="O98" s="21">
        <v>6</v>
      </c>
      <c r="P98" s="21">
        <v>6</v>
      </c>
    </row>
    <row r="99" customHeight="1" spans="1:16">
      <c r="A99" s="25" t="s">
        <v>314</v>
      </c>
      <c r="B99" s="20" t="s">
        <v>815</v>
      </c>
      <c r="C99" s="20" t="s">
        <v>811</v>
      </c>
      <c r="D99" s="20" t="s">
        <v>811</v>
      </c>
      <c r="E99" s="20" t="s">
        <v>812</v>
      </c>
      <c r="F99" s="20" t="s">
        <v>813</v>
      </c>
      <c r="G99" s="20" t="s">
        <v>814</v>
      </c>
      <c r="H99" s="21">
        <v>17.6</v>
      </c>
      <c r="I99" s="21">
        <v>17.6</v>
      </c>
      <c r="J99" s="21">
        <v>17.6</v>
      </c>
      <c r="K99" s="21">
        <v>8.6</v>
      </c>
      <c r="L99" s="21">
        <v>8.6</v>
      </c>
      <c r="M99" s="21">
        <v>8.6</v>
      </c>
      <c r="N99" s="21">
        <v>5.9</v>
      </c>
      <c r="O99" s="21">
        <v>6</v>
      </c>
      <c r="P99" s="21">
        <v>5.966</v>
      </c>
    </row>
    <row r="100" customHeight="1" spans="1:16">
      <c r="A100" s="25" t="s">
        <v>315</v>
      </c>
      <c r="B100" s="20" t="s">
        <v>815</v>
      </c>
      <c r="C100" s="20" t="s">
        <v>811</v>
      </c>
      <c r="D100" s="20" t="s">
        <v>811</v>
      </c>
      <c r="E100" s="20" t="s">
        <v>812</v>
      </c>
      <c r="F100" s="20" t="s">
        <v>813</v>
      </c>
      <c r="G100" s="20" t="s">
        <v>814</v>
      </c>
      <c r="H100" s="21">
        <v>17.6</v>
      </c>
      <c r="I100" s="21">
        <v>17.6</v>
      </c>
      <c r="J100" s="21">
        <v>17.6</v>
      </c>
      <c r="K100" s="21">
        <v>8.6</v>
      </c>
      <c r="L100" s="21">
        <v>8.6</v>
      </c>
      <c r="M100" s="21">
        <v>8.6</v>
      </c>
      <c r="N100" s="21">
        <v>6</v>
      </c>
      <c r="O100" s="21">
        <v>6</v>
      </c>
      <c r="P100" s="21">
        <v>6</v>
      </c>
    </row>
    <row r="101" customHeight="1" spans="1:16">
      <c r="A101" s="29" t="s">
        <v>316</v>
      </c>
      <c r="B101" s="20" t="s">
        <v>815</v>
      </c>
      <c r="C101" s="20" t="s">
        <v>811</v>
      </c>
      <c r="D101" s="20" t="s">
        <v>811</v>
      </c>
      <c r="E101" s="20" t="s">
        <v>812</v>
      </c>
      <c r="F101" s="20" t="s">
        <v>813</v>
      </c>
      <c r="G101" s="20" t="s">
        <v>814</v>
      </c>
      <c r="H101" s="21">
        <v>17.6</v>
      </c>
      <c r="I101" s="21">
        <v>17.6</v>
      </c>
      <c r="J101" s="21">
        <v>17.6</v>
      </c>
      <c r="K101" s="21">
        <v>8.5</v>
      </c>
      <c r="L101" s="21">
        <v>8.5</v>
      </c>
      <c r="M101" s="21">
        <v>8.5</v>
      </c>
      <c r="N101" s="21">
        <v>6</v>
      </c>
      <c r="O101" s="21">
        <v>6</v>
      </c>
      <c r="P101" s="21">
        <v>6</v>
      </c>
    </row>
    <row r="102" customHeight="1" spans="1:16">
      <c r="A102" s="25" t="s">
        <v>318</v>
      </c>
      <c r="B102" s="20" t="s">
        <v>815</v>
      </c>
      <c r="C102" s="20" t="s">
        <v>811</v>
      </c>
      <c r="D102" s="20" t="s">
        <v>811</v>
      </c>
      <c r="E102" s="20" t="s">
        <v>812</v>
      </c>
      <c r="F102" s="20" t="s">
        <v>813</v>
      </c>
      <c r="G102" s="20" t="s">
        <v>814</v>
      </c>
      <c r="H102" s="25">
        <v>18.1</v>
      </c>
      <c r="I102" s="25">
        <v>18.1</v>
      </c>
      <c r="J102" s="25">
        <v>18.1</v>
      </c>
      <c r="K102" s="25">
        <v>8.8</v>
      </c>
      <c r="L102" s="25">
        <v>8.8</v>
      </c>
      <c r="M102" s="25">
        <v>8.8</v>
      </c>
      <c r="N102" s="25">
        <v>5.8</v>
      </c>
      <c r="O102" s="25">
        <v>5.8</v>
      </c>
      <c r="P102" s="25">
        <v>5.8</v>
      </c>
    </row>
    <row r="103" customHeight="1" spans="1:16">
      <c r="A103" s="25" t="s">
        <v>319</v>
      </c>
      <c r="B103" s="20" t="s">
        <v>815</v>
      </c>
      <c r="C103" s="20" t="s">
        <v>811</v>
      </c>
      <c r="D103" s="20" t="s">
        <v>811</v>
      </c>
      <c r="E103" s="20" t="s">
        <v>812</v>
      </c>
      <c r="F103" s="20" t="s">
        <v>813</v>
      </c>
      <c r="G103" s="20" t="s">
        <v>814</v>
      </c>
      <c r="H103" s="21">
        <v>17.6</v>
      </c>
      <c r="I103" s="21">
        <v>17.6</v>
      </c>
      <c r="J103" s="21">
        <v>17.6</v>
      </c>
      <c r="K103" s="21">
        <v>8.6</v>
      </c>
      <c r="L103" s="21">
        <v>8.6</v>
      </c>
      <c r="M103" s="21">
        <v>8.6</v>
      </c>
      <c r="N103" s="21">
        <v>6</v>
      </c>
      <c r="O103" s="21">
        <v>6</v>
      </c>
      <c r="P103" s="21">
        <v>6</v>
      </c>
    </row>
    <row r="104" customHeight="1" spans="1:16">
      <c r="A104" s="25" t="s">
        <v>321</v>
      </c>
      <c r="B104" s="20" t="s">
        <v>815</v>
      </c>
      <c r="C104" s="20" t="s">
        <v>811</v>
      </c>
      <c r="D104" s="20" t="s">
        <v>811</v>
      </c>
      <c r="E104" s="20" t="s">
        <v>812</v>
      </c>
      <c r="F104" s="20" t="s">
        <v>813</v>
      </c>
      <c r="G104" s="20" t="s">
        <v>814</v>
      </c>
      <c r="H104" s="21">
        <v>17.6</v>
      </c>
      <c r="I104" s="21">
        <v>17.6</v>
      </c>
      <c r="J104" s="21">
        <v>17.6</v>
      </c>
      <c r="K104" s="21">
        <v>8.5</v>
      </c>
      <c r="L104" s="21">
        <v>8.5</v>
      </c>
      <c r="M104" s="21">
        <v>8.5</v>
      </c>
      <c r="N104" s="21">
        <v>6</v>
      </c>
      <c r="O104" s="21">
        <v>6</v>
      </c>
      <c r="P104" s="21">
        <v>6</v>
      </c>
    </row>
    <row r="105" customHeight="1" spans="1:16">
      <c r="A105" s="25" t="s">
        <v>322</v>
      </c>
      <c r="B105" s="20" t="s">
        <v>815</v>
      </c>
      <c r="C105" s="20" t="s">
        <v>811</v>
      </c>
      <c r="D105" s="20" t="s">
        <v>811</v>
      </c>
      <c r="E105" s="20" t="s">
        <v>812</v>
      </c>
      <c r="F105" s="20" t="s">
        <v>813</v>
      </c>
      <c r="G105" s="20" t="s">
        <v>814</v>
      </c>
      <c r="H105" s="21">
        <v>17.6</v>
      </c>
      <c r="I105" s="21">
        <v>17.6</v>
      </c>
      <c r="J105" s="21">
        <v>17.6</v>
      </c>
      <c r="K105" s="21">
        <v>8.6</v>
      </c>
      <c r="L105" s="21">
        <v>8.6</v>
      </c>
      <c r="M105" s="21">
        <v>8.6</v>
      </c>
      <c r="N105" s="21">
        <v>6</v>
      </c>
      <c r="O105" s="21">
        <v>6</v>
      </c>
      <c r="P105" s="21">
        <v>6</v>
      </c>
    </row>
    <row r="106" s="1" customFormat="1" customHeight="1" spans="1:1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</row>
    <row r="107" customHeight="1" spans="1:16">
      <c r="A107" s="25" t="s">
        <v>323</v>
      </c>
      <c r="B107" s="20" t="s">
        <v>815</v>
      </c>
      <c r="C107" s="20" t="s">
        <v>811</v>
      </c>
      <c r="D107" s="20" t="s">
        <v>811</v>
      </c>
      <c r="E107" s="20" t="s">
        <v>812</v>
      </c>
      <c r="F107" s="20" t="s">
        <v>813</v>
      </c>
      <c r="G107" s="20" t="s">
        <v>814</v>
      </c>
      <c r="H107" s="25">
        <v>18.1</v>
      </c>
      <c r="I107" s="25">
        <v>18.1</v>
      </c>
      <c r="J107" s="25">
        <v>18.1</v>
      </c>
      <c r="K107" s="25">
        <v>8.8</v>
      </c>
      <c r="L107" s="25">
        <v>8.8</v>
      </c>
      <c r="M107" s="25">
        <v>8.8</v>
      </c>
      <c r="N107" s="25">
        <v>5.7</v>
      </c>
      <c r="O107" s="25">
        <v>5.8</v>
      </c>
      <c r="P107" s="25">
        <v>5.733</v>
      </c>
    </row>
    <row r="108" customHeight="1" spans="1:16">
      <c r="A108" s="25" t="s">
        <v>324</v>
      </c>
      <c r="B108" s="20" t="s">
        <v>815</v>
      </c>
      <c r="C108" s="20" t="s">
        <v>811</v>
      </c>
      <c r="D108" s="20" t="s">
        <v>811</v>
      </c>
      <c r="E108" s="20" t="s">
        <v>812</v>
      </c>
      <c r="F108" s="20" t="s">
        <v>813</v>
      </c>
      <c r="G108" s="20" t="s">
        <v>814</v>
      </c>
      <c r="H108" s="25">
        <v>17.6</v>
      </c>
      <c r="I108" s="25">
        <v>17.6</v>
      </c>
      <c r="J108" s="25">
        <v>17.6</v>
      </c>
      <c r="K108" s="25">
        <v>8.6</v>
      </c>
      <c r="L108" s="25">
        <v>8.6</v>
      </c>
      <c r="M108" s="25">
        <v>8.6</v>
      </c>
      <c r="N108" s="25">
        <v>6</v>
      </c>
      <c r="O108" s="25">
        <v>6</v>
      </c>
      <c r="P108" s="25">
        <v>6</v>
      </c>
    </row>
    <row r="109" customHeight="1" spans="1:16">
      <c r="A109" s="25" t="s">
        <v>325</v>
      </c>
      <c r="B109" s="20" t="s">
        <v>815</v>
      </c>
      <c r="C109" s="20" t="s">
        <v>811</v>
      </c>
      <c r="D109" s="20" t="s">
        <v>811</v>
      </c>
      <c r="E109" s="20" t="s">
        <v>812</v>
      </c>
      <c r="F109" s="20" t="s">
        <v>813</v>
      </c>
      <c r="G109" s="20" t="s">
        <v>814</v>
      </c>
      <c r="H109" s="25">
        <v>18.1</v>
      </c>
      <c r="I109" s="25">
        <v>18.1</v>
      </c>
      <c r="J109" s="25">
        <v>18.1</v>
      </c>
      <c r="K109" s="25">
        <v>8.8</v>
      </c>
      <c r="L109" s="25">
        <v>8.8</v>
      </c>
      <c r="M109" s="25">
        <v>8.8</v>
      </c>
      <c r="N109" s="25">
        <v>5.7</v>
      </c>
      <c r="O109" s="25">
        <v>5.8</v>
      </c>
      <c r="P109" s="25">
        <v>5.733</v>
      </c>
    </row>
    <row r="110" customHeight="1" spans="1:16">
      <c r="A110" s="25" t="s">
        <v>326</v>
      </c>
      <c r="B110" s="20" t="s">
        <v>815</v>
      </c>
      <c r="C110" s="20" t="s">
        <v>811</v>
      </c>
      <c r="D110" s="20" t="s">
        <v>811</v>
      </c>
      <c r="E110" s="20" t="s">
        <v>812</v>
      </c>
      <c r="F110" s="20" t="s">
        <v>813</v>
      </c>
      <c r="G110" s="20" t="s">
        <v>814</v>
      </c>
      <c r="H110" s="25">
        <v>17.6</v>
      </c>
      <c r="I110" s="25">
        <v>17.6</v>
      </c>
      <c r="J110" s="25">
        <v>17.6</v>
      </c>
      <c r="K110" s="25">
        <v>8.6</v>
      </c>
      <c r="L110" s="25">
        <v>8.6</v>
      </c>
      <c r="M110" s="25">
        <v>8.6</v>
      </c>
      <c r="N110" s="25">
        <v>5.7</v>
      </c>
      <c r="O110" s="25">
        <v>5.7</v>
      </c>
      <c r="P110" s="25">
        <v>5.7</v>
      </c>
    </row>
    <row r="111" customHeight="1" spans="1:16">
      <c r="A111" s="25" t="s">
        <v>327</v>
      </c>
      <c r="B111" s="20" t="s">
        <v>815</v>
      </c>
      <c r="C111" s="20" t="s">
        <v>811</v>
      </c>
      <c r="D111" s="20" t="s">
        <v>811</v>
      </c>
      <c r="E111" s="20" t="s">
        <v>812</v>
      </c>
      <c r="F111" s="20" t="s">
        <v>813</v>
      </c>
      <c r="G111" s="20" t="s">
        <v>814</v>
      </c>
      <c r="H111" s="25">
        <v>18.1</v>
      </c>
      <c r="I111" s="25">
        <v>18.1</v>
      </c>
      <c r="J111" s="25">
        <v>18.1</v>
      </c>
      <c r="K111" s="25">
        <v>8.8</v>
      </c>
      <c r="L111" s="25">
        <v>8.8</v>
      </c>
      <c r="M111" s="25">
        <v>8.8</v>
      </c>
      <c r="N111" s="25">
        <v>5.8</v>
      </c>
      <c r="O111" s="25">
        <v>5.8</v>
      </c>
      <c r="P111" s="25">
        <v>5.8</v>
      </c>
    </row>
    <row r="112" customHeight="1" spans="1:16">
      <c r="A112" s="25" t="s">
        <v>328</v>
      </c>
      <c r="B112" s="20" t="s">
        <v>815</v>
      </c>
      <c r="C112" s="20" t="s">
        <v>811</v>
      </c>
      <c r="D112" s="20" t="s">
        <v>811</v>
      </c>
      <c r="E112" s="20" t="s">
        <v>812</v>
      </c>
      <c r="F112" s="20" t="s">
        <v>813</v>
      </c>
      <c r="G112" s="20" t="s">
        <v>814</v>
      </c>
      <c r="H112" s="25">
        <v>17.6</v>
      </c>
      <c r="I112" s="25">
        <v>17.6</v>
      </c>
      <c r="J112" s="25">
        <v>17.6</v>
      </c>
      <c r="K112" s="25">
        <v>8.6</v>
      </c>
      <c r="L112" s="25">
        <v>8.6</v>
      </c>
      <c r="M112" s="25">
        <v>8.6</v>
      </c>
      <c r="N112" s="25">
        <v>6</v>
      </c>
      <c r="O112" s="25">
        <v>6</v>
      </c>
      <c r="P112" s="25">
        <v>6</v>
      </c>
    </row>
    <row r="113" customHeight="1" spans="1:16">
      <c r="A113" s="25" t="s">
        <v>329</v>
      </c>
      <c r="B113" s="20" t="s">
        <v>815</v>
      </c>
      <c r="C113" s="20" t="s">
        <v>811</v>
      </c>
      <c r="D113" s="20" t="s">
        <v>811</v>
      </c>
      <c r="E113" s="20" t="s">
        <v>812</v>
      </c>
      <c r="F113" s="20" t="s">
        <v>813</v>
      </c>
      <c r="G113" s="20" t="s">
        <v>814</v>
      </c>
      <c r="H113" s="25">
        <v>17.6</v>
      </c>
      <c r="I113" s="25">
        <v>17.6</v>
      </c>
      <c r="J113" s="25">
        <v>17.6</v>
      </c>
      <c r="K113" s="25">
        <v>8.6</v>
      </c>
      <c r="L113" s="25">
        <v>8.6</v>
      </c>
      <c r="M113" s="25">
        <v>8.6</v>
      </c>
      <c r="N113" s="25">
        <v>6</v>
      </c>
      <c r="O113" s="25">
        <v>6</v>
      </c>
      <c r="P113" s="25">
        <v>6</v>
      </c>
    </row>
    <row r="114" customHeight="1" spans="1:16">
      <c r="A114" s="25" t="s">
        <v>330</v>
      </c>
      <c r="B114" s="20" t="s">
        <v>815</v>
      </c>
      <c r="C114" s="20" t="s">
        <v>811</v>
      </c>
      <c r="D114" s="20" t="s">
        <v>811</v>
      </c>
      <c r="E114" s="20" t="s">
        <v>812</v>
      </c>
      <c r="F114" s="20" t="s">
        <v>813</v>
      </c>
      <c r="G114" s="20" t="s">
        <v>814</v>
      </c>
      <c r="H114" s="25">
        <v>17.6</v>
      </c>
      <c r="I114" s="25">
        <v>17.6</v>
      </c>
      <c r="J114" s="25">
        <v>17.6</v>
      </c>
      <c r="K114" s="25">
        <v>8.6</v>
      </c>
      <c r="L114" s="25">
        <v>8.6</v>
      </c>
      <c r="M114" s="25">
        <v>8.6</v>
      </c>
      <c r="N114" s="25">
        <v>6</v>
      </c>
      <c r="O114" s="25">
        <v>6</v>
      </c>
      <c r="P114" s="25">
        <v>6</v>
      </c>
    </row>
    <row r="115" customHeight="1" spans="1:16">
      <c r="A115" s="25" t="s">
        <v>332</v>
      </c>
      <c r="B115" s="20" t="s">
        <v>815</v>
      </c>
      <c r="C115" s="20" t="s">
        <v>811</v>
      </c>
      <c r="D115" s="20" t="s">
        <v>811</v>
      </c>
      <c r="E115" s="20" t="s">
        <v>812</v>
      </c>
      <c r="F115" s="20" t="s">
        <v>813</v>
      </c>
      <c r="G115" s="20" t="s">
        <v>814</v>
      </c>
      <c r="H115" s="25">
        <v>17.6</v>
      </c>
      <c r="I115" s="25">
        <v>17.6</v>
      </c>
      <c r="J115" s="25">
        <v>17.6</v>
      </c>
      <c r="K115" s="25">
        <v>8.6</v>
      </c>
      <c r="L115" s="25">
        <v>8.6</v>
      </c>
      <c r="M115" s="25">
        <v>8.6</v>
      </c>
      <c r="N115" s="25">
        <v>6</v>
      </c>
      <c r="O115" s="25">
        <v>6</v>
      </c>
      <c r="P115" s="25">
        <v>6</v>
      </c>
    </row>
    <row r="116" customHeight="1" spans="1:16">
      <c r="A116" s="25" t="s">
        <v>333</v>
      </c>
      <c r="B116" s="20" t="s">
        <v>815</v>
      </c>
      <c r="C116" s="20" t="s">
        <v>811</v>
      </c>
      <c r="D116" s="20" t="s">
        <v>811</v>
      </c>
      <c r="E116" s="20" t="s">
        <v>812</v>
      </c>
      <c r="F116" s="20" t="s">
        <v>813</v>
      </c>
      <c r="G116" s="20" t="s">
        <v>814</v>
      </c>
      <c r="H116" s="25">
        <v>17.6</v>
      </c>
      <c r="I116" s="25">
        <v>17.6</v>
      </c>
      <c r="J116" s="25">
        <v>17.6</v>
      </c>
      <c r="K116" s="25">
        <v>8.6</v>
      </c>
      <c r="L116" s="25">
        <v>8.6</v>
      </c>
      <c r="M116" s="25">
        <v>8.6</v>
      </c>
      <c r="N116" s="25">
        <v>6</v>
      </c>
      <c r="O116" s="25">
        <v>6</v>
      </c>
      <c r="P116" s="25">
        <v>6</v>
      </c>
    </row>
    <row r="117" s="3" customFormat="1" customHeight="1" spans="1:16">
      <c r="A117" s="25" t="s">
        <v>334</v>
      </c>
      <c r="B117" s="20" t="s">
        <v>815</v>
      </c>
      <c r="C117" s="20" t="s">
        <v>811</v>
      </c>
      <c r="D117" s="20" t="s">
        <v>811</v>
      </c>
      <c r="E117" s="20" t="s">
        <v>812</v>
      </c>
      <c r="F117" s="20" t="s">
        <v>813</v>
      </c>
      <c r="G117" s="20" t="s">
        <v>814</v>
      </c>
      <c r="H117" s="25">
        <v>17.6</v>
      </c>
      <c r="I117" s="25">
        <v>17.6</v>
      </c>
      <c r="J117" s="25">
        <v>17.6</v>
      </c>
      <c r="K117" s="25">
        <v>8.6</v>
      </c>
      <c r="L117" s="25">
        <v>8.6</v>
      </c>
      <c r="M117" s="25">
        <v>8.6</v>
      </c>
      <c r="N117" s="25">
        <v>6</v>
      </c>
      <c r="O117" s="25">
        <v>6</v>
      </c>
      <c r="P117" s="25">
        <v>6</v>
      </c>
    </row>
    <row r="118" s="3" customFormat="1" customHeight="1" spans="1:16">
      <c r="A118" s="25" t="s">
        <v>336</v>
      </c>
      <c r="B118" s="20" t="s">
        <v>815</v>
      </c>
      <c r="C118" s="20" t="s">
        <v>811</v>
      </c>
      <c r="D118" s="20" t="s">
        <v>811</v>
      </c>
      <c r="E118" s="20" t="s">
        <v>812</v>
      </c>
      <c r="F118" s="20" t="s">
        <v>813</v>
      </c>
      <c r="G118" s="20" t="s">
        <v>814</v>
      </c>
      <c r="H118" s="25">
        <v>18.1</v>
      </c>
      <c r="I118" s="25">
        <v>18.1</v>
      </c>
      <c r="J118" s="25">
        <v>18.1</v>
      </c>
      <c r="K118" s="25">
        <v>8.8</v>
      </c>
      <c r="L118" s="25">
        <v>8.8</v>
      </c>
      <c r="M118" s="25">
        <v>8.8</v>
      </c>
      <c r="N118" s="25">
        <v>5.8</v>
      </c>
      <c r="O118" s="25">
        <v>5.8</v>
      </c>
      <c r="P118" s="25">
        <v>5.8</v>
      </c>
    </row>
    <row r="119" s="3" customFormat="1" customHeight="1" spans="1:16">
      <c r="A119" s="25" t="s">
        <v>337</v>
      </c>
      <c r="B119" s="20" t="s">
        <v>815</v>
      </c>
      <c r="C119" s="20" t="s">
        <v>811</v>
      </c>
      <c r="D119" s="20" t="s">
        <v>811</v>
      </c>
      <c r="E119" s="20" t="s">
        <v>812</v>
      </c>
      <c r="F119" s="20" t="s">
        <v>813</v>
      </c>
      <c r="G119" s="20" t="s">
        <v>814</v>
      </c>
      <c r="H119" s="25">
        <v>18.1</v>
      </c>
      <c r="I119" s="25">
        <v>18.1</v>
      </c>
      <c r="J119" s="25">
        <v>18.1</v>
      </c>
      <c r="K119" s="25">
        <v>8.8</v>
      </c>
      <c r="L119" s="25">
        <v>8.8</v>
      </c>
      <c r="M119" s="25">
        <v>8.8</v>
      </c>
      <c r="N119" s="25">
        <v>5.8</v>
      </c>
      <c r="O119" s="25">
        <v>5.8</v>
      </c>
      <c r="P119" s="25">
        <v>5.8</v>
      </c>
    </row>
    <row r="120" s="3" customFormat="1" customHeight="1" spans="1:16">
      <c r="A120" s="25" t="s">
        <v>338</v>
      </c>
      <c r="B120" s="20" t="s">
        <v>815</v>
      </c>
      <c r="C120" s="20" t="s">
        <v>811</v>
      </c>
      <c r="D120" s="20" t="s">
        <v>811</v>
      </c>
      <c r="E120" s="20" t="s">
        <v>812</v>
      </c>
      <c r="F120" s="20" t="s">
        <v>813</v>
      </c>
      <c r="G120" s="20" t="s">
        <v>814</v>
      </c>
      <c r="H120" s="25">
        <v>18.1</v>
      </c>
      <c r="I120" s="25">
        <v>18.1</v>
      </c>
      <c r="J120" s="25">
        <v>18.1</v>
      </c>
      <c r="K120" s="25">
        <v>8.8</v>
      </c>
      <c r="L120" s="25">
        <v>8.8</v>
      </c>
      <c r="M120" s="25">
        <v>8.8</v>
      </c>
      <c r="N120" s="25">
        <v>5.8</v>
      </c>
      <c r="O120" s="25">
        <v>5.8</v>
      </c>
      <c r="P120" s="25">
        <v>5.8</v>
      </c>
    </row>
    <row r="121" s="3" customFormat="1" customHeight="1" spans="1:16">
      <c r="A121" s="25" t="s">
        <v>339</v>
      </c>
      <c r="B121" s="20" t="s">
        <v>815</v>
      </c>
      <c r="C121" s="20" t="s">
        <v>811</v>
      </c>
      <c r="D121" s="20" t="s">
        <v>811</v>
      </c>
      <c r="E121" s="20" t="s">
        <v>812</v>
      </c>
      <c r="F121" s="20" t="s">
        <v>813</v>
      </c>
      <c r="G121" s="20" t="s">
        <v>814</v>
      </c>
      <c r="H121" s="25">
        <v>18.1</v>
      </c>
      <c r="I121" s="25">
        <v>18.1</v>
      </c>
      <c r="J121" s="25">
        <v>18.1</v>
      </c>
      <c r="K121" s="25">
        <v>8.8</v>
      </c>
      <c r="L121" s="25">
        <v>8.8</v>
      </c>
      <c r="M121" s="25">
        <v>8.8</v>
      </c>
      <c r="N121" s="25">
        <v>5.8</v>
      </c>
      <c r="O121" s="25">
        <v>5.8</v>
      </c>
      <c r="P121" s="25">
        <v>5.8</v>
      </c>
    </row>
    <row r="122" s="3" customFormat="1" customHeight="1" spans="1:16">
      <c r="A122" s="25" t="s">
        <v>341</v>
      </c>
      <c r="B122" s="20" t="s">
        <v>815</v>
      </c>
      <c r="C122" s="20" t="s">
        <v>811</v>
      </c>
      <c r="D122" s="20" t="s">
        <v>811</v>
      </c>
      <c r="E122" s="20" t="s">
        <v>812</v>
      </c>
      <c r="F122" s="20" t="s">
        <v>813</v>
      </c>
      <c r="G122" s="20" t="s">
        <v>814</v>
      </c>
      <c r="H122" s="25">
        <v>17.6</v>
      </c>
      <c r="I122" s="25">
        <v>17.6</v>
      </c>
      <c r="J122" s="25">
        <v>17.6</v>
      </c>
      <c r="K122" s="25">
        <v>8.6</v>
      </c>
      <c r="L122" s="25">
        <v>8.6</v>
      </c>
      <c r="M122" s="25">
        <v>8.6</v>
      </c>
      <c r="N122" s="25">
        <v>6</v>
      </c>
      <c r="O122" s="25">
        <v>6</v>
      </c>
      <c r="P122" s="25">
        <v>6</v>
      </c>
    </row>
    <row r="123" s="3" customFormat="1" customHeight="1" spans="1:16">
      <c r="A123" s="25" t="s">
        <v>343</v>
      </c>
      <c r="B123" s="20" t="s">
        <v>815</v>
      </c>
      <c r="C123" s="20" t="s">
        <v>811</v>
      </c>
      <c r="D123" s="20" t="s">
        <v>811</v>
      </c>
      <c r="E123" s="20" t="s">
        <v>812</v>
      </c>
      <c r="F123" s="20" t="s">
        <v>813</v>
      </c>
      <c r="G123" s="20" t="s">
        <v>814</v>
      </c>
      <c r="H123" s="25">
        <v>17.6</v>
      </c>
      <c r="I123" s="25">
        <v>17.6</v>
      </c>
      <c r="J123" s="25">
        <v>17.6</v>
      </c>
      <c r="K123" s="25">
        <v>8.6</v>
      </c>
      <c r="L123" s="25">
        <v>8.6</v>
      </c>
      <c r="M123" s="25">
        <v>8.6</v>
      </c>
      <c r="N123" s="25">
        <v>6</v>
      </c>
      <c r="O123" s="25">
        <v>6</v>
      </c>
      <c r="P123" s="25">
        <v>6</v>
      </c>
    </row>
    <row r="124" s="3" customFormat="1" customHeight="1" spans="1:16">
      <c r="A124" s="25" t="s">
        <v>345</v>
      </c>
      <c r="B124" s="20" t="s">
        <v>815</v>
      </c>
      <c r="C124" s="20" t="s">
        <v>811</v>
      </c>
      <c r="D124" s="20" t="s">
        <v>811</v>
      </c>
      <c r="E124" s="20" t="s">
        <v>812</v>
      </c>
      <c r="F124" s="20" t="s">
        <v>813</v>
      </c>
      <c r="G124" s="20" t="s">
        <v>814</v>
      </c>
      <c r="H124" s="25">
        <v>17.6</v>
      </c>
      <c r="I124" s="25">
        <v>17.6</v>
      </c>
      <c r="J124" s="25">
        <v>17.6</v>
      </c>
      <c r="K124" s="25">
        <v>8.6</v>
      </c>
      <c r="L124" s="25">
        <v>8.6</v>
      </c>
      <c r="M124" s="25">
        <v>8.6</v>
      </c>
      <c r="N124" s="25">
        <v>6</v>
      </c>
      <c r="O124" s="25">
        <v>6</v>
      </c>
      <c r="P124" s="25">
        <v>6</v>
      </c>
    </row>
    <row r="125" s="3" customFormat="1" customHeight="1" spans="1:16">
      <c r="A125" s="25" t="s">
        <v>792</v>
      </c>
      <c r="B125" s="20" t="s">
        <v>815</v>
      </c>
      <c r="C125" s="20" t="s">
        <v>811</v>
      </c>
      <c r="D125" s="20" t="s">
        <v>811</v>
      </c>
      <c r="E125" s="20" t="s">
        <v>812</v>
      </c>
      <c r="F125" s="20" t="s">
        <v>813</v>
      </c>
      <c r="G125" s="20" t="s">
        <v>814</v>
      </c>
      <c r="H125" s="25">
        <v>17.6</v>
      </c>
      <c r="I125" s="25">
        <v>17.6</v>
      </c>
      <c r="J125" s="25">
        <v>17.6</v>
      </c>
      <c r="K125" s="25">
        <v>8.6</v>
      </c>
      <c r="L125" s="25">
        <v>8.6</v>
      </c>
      <c r="M125" s="25">
        <v>8.6</v>
      </c>
      <c r="N125" s="25">
        <v>6</v>
      </c>
      <c r="O125" s="25">
        <v>6</v>
      </c>
      <c r="P125" s="25">
        <v>6</v>
      </c>
    </row>
    <row r="126" s="3" customFormat="1" customHeight="1" spans="1:16">
      <c r="A126" s="25" t="s">
        <v>793</v>
      </c>
      <c r="B126" s="20" t="s">
        <v>815</v>
      </c>
      <c r="C126" s="20" t="s">
        <v>811</v>
      </c>
      <c r="D126" s="20" t="s">
        <v>811</v>
      </c>
      <c r="E126" s="20" t="s">
        <v>812</v>
      </c>
      <c r="F126" s="20" t="s">
        <v>813</v>
      </c>
      <c r="G126" s="20" t="s">
        <v>814</v>
      </c>
      <c r="H126" s="25">
        <v>17.6</v>
      </c>
      <c r="I126" s="25">
        <v>17.6</v>
      </c>
      <c r="J126" s="25">
        <v>17.6</v>
      </c>
      <c r="K126" s="25">
        <v>8.6</v>
      </c>
      <c r="L126" s="25">
        <v>8.6</v>
      </c>
      <c r="M126" s="25">
        <v>8.6</v>
      </c>
      <c r="N126" s="25">
        <v>6</v>
      </c>
      <c r="O126" s="25">
        <v>6</v>
      </c>
      <c r="P126" s="25">
        <v>6</v>
      </c>
    </row>
    <row r="127" s="3" customFormat="1" customHeight="1" spans="1:16">
      <c r="A127" s="25" t="s">
        <v>794</v>
      </c>
      <c r="B127" s="20" t="s">
        <v>815</v>
      </c>
      <c r="C127" s="20" t="s">
        <v>811</v>
      </c>
      <c r="D127" s="20" t="s">
        <v>811</v>
      </c>
      <c r="E127" s="20" t="s">
        <v>812</v>
      </c>
      <c r="F127" s="20" t="s">
        <v>813</v>
      </c>
      <c r="G127" s="20" t="s">
        <v>814</v>
      </c>
      <c r="H127" s="25">
        <v>17.6</v>
      </c>
      <c r="I127" s="25">
        <v>17.6</v>
      </c>
      <c r="J127" s="25">
        <v>17.6</v>
      </c>
      <c r="K127" s="25">
        <v>8.6</v>
      </c>
      <c r="L127" s="25">
        <v>8.6</v>
      </c>
      <c r="M127" s="25">
        <v>8.6</v>
      </c>
      <c r="N127" s="25">
        <v>6</v>
      </c>
      <c r="O127" s="25">
        <v>6</v>
      </c>
      <c r="P127" s="25">
        <v>6</v>
      </c>
    </row>
    <row r="128" s="3" customFormat="1" customHeight="1" spans="1:16">
      <c r="A128" s="25" t="s">
        <v>795</v>
      </c>
      <c r="B128" s="20" t="s">
        <v>815</v>
      </c>
      <c r="C128" s="20" t="s">
        <v>811</v>
      </c>
      <c r="D128" s="20" t="s">
        <v>811</v>
      </c>
      <c r="E128" s="20" t="s">
        <v>812</v>
      </c>
      <c r="F128" s="20" t="s">
        <v>813</v>
      </c>
      <c r="G128" s="20" t="s">
        <v>814</v>
      </c>
      <c r="H128" s="25">
        <v>17.6</v>
      </c>
      <c r="I128" s="25">
        <v>17.6</v>
      </c>
      <c r="J128" s="25">
        <v>17.6</v>
      </c>
      <c r="K128" s="25">
        <v>8.6</v>
      </c>
      <c r="L128" s="25">
        <v>8.6</v>
      </c>
      <c r="M128" s="25">
        <v>8.6</v>
      </c>
      <c r="N128" s="25">
        <v>6</v>
      </c>
      <c r="O128" s="25">
        <v>6</v>
      </c>
      <c r="P128" s="25">
        <v>6</v>
      </c>
    </row>
    <row r="129" s="1" customFormat="1" customHeight="1"/>
    <row r="130" s="3" customFormat="1" customHeight="1" spans="1:16">
      <c r="A130" s="25" t="s">
        <v>347</v>
      </c>
      <c r="B130" s="20" t="s">
        <v>815</v>
      </c>
      <c r="C130" s="20" t="s">
        <v>811</v>
      </c>
      <c r="D130" s="20" t="s">
        <v>811</v>
      </c>
      <c r="E130" s="20" t="s">
        <v>812</v>
      </c>
      <c r="F130" s="20" t="s">
        <v>813</v>
      </c>
      <c r="G130" s="20" t="s">
        <v>814</v>
      </c>
      <c r="H130" s="25">
        <v>17.6</v>
      </c>
      <c r="I130" s="25">
        <v>17.6</v>
      </c>
      <c r="J130" s="25">
        <v>17.6</v>
      </c>
      <c r="K130" s="25">
        <v>8.6</v>
      </c>
      <c r="L130" s="25">
        <v>8.6</v>
      </c>
      <c r="M130" s="25">
        <v>8.6</v>
      </c>
      <c r="N130" s="25">
        <v>6</v>
      </c>
      <c r="O130" s="25">
        <v>6</v>
      </c>
      <c r="P130" s="25">
        <v>6</v>
      </c>
    </row>
    <row r="131" s="3" customFormat="1" customHeight="1" spans="1:16">
      <c r="A131" s="25" t="s">
        <v>351</v>
      </c>
      <c r="B131" s="20" t="s">
        <v>815</v>
      </c>
      <c r="C131" s="20" t="s">
        <v>811</v>
      </c>
      <c r="D131" s="20" t="s">
        <v>811</v>
      </c>
      <c r="E131" s="20" t="s">
        <v>812</v>
      </c>
      <c r="F131" s="20" t="s">
        <v>813</v>
      </c>
      <c r="G131" s="20" t="s">
        <v>820</v>
      </c>
      <c r="H131" s="25">
        <v>17.6</v>
      </c>
      <c r="I131" s="25">
        <v>17.6</v>
      </c>
      <c r="J131" s="25">
        <v>17.6</v>
      </c>
      <c r="K131" s="25">
        <v>8.6</v>
      </c>
      <c r="L131" s="25">
        <v>8.6</v>
      </c>
      <c r="M131" s="25">
        <v>8.6</v>
      </c>
      <c r="N131" s="25">
        <v>6</v>
      </c>
      <c r="O131" s="25">
        <v>6</v>
      </c>
      <c r="P131" s="25">
        <v>6</v>
      </c>
    </row>
    <row r="132" s="3" customFormat="1" customHeight="1" spans="1:16">
      <c r="A132" s="25" t="s">
        <v>352</v>
      </c>
      <c r="B132" s="20" t="s">
        <v>815</v>
      </c>
      <c r="C132" s="20" t="s">
        <v>811</v>
      </c>
      <c r="D132" s="20" t="s">
        <v>811</v>
      </c>
      <c r="E132" s="20" t="s">
        <v>812</v>
      </c>
      <c r="F132" s="20" t="s">
        <v>813</v>
      </c>
      <c r="G132" s="20" t="s">
        <v>821</v>
      </c>
      <c r="H132" s="25">
        <v>17.6</v>
      </c>
      <c r="I132" s="25">
        <v>17.6</v>
      </c>
      <c r="J132" s="25">
        <v>17.6</v>
      </c>
      <c r="K132" s="25">
        <v>8.6</v>
      </c>
      <c r="L132" s="25">
        <v>8.6</v>
      </c>
      <c r="M132" s="25">
        <v>8.6</v>
      </c>
      <c r="N132" s="25">
        <v>6</v>
      </c>
      <c r="O132" s="25">
        <v>6</v>
      </c>
      <c r="P132" s="25">
        <v>6</v>
      </c>
    </row>
    <row r="133" s="3" customFormat="1" customHeight="1" spans="1:16">
      <c r="A133" s="25" t="s">
        <v>354</v>
      </c>
      <c r="B133" s="20" t="s">
        <v>815</v>
      </c>
      <c r="C133" s="20" t="s">
        <v>811</v>
      </c>
      <c r="D133" s="20" t="s">
        <v>811</v>
      </c>
      <c r="E133" s="20" t="s">
        <v>812</v>
      </c>
      <c r="F133" s="20" t="s">
        <v>813</v>
      </c>
      <c r="G133" s="20" t="s">
        <v>822</v>
      </c>
      <c r="H133" s="25">
        <v>17.6</v>
      </c>
      <c r="I133" s="25">
        <v>17.6</v>
      </c>
      <c r="J133" s="25">
        <v>17.6</v>
      </c>
      <c r="K133" s="25">
        <v>8.6</v>
      </c>
      <c r="L133" s="25">
        <v>8.6</v>
      </c>
      <c r="M133" s="25">
        <v>8.6</v>
      </c>
      <c r="N133" s="25">
        <v>6</v>
      </c>
      <c r="O133" s="25">
        <v>6</v>
      </c>
      <c r="P133" s="25">
        <v>6</v>
      </c>
    </row>
    <row r="134" s="3" customFormat="1" ht="13.2" spans="1:16">
      <c r="A134" s="25" t="s">
        <v>357</v>
      </c>
      <c r="B134" s="20" t="s">
        <v>815</v>
      </c>
      <c r="C134" s="20" t="s">
        <v>811</v>
      </c>
      <c r="D134" s="20" t="s">
        <v>811</v>
      </c>
      <c r="E134" s="20" t="s">
        <v>812</v>
      </c>
      <c r="F134" s="20" t="s">
        <v>813</v>
      </c>
      <c r="G134" s="20" t="s">
        <v>823</v>
      </c>
      <c r="H134" s="25">
        <v>18.1</v>
      </c>
      <c r="I134" s="25">
        <v>18.1</v>
      </c>
      <c r="J134" s="25">
        <v>18.1</v>
      </c>
      <c r="K134" s="25">
        <v>8.8</v>
      </c>
      <c r="L134" s="25">
        <v>8.8</v>
      </c>
      <c r="M134" s="25">
        <v>8.8</v>
      </c>
      <c r="N134" s="25">
        <v>5.7</v>
      </c>
      <c r="O134" s="25">
        <v>5.7</v>
      </c>
      <c r="P134" s="25">
        <v>5.7</v>
      </c>
    </row>
    <row r="135" s="3" customFormat="1" customHeight="1" spans="1:16">
      <c r="A135" s="25" t="s">
        <v>361</v>
      </c>
      <c r="B135" s="20" t="s">
        <v>815</v>
      </c>
      <c r="C135" s="20" t="s">
        <v>811</v>
      </c>
      <c r="D135" s="20" t="s">
        <v>811</v>
      </c>
      <c r="E135" s="20" t="s">
        <v>812</v>
      </c>
      <c r="F135" s="20" t="s">
        <v>813</v>
      </c>
      <c r="G135" s="20" t="s">
        <v>824</v>
      </c>
      <c r="H135" s="25">
        <v>17.6</v>
      </c>
      <c r="I135" s="25">
        <v>17.6</v>
      </c>
      <c r="J135" s="25">
        <v>17.6</v>
      </c>
      <c r="K135" s="25">
        <v>8.6</v>
      </c>
      <c r="L135" s="25">
        <v>8.6</v>
      </c>
      <c r="M135" s="25">
        <v>8.6</v>
      </c>
      <c r="N135" s="25">
        <v>6</v>
      </c>
      <c r="O135" s="25">
        <v>6</v>
      </c>
      <c r="P135" s="25">
        <v>6</v>
      </c>
    </row>
    <row r="136" s="3" customFormat="1" customHeight="1" spans="1:16">
      <c r="A136" s="25" t="s">
        <v>367</v>
      </c>
      <c r="B136" s="20" t="s">
        <v>815</v>
      </c>
      <c r="C136" s="20" t="s">
        <v>811</v>
      </c>
      <c r="D136" s="20" t="s">
        <v>811</v>
      </c>
      <c r="E136" s="20" t="s">
        <v>812</v>
      </c>
      <c r="F136" s="20" t="s">
        <v>813</v>
      </c>
      <c r="G136" s="20" t="s">
        <v>825</v>
      </c>
      <c r="H136" s="25">
        <v>17.6</v>
      </c>
      <c r="I136" s="25">
        <v>17.6</v>
      </c>
      <c r="J136" s="25">
        <v>17.6</v>
      </c>
      <c r="K136" s="25">
        <v>8.6</v>
      </c>
      <c r="L136" s="25">
        <v>8.6</v>
      </c>
      <c r="M136" s="25">
        <v>8.6</v>
      </c>
      <c r="N136" s="25">
        <v>6</v>
      </c>
      <c r="O136" s="25">
        <v>6</v>
      </c>
      <c r="P136" s="25">
        <v>6</v>
      </c>
    </row>
    <row r="137" s="3" customFormat="1" customHeight="1" spans="1:16">
      <c r="A137" s="25" t="s">
        <v>369</v>
      </c>
      <c r="B137" s="20" t="s">
        <v>815</v>
      </c>
      <c r="C137" s="20" t="s">
        <v>811</v>
      </c>
      <c r="D137" s="20" t="s">
        <v>811</v>
      </c>
      <c r="E137" s="20" t="s">
        <v>812</v>
      </c>
      <c r="F137" s="20" t="s">
        <v>813</v>
      </c>
      <c r="G137" s="20" t="s">
        <v>826</v>
      </c>
      <c r="H137" s="25">
        <v>17.6</v>
      </c>
      <c r="I137" s="25">
        <v>17.6</v>
      </c>
      <c r="J137" s="25">
        <v>17.6</v>
      </c>
      <c r="K137" s="25">
        <v>8.8</v>
      </c>
      <c r="L137" s="25">
        <v>8.8</v>
      </c>
      <c r="M137" s="25">
        <v>8.8</v>
      </c>
      <c r="N137" s="25">
        <v>5.7</v>
      </c>
      <c r="O137" s="25">
        <v>5.7</v>
      </c>
      <c r="P137" s="25">
        <v>5.7</v>
      </c>
    </row>
    <row r="138" s="3" customFormat="1" customHeight="1" spans="1:16">
      <c r="A138" s="25" t="s">
        <v>518</v>
      </c>
      <c r="B138" s="20" t="s">
        <v>815</v>
      </c>
      <c r="C138" s="20" t="s">
        <v>811</v>
      </c>
      <c r="D138" s="20" t="s">
        <v>811</v>
      </c>
      <c r="E138" s="20" t="s">
        <v>812</v>
      </c>
      <c r="F138" s="20" t="s">
        <v>813</v>
      </c>
      <c r="G138" s="20" t="s">
        <v>827</v>
      </c>
      <c r="H138" s="25">
        <v>18.1</v>
      </c>
      <c r="I138" s="25">
        <v>18.1</v>
      </c>
      <c r="J138" s="25">
        <v>18.1</v>
      </c>
      <c r="K138" s="25">
        <v>8.8</v>
      </c>
      <c r="L138" s="25">
        <v>8.8</v>
      </c>
      <c r="M138" s="25">
        <v>8.8</v>
      </c>
      <c r="N138" s="25">
        <v>5.7</v>
      </c>
      <c r="O138" s="25">
        <v>5.7</v>
      </c>
      <c r="P138" s="25">
        <v>5.7</v>
      </c>
    </row>
    <row r="139" s="3" customFormat="1" customHeight="1" spans="1:16">
      <c r="A139" s="25" t="s">
        <v>375</v>
      </c>
      <c r="B139" s="20" t="s">
        <v>815</v>
      </c>
      <c r="C139" s="20" t="s">
        <v>811</v>
      </c>
      <c r="D139" s="20" t="s">
        <v>811</v>
      </c>
      <c r="E139" s="20" t="s">
        <v>812</v>
      </c>
      <c r="F139" s="20" t="s">
        <v>813</v>
      </c>
      <c r="G139" s="20" t="s">
        <v>828</v>
      </c>
      <c r="H139" s="25">
        <v>18.1</v>
      </c>
      <c r="I139" s="25">
        <v>18.1</v>
      </c>
      <c r="J139" s="25">
        <v>18.1</v>
      </c>
      <c r="K139" s="25">
        <v>8.8</v>
      </c>
      <c r="L139" s="25">
        <v>8.8</v>
      </c>
      <c r="M139" s="25">
        <v>8.8</v>
      </c>
      <c r="N139" s="25">
        <v>5.7</v>
      </c>
      <c r="O139" s="25">
        <v>5.7</v>
      </c>
      <c r="P139" s="25">
        <v>5.7</v>
      </c>
    </row>
  </sheetData>
  <mergeCells count="13">
    <mergeCell ref="A1:P1"/>
    <mergeCell ref="B5:C5"/>
    <mergeCell ref="F5:G5"/>
    <mergeCell ref="H5:J5"/>
    <mergeCell ref="K5:M5"/>
    <mergeCell ref="N5:P5"/>
    <mergeCell ref="H6:J6"/>
    <mergeCell ref="K6:M6"/>
    <mergeCell ref="N6:P6"/>
    <mergeCell ref="A5:A7"/>
    <mergeCell ref="B6:B7"/>
    <mergeCell ref="D5:D6"/>
    <mergeCell ref="E5:E6"/>
  </mergeCells>
  <pageMargins left="0.75" right="0.75" top="1" bottom="1" header="0.511805555555556" footer="0.511805555555556"/>
  <pageSetup paperSize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TANGGAL DAN JAM</vt:lpstr>
      <vt:lpstr>NO QC</vt:lpstr>
      <vt:lpstr>PENIMBANGAN</vt:lpstr>
      <vt:lpstr>INVEN MESIN</vt:lpstr>
      <vt:lpstr>QC KEMAS</vt:lpstr>
      <vt:lpstr>PROSES</vt:lpstr>
      <vt:lpstr>PENGEMASAN</vt:lpstr>
      <vt:lpstr>IPC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NOVA-DWI</dc:creator>
  <cp:lastModifiedBy>LENOVO NOVA</cp:lastModifiedBy>
  <dcterms:created xsi:type="dcterms:W3CDTF">2021-12-30T08:03:00Z</dcterms:created>
  <dcterms:modified xsi:type="dcterms:W3CDTF">2025-09-13T04:00:10Z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33CFFBCB3E744F3382AB45588A3AC8A2</vt:lpwstr>
  </property>
</Properties>
</file>